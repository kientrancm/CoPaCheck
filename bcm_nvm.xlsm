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Workspace\codingcheck\"/>
    </mc:Choice>
  </mc:AlternateContent>
  <bookViews>
    <workbookView xWindow="0" yWindow="0" windowWidth="7470" windowHeight="1260" tabRatio="813" firstSheet="1" activeTab="3"/>
  </bookViews>
  <sheets>
    <sheet name="Cover Sheet" sheetId="4" r:id="rId1"/>
    <sheet name="Changes" sheetId="7" r:id="rId2"/>
    <sheet name="Data Map" sheetId="421" r:id="rId3"/>
    <sheet name="Generation" sheetId="10" r:id="rId4"/>
    <sheet name="HPM_byte" sheetId="590" r:id="rId5"/>
    <sheet name="HPM_bit" sheetId="589" r:id="rId6"/>
    <sheet name="ECU_State" sheetId="190" r:id="rId7"/>
    <sheet name="KDTCCalibrationByte0" sheetId="191" r:id="rId8"/>
    <sheet name="UIDSYNCCounter" sheetId="200" r:id="rId9"/>
    <sheet name="CodingHella" sheetId="422" r:id="rId10"/>
    <sheet name="CodingGeely" sheetId="423" r:id="rId11"/>
    <sheet name="CodingUser" sheetId="424" r:id="rId12"/>
    <sheet name="ASILAParameter" sheetId="425" r:id="rId13"/>
    <sheet name="ASILBParameter" sheetId="426" r:id="rId14"/>
    <sheet name="NonASILParameter" sheetId="427" r:id="rId15"/>
    <sheet name="HWConfig" sheetId="203" r:id="rId16"/>
    <sheet name="UIDTransmitterID" sheetId="339" r:id="rId17"/>
    <sheet name="SKC" sheetId="340" r:id="rId18"/>
    <sheet name="SC" sheetId="341" r:id="rId19"/>
    <sheet name="DynamicDataGroup1" sheetId="357" r:id="rId20"/>
    <sheet name="HWParameter" sheetId="374" r:id="rId21"/>
    <sheet name="DTMS_SystemState" sheetId="399" r:id="rId22"/>
    <sheet name="DTMS_WuState" sheetId="400" r:id="rId23"/>
    <sheet name="DTMS_SystemDiagnostic" sheetId="401" r:id="rId24"/>
    <sheet name="DTMS_WuDiagnostic" sheetId="402" r:id="rId25"/>
    <sheet name="DTMS_WarnEvent" sheetId="403" r:id="rId26"/>
    <sheet name="FBLData1" sheetId="412" r:id="rId27"/>
    <sheet name="FBLData2" sheetId="413" r:id="rId28"/>
    <sheet name="HellaProductionData" sheetId="416" r:id="rId29"/>
    <sheet name="EOLData" sheetId="417" r:id="rId30"/>
    <sheet name="ICTData" sheetId="418" r:id="rId31"/>
    <sheet name="CustomerEOLData" sheetId="419" r:id="rId32"/>
    <sheet name="DTMS_Configuration" sheetId="420" r:id="rId33"/>
    <sheet name="BitMapTemp" sheetId="2" state="hidden" r:id="rId34"/>
    <sheet name="ByteMapTemp" sheetId="1" state="hidden" r:id="rId35"/>
    <sheet name="Odometer" sheetId="457" r:id="rId36"/>
    <sheet name="DiagBackupInfo2" sheetId="460" r:id="rId37"/>
    <sheet name="DiagBackupInfo3" sheetId="461" r:id="rId38"/>
    <sheet name="DiagBackupInfo4" sheetId="462" r:id="rId39"/>
  </sheets>
  <definedNames>
    <definedName name="_xlnm._FilterDatabase" localSheetId="12" hidden="1">ASILAParameter!$A$1:$J$3</definedName>
    <definedName name="_xlnm._FilterDatabase" localSheetId="13" hidden="1">ASILBParameter!$A$1:$J$3</definedName>
    <definedName name="_xlnm._FilterDatabase" localSheetId="34" hidden="1">ByteMapTemp!$A$1:$J$3</definedName>
    <definedName name="_xlnm._FilterDatabase" localSheetId="31" hidden="1">CustomerEOLData!$A$1:$J$3</definedName>
    <definedName name="_xlnm._FilterDatabase" localSheetId="36" hidden="1">DiagBackupInfo2!$A$1:$J$3</definedName>
    <definedName name="_xlnm._FilterDatabase" localSheetId="37" hidden="1">DiagBackupInfo3!$A$1:$J$3</definedName>
    <definedName name="_xlnm._FilterDatabase" localSheetId="38" hidden="1">DiagBackupInfo4!$A$1:$J$3</definedName>
    <definedName name="_xlnm._FilterDatabase" localSheetId="32" hidden="1">DTMS_Configuration!$A$1:$J$3</definedName>
    <definedName name="_xlnm._FilterDatabase" localSheetId="23" hidden="1">DTMS_SystemDiagnostic!$A$1:$J$3</definedName>
    <definedName name="_xlnm._FilterDatabase" localSheetId="21" hidden="1">DTMS_SystemState!$A$1:$J$3</definedName>
    <definedName name="_xlnm._FilterDatabase" localSheetId="25" hidden="1">DTMS_WarnEvent!$A$1:$J$3</definedName>
    <definedName name="_xlnm._FilterDatabase" localSheetId="24" hidden="1">DTMS_WuDiagnostic!$A$1:$J$3</definedName>
    <definedName name="_xlnm._FilterDatabase" localSheetId="22" hidden="1">DTMS_WuState!$A$1:$J$3</definedName>
    <definedName name="_xlnm._FilterDatabase" localSheetId="19" hidden="1">DynamicDataGroup1!$A$1:$J$3</definedName>
    <definedName name="_xlnm._FilterDatabase" localSheetId="6" hidden="1">ECU_State!$A$1:$J$3</definedName>
    <definedName name="_xlnm._FilterDatabase" localSheetId="29" hidden="1">EOLData!$A$1:$J$3</definedName>
    <definedName name="_xlnm._FilterDatabase" localSheetId="26" hidden="1">FBLData1!$A$1:$J$3</definedName>
    <definedName name="_xlnm._FilterDatabase" localSheetId="27" hidden="1">FBLData2!$A$1:$J$3</definedName>
    <definedName name="_xlnm._FilterDatabase" localSheetId="28" hidden="1">HellaProductionData!$A$1:$J$3</definedName>
    <definedName name="_xlnm._FilterDatabase" localSheetId="4" hidden="1">HPM_byte!$A$1:$A$784</definedName>
    <definedName name="_xlnm._FilterDatabase" localSheetId="20" hidden="1">HWParameter!$A$1:$J$3</definedName>
    <definedName name="_xlnm._FilterDatabase" localSheetId="30" hidden="1">ICTData!$A$1:$J$3</definedName>
    <definedName name="_xlnm._FilterDatabase" localSheetId="7" hidden="1">KDTCCalibrationByte0!$A$1:$J$221</definedName>
    <definedName name="_xlnm._FilterDatabase" localSheetId="14" hidden="1">NonASILParameter!$A$1:$J$3</definedName>
    <definedName name="_xlnm._FilterDatabase" localSheetId="35" hidden="1">Odometer!$A$1:$J$3</definedName>
    <definedName name="_xlnm._FilterDatabase" localSheetId="18" hidden="1">SC!$A$1:$J$3</definedName>
    <definedName name="_xlnm._FilterDatabase" localSheetId="17" hidden="1">SKC!$A$1:$J$3</definedName>
    <definedName name="_xlnm._FilterDatabase" localSheetId="8" hidden="1">UIDSYNCCounter!$A$1:$J$3</definedName>
    <definedName name="_xlnm._FilterDatabase" localSheetId="16" hidden="1">UIDTransmitterID!$A$1:$J$3</definedName>
    <definedName name="_xlnm.Print_Area" localSheetId="12">ASILAParameter!$A$1:$J$3</definedName>
    <definedName name="_xlnm.Print_Area" localSheetId="13">ASILBParameter!$A$1:$J$3</definedName>
    <definedName name="_xlnm.Print_Area" localSheetId="33">BitMapTemp!$A$1:$G$19</definedName>
    <definedName name="_xlnm.Print_Area" localSheetId="34">ByteMapTemp!$A$1:$J$3</definedName>
    <definedName name="_xlnm.Print_Area" localSheetId="1">Changes!$A$1:$D$3</definedName>
    <definedName name="_xlnm.Print_Area" localSheetId="10">CodingGeely!$A$1:$G$19</definedName>
    <definedName name="_xlnm.Print_Area" localSheetId="9">CodingHella!$A$1:$G$19</definedName>
    <definedName name="_xlnm.Print_Area" localSheetId="11">CodingUser!$A$1:$G$19</definedName>
    <definedName name="_xlnm.Print_Area" localSheetId="0">'Cover Sheet'!$C$1:$I$30</definedName>
    <definedName name="_xlnm.Print_Area" localSheetId="31">CustomerEOLData!$A$1:$J$3</definedName>
    <definedName name="_xlnm.Print_Area" localSheetId="36">DiagBackupInfo2!$A$1:$J$3</definedName>
    <definedName name="_xlnm.Print_Area" localSheetId="37">DiagBackupInfo3!$A$1:$J$3</definedName>
    <definedName name="_xlnm.Print_Area" localSheetId="38">DiagBackupInfo4!$A$1:$J$3</definedName>
    <definedName name="_xlnm.Print_Area" localSheetId="32">DTMS_Configuration!$A$1:$J$3</definedName>
    <definedName name="_xlnm.Print_Area" localSheetId="23">DTMS_SystemDiagnostic!$A$1:$J$3</definedName>
    <definedName name="_xlnm.Print_Area" localSheetId="21">DTMS_SystemState!$A$1:$J$3</definedName>
    <definedName name="_xlnm.Print_Area" localSheetId="25">DTMS_WarnEvent!$A$1:$J$3</definedName>
    <definedName name="_xlnm.Print_Area" localSheetId="24">DTMS_WuDiagnostic!$A$1:$J$3</definedName>
    <definedName name="_xlnm.Print_Area" localSheetId="22">DTMS_WuState!$A$1:$J$3</definedName>
    <definedName name="_xlnm.Print_Area" localSheetId="19">DynamicDataGroup1!$A$1:$J$3</definedName>
    <definedName name="_xlnm.Print_Area" localSheetId="6">ECU_State!$A$1:$J$3</definedName>
    <definedName name="_xlnm.Print_Area" localSheetId="29">EOLData!$A$1:$J$3</definedName>
    <definedName name="_xlnm.Print_Area" localSheetId="26">FBLData1!$A$1:$J$3</definedName>
    <definedName name="_xlnm.Print_Area" localSheetId="27">FBLData2!$A$1:$J$3</definedName>
    <definedName name="_xlnm.Print_Area" localSheetId="28">HellaProductionData!$A$1:$J$3</definedName>
    <definedName name="_xlnm.Print_Area" localSheetId="15">HWConfig!$A$1:$G$19</definedName>
    <definedName name="_xlnm.Print_Area" localSheetId="20">HWParameter!$A$1:$J$3</definedName>
    <definedName name="_xlnm.Print_Area" localSheetId="30">ICTData!$A$1:$J$3</definedName>
    <definedName name="_xlnm.Print_Area" localSheetId="7">KDTCCalibrationByte0!$A$1:$J$3</definedName>
    <definedName name="_xlnm.Print_Area" localSheetId="14">NonASILParameter!$A$1:$J$3</definedName>
    <definedName name="_xlnm.Print_Area" localSheetId="35">Odometer!$A$1:$J$3</definedName>
    <definedName name="_xlnm.Print_Area" localSheetId="18">SC!$A$1:$J$3</definedName>
    <definedName name="_xlnm.Print_Area" localSheetId="17">SKC!$A$1:$J$3</definedName>
    <definedName name="_xlnm.Print_Area" localSheetId="8">UIDSYNCCounter!$A$1:$J$3</definedName>
    <definedName name="_xlnm.Print_Area" localSheetId="16">UIDTransmitterID!$A$1:$J$3</definedName>
    <definedName name="_xlnm.Print_Titles" localSheetId="12">ASILAParameter!$1:$1</definedName>
    <definedName name="_xlnm.Print_Titles" localSheetId="13">ASILBParameter!$1:$1</definedName>
    <definedName name="_xlnm.Print_Titles" localSheetId="33">BitMapTemp!$1:$1</definedName>
    <definedName name="_xlnm.Print_Titles" localSheetId="34">ByteMapTemp!$1:$1</definedName>
    <definedName name="_xlnm.Print_Titles" localSheetId="1">Changes!$1:$1</definedName>
    <definedName name="_xlnm.Print_Titles" localSheetId="10">CodingGeely!$1:$1</definedName>
    <definedName name="_xlnm.Print_Titles" localSheetId="9">CodingHella!$1:$1</definedName>
    <definedName name="_xlnm.Print_Titles" localSheetId="11">CodingUser!$1:$1</definedName>
    <definedName name="_xlnm.Print_Titles" localSheetId="31">CustomerEOLData!$1:$1</definedName>
    <definedName name="_xlnm.Print_Titles" localSheetId="36">DiagBackupInfo2!$1:$1</definedName>
    <definedName name="_xlnm.Print_Titles" localSheetId="37">DiagBackupInfo3!$1:$1</definedName>
    <definedName name="_xlnm.Print_Titles" localSheetId="38">DiagBackupInfo4!$1:$1</definedName>
    <definedName name="_xlnm.Print_Titles" localSheetId="32">DTMS_Configuration!$1:$1</definedName>
    <definedName name="_xlnm.Print_Titles" localSheetId="23">DTMS_SystemDiagnostic!$1:$1</definedName>
    <definedName name="_xlnm.Print_Titles" localSheetId="21">DTMS_SystemState!$1:$1</definedName>
    <definedName name="_xlnm.Print_Titles" localSheetId="25">DTMS_WarnEvent!$1:$1</definedName>
    <definedName name="_xlnm.Print_Titles" localSheetId="24">DTMS_WuDiagnostic!$1:$1</definedName>
    <definedName name="_xlnm.Print_Titles" localSheetId="22">DTMS_WuState!$1:$1</definedName>
    <definedName name="_xlnm.Print_Titles" localSheetId="19">DynamicDataGroup1!$1:$1</definedName>
    <definedName name="_xlnm.Print_Titles" localSheetId="6">ECU_State!$1:$1</definedName>
    <definedName name="_xlnm.Print_Titles" localSheetId="29">EOLData!$1:$1</definedName>
    <definedName name="_xlnm.Print_Titles" localSheetId="26">FBLData1!$1:$1</definedName>
    <definedName name="_xlnm.Print_Titles" localSheetId="27">FBLData2!$1:$1</definedName>
    <definedName name="_xlnm.Print_Titles" localSheetId="28">HellaProductionData!$1:$1</definedName>
    <definedName name="_xlnm.Print_Titles" localSheetId="15">HWConfig!$1:$1</definedName>
    <definedName name="_xlnm.Print_Titles" localSheetId="20">HWParameter!$1:$1</definedName>
    <definedName name="_xlnm.Print_Titles" localSheetId="30">ICTData!$1:$1</definedName>
    <definedName name="_xlnm.Print_Titles" localSheetId="7">KDTCCalibrationByte0!$1:$1</definedName>
    <definedName name="_xlnm.Print_Titles" localSheetId="14">NonASILParameter!$1:$1</definedName>
    <definedName name="_xlnm.Print_Titles" localSheetId="35">Odometer!$1:$1</definedName>
    <definedName name="_xlnm.Print_Titles" localSheetId="18">SC!$1:$1</definedName>
    <definedName name="_xlnm.Print_Titles" localSheetId="17">SKC!$1:$1</definedName>
    <definedName name="_xlnm.Print_Titles" localSheetId="8">UIDSYNCCounter!$1:$1</definedName>
    <definedName name="_xlnm.Print_Titles" localSheetId="16">UIDTransmitterID!$1:$1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7" i="420" l="1"/>
  <c r="L3" i="420"/>
  <c r="L2" i="420"/>
  <c r="M73" i="416" l="1"/>
  <c r="L73" i="416"/>
  <c r="C73" i="416" s="1"/>
  <c r="M72" i="416"/>
  <c r="L72" i="416"/>
  <c r="C72" i="416" s="1"/>
  <c r="M71" i="416"/>
  <c r="L71" i="416"/>
  <c r="C71" i="416" s="1"/>
  <c r="M70" i="416"/>
  <c r="L70" i="416"/>
  <c r="C70" i="416" s="1"/>
  <c r="M69" i="416"/>
  <c r="L69" i="416"/>
  <c r="C69" i="416" s="1"/>
  <c r="M68" i="416"/>
  <c r="L68" i="416"/>
  <c r="C68" i="416" s="1"/>
  <c r="M67" i="416"/>
  <c r="L67" i="416"/>
  <c r="C67" i="416" s="1"/>
  <c r="M66" i="416"/>
  <c r="L66" i="416"/>
  <c r="C66" i="416" s="1"/>
  <c r="M65" i="416"/>
  <c r="L65" i="416"/>
  <c r="C65" i="416" s="1"/>
  <c r="M64" i="416"/>
  <c r="L64" i="416"/>
  <c r="C64" i="416" s="1"/>
  <c r="M63" i="416"/>
  <c r="C63" i="416" s="1"/>
  <c r="M62" i="416"/>
  <c r="L62" i="416"/>
  <c r="D62" i="416" s="1"/>
  <c r="M61" i="416"/>
  <c r="L61" i="416"/>
  <c r="C61" i="416" s="1"/>
  <c r="M60" i="416"/>
  <c r="L60" i="416" s="1"/>
  <c r="M59" i="416"/>
  <c r="L59" i="416" s="1"/>
  <c r="M58" i="416"/>
  <c r="L58" i="416"/>
  <c r="D58" i="416" s="1"/>
  <c r="M57" i="416"/>
  <c r="L57" i="416"/>
  <c r="D57" i="416" s="1"/>
  <c r="M56" i="416"/>
  <c r="L56" i="416" s="1"/>
  <c r="M55" i="416"/>
  <c r="L55" i="416" s="1"/>
  <c r="M54" i="416"/>
  <c r="L54" i="416"/>
  <c r="D54" i="416" s="1"/>
  <c r="M53" i="416"/>
  <c r="L53" i="416"/>
  <c r="C53" i="416" s="1"/>
  <c r="L52" i="416"/>
  <c r="D52" i="416" s="1"/>
  <c r="L51" i="416"/>
  <c r="C51" i="416" s="1"/>
  <c r="L50" i="416"/>
  <c r="D50" i="416" s="1"/>
  <c r="L49" i="416"/>
  <c r="C49" i="416" s="1"/>
  <c r="L48" i="416"/>
  <c r="D48" i="416" s="1"/>
  <c r="M47" i="416"/>
  <c r="L47" i="416" s="1"/>
  <c r="M46" i="416"/>
  <c r="L46" i="416" s="1"/>
  <c r="M45" i="416"/>
  <c r="L45" i="416"/>
  <c r="D45" i="416" s="1"/>
  <c r="M44" i="416"/>
  <c r="L44" i="416"/>
  <c r="D44" i="416" s="1"/>
  <c r="M43" i="416"/>
  <c r="L43" i="416" s="1"/>
  <c r="M42" i="416"/>
  <c r="L42" i="416" s="1"/>
  <c r="M41" i="416"/>
  <c r="L41" i="416"/>
  <c r="D41" i="416" s="1"/>
  <c r="M40" i="416"/>
  <c r="L40" i="416"/>
  <c r="D40" i="416" s="1"/>
  <c r="M39" i="416"/>
  <c r="L39" i="416" s="1"/>
  <c r="M38" i="416"/>
  <c r="L38" i="416" s="1"/>
  <c r="L37" i="416"/>
  <c r="C37" i="416" s="1"/>
  <c r="D37" i="416"/>
  <c r="M36" i="416"/>
  <c r="L36" i="416"/>
  <c r="D36" i="416" s="1"/>
  <c r="M35" i="416"/>
  <c r="L35" i="416" s="1"/>
  <c r="D35" i="416" s="1"/>
  <c r="M34" i="416"/>
  <c r="L34" i="416" s="1"/>
  <c r="D60" i="416" l="1"/>
  <c r="C60" i="416"/>
  <c r="C38" i="416"/>
  <c r="D38" i="416"/>
  <c r="C46" i="416"/>
  <c r="D46" i="416"/>
  <c r="C56" i="416"/>
  <c r="D56" i="416"/>
  <c r="D34" i="416"/>
  <c r="C34" i="416"/>
  <c r="D39" i="416"/>
  <c r="C39" i="416"/>
  <c r="D47" i="416"/>
  <c r="C47" i="416"/>
  <c r="C59" i="416"/>
  <c r="D59" i="416"/>
  <c r="C42" i="416"/>
  <c r="D42" i="416"/>
  <c r="D43" i="416"/>
  <c r="C43" i="416"/>
  <c r="C55" i="416"/>
  <c r="D55" i="416"/>
  <c r="C40" i="416"/>
  <c r="C44" i="416"/>
  <c r="C48" i="416"/>
  <c r="C50" i="416"/>
  <c r="C52" i="416"/>
  <c r="C57" i="416"/>
  <c r="C41" i="416"/>
  <c r="C45" i="416"/>
  <c r="D49" i="416"/>
  <c r="D51" i="416"/>
  <c r="D53" i="416"/>
  <c r="C54" i="416"/>
  <c r="C58" i="416"/>
  <c r="D61" i="416"/>
  <c r="C62" i="416"/>
  <c r="C35" i="416"/>
  <c r="C36" i="416"/>
  <c r="B229" i="427" l="1"/>
  <c r="B228" i="427"/>
  <c r="B221" i="427"/>
  <c r="B220" i="427"/>
  <c r="B216" i="427"/>
  <c r="B217" i="427" l="1"/>
  <c r="B218" i="427"/>
  <c r="D29" i="423" l="1"/>
  <c r="C29" i="423"/>
  <c r="D20" i="423"/>
  <c r="H3" i="462" l="1"/>
  <c r="H4" i="462" s="1"/>
  <c r="H5" i="462" s="1"/>
  <c r="H6" i="462" s="1"/>
  <c r="H7" i="462" s="1"/>
  <c r="H8" i="462" s="1"/>
  <c r="H9" i="462" s="1"/>
  <c r="H10" i="462" s="1"/>
  <c r="H11" i="462" s="1"/>
  <c r="H12" i="462" s="1"/>
  <c r="H13" i="462" s="1"/>
  <c r="H14" i="462" s="1"/>
  <c r="H15" i="462" s="1"/>
  <c r="H16" i="462" s="1"/>
  <c r="H17" i="462" s="1"/>
  <c r="H18" i="462" s="1"/>
  <c r="H19" i="462" s="1"/>
  <c r="H20" i="462" s="1"/>
  <c r="H21" i="462" s="1"/>
  <c r="H22" i="462" s="1"/>
  <c r="H23" i="462" s="1"/>
  <c r="H24" i="462" s="1"/>
  <c r="H25" i="462" s="1"/>
  <c r="H26" i="462" s="1"/>
  <c r="H27" i="462" s="1"/>
  <c r="H28" i="462" s="1"/>
  <c r="H29" i="462" s="1"/>
  <c r="H30" i="462" s="1"/>
  <c r="H31" i="462" s="1"/>
  <c r="H32" i="462" s="1"/>
  <c r="H33" i="462" s="1"/>
  <c r="H34" i="462" s="1"/>
  <c r="H35" i="462" s="1"/>
  <c r="H36" i="462" s="1"/>
  <c r="H37" i="462" s="1"/>
  <c r="H38" i="462" s="1"/>
  <c r="H39" i="462" s="1"/>
  <c r="H40" i="462" s="1"/>
  <c r="H41" i="462" s="1"/>
  <c r="H42" i="462" s="1"/>
  <c r="H43" i="462" s="1"/>
  <c r="H44" i="462" s="1"/>
  <c r="H45" i="462" s="1"/>
  <c r="H46" i="462" s="1"/>
  <c r="H47" i="462" s="1"/>
  <c r="H48" i="462" s="1"/>
  <c r="H49" i="462" s="1"/>
  <c r="H50" i="462" s="1"/>
  <c r="H51" i="462" s="1"/>
  <c r="H52" i="462" s="1"/>
  <c r="H53" i="462" s="1"/>
  <c r="H54" i="462" s="1"/>
  <c r="H55" i="462" s="1"/>
  <c r="H56" i="462" s="1"/>
  <c r="H57" i="462" s="1"/>
  <c r="H58" i="462" s="1"/>
  <c r="H59" i="462" s="1"/>
  <c r="H60" i="462" s="1"/>
  <c r="H61" i="462" s="1"/>
  <c r="H62" i="462" s="1"/>
  <c r="H63" i="462" s="1"/>
  <c r="H64" i="462" s="1"/>
  <c r="H65" i="462" s="1"/>
  <c r="A3" i="462"/>
  <c r="A4" i="462" s="1"/>
  <c r="A5" i="462" s="1"/>
  <c r="A6" i="462" s="1"/>
  <c r="A7" i="462" s="1"/>
  <c r="A8" i="462" s="1"/>
  <c r="A9" i="462" s="1"/>
  <c r="A10" i="462" s="1"/>
  <c r="A11" i="462" s="1"/>
  <c r="A12" i="462" s="1"/>
  <c r="A13" i="462" s="1"/>
  <c r="A14" i="462" s="1"/>
  <c r="A15" i="462" s="1"/>
  <c r="A16" i="462" s="1"/>
  <c r="A17" i="462" s="1"/>
  <c r="A18" i="462" s="1"/>
  <c r="A19" i="462" s="1"/>
  <c r="A20" i="462" s="1"/>
  <c r="A21" i="462" s="1"/>
  <c r="A22" i="462" s="1"/>
  <c r="A23" i="462" s="1"/>
  <c r="A24" i="462" s="1"/>
  <c r="A25" i="462" s="1"/>
  <c r="A26" i="462" s="1"/>
  <c r="A27" i="462" s="1"/>
  <c r="A28" i="462" s="1"/>
  <c r="A29" i="462" s="1"/>
  <c r="A30" i="462" s="1"/>
  <c r="A31" i="462" s="1"/>
  <c r="A32" i="462" s="1"/>
  <c r="A33" i="462" s="1"/>
  <c r="A34" i="462" s="1"/>
  <c r="A35" i="462" s="1"/>
  <c r="A36" i="462" s="1"/>
  <c r="A37" i="462" s="1"/>
  <c r="A38" i="462" s="1"/>
  <c r="A39" i="462" s="1"/>
  <c r="A40" i="462" s="1"/>
  <c r="A41" i="462" s="1"/>
  <c r="A42" i="462" s="1"/>
  <c r="A43" i="462" s="1"/>
  <c r="A44" i="462" s="1"/>
  <c r="A45" i="462" s="1"/>
  <c r="A46" i="462" s="1"/>
  <c r="A47" i="462" s="1"/>
  <c r="A48" i="462" s="1"/>
  <c r="A49" i="462" s="1"/>
  <c r="A50" i="462" s="1"/>
  <c r="A51" i="462" s="1"/>
  <c r="A52" i="462" s="1"/>
  <c r="A53" i="462" s="1"/>
  <c r="A54" i="462" s="1"/>
  <c r="A55" i="462" s="1"/>
  <c r="A56" i="462" s="1"/>
  <c r="A57" i="462" s="1"/>
  <c r="A58" i="462" s="1"/>
  <c r="A59" i="462" s="1"/>
  <c r="A60" i="462" s="1"/>
  <c r="A61" i="462" s="1"/>
  <c r="A62" i="462" s="1"/>
  <c r="A63" i="462" s="1"/>
  <c r="A64" i="462" s="1"/>
  <c r="A65" i="462" s="1"/>
  <c r="H3" i="461"/>
  <c r="H4" i="461" s="1"/>
  <c r="H5" i="461" s="1"/>
  <c r="H6" i="461" s="1"/>
  <c r="H7" i="461" s="1"/>
  <c r="H8" i="461" s="1"/>
  <c r="H9" i="461" s="1"/>
  <c r="H10" i="461" s="1"/>
  <c r="H11" i="461" s="1"/>
  <c r="H12" i="461" s="1"/>
  <c r="H13" i="461" s="1"/>
  <c r="H14" i="461" s="1"/>
  <c r="H15" i="461" s="1"/>
  <c r="H16" i="461" s="1"/>
  <c r="H17" i="461" s="1"/>
  <c r="H18" i="461" s="1"/>
  <c r="H19" i="461" s="1"/>
  <c r="H20" i="461" s="1"/>
  <c r="H21" i="461" s="1"/>
  <c r="H22" i="461" s="1"/>
  <c r="H23" i="461" s="1"/>
  <c r="H24" i="461" s="1"/>
  <c r="H25" i="461" s="1"/>
  <c r="H26" i="461" s="1"/>
  <c r="H27" i="461" s="1"/>
  <c r="H28" i="461" s="1"/>
  <c r="H29" i="461" s="1"/>
  <c r="H30" i="461" s="1"/>
  <c r="H31" i="461" s="1"/>
  <c r="H32" i="461" s="1"/>
  <c r="H33" i="461" s="1"/>
  <c r="H34" i="461" s="1"/>
  <c r="H35" i="461" s="1"/>
  <c r="H36" i="461" s="1"/>
  <c r="H37" i="461" s="1"/>
  <c r="H38" i="461" s="1"/>
  <c r="H39" i="461" s="1"/>
  <c r="H40" i="461" s="1"/>
  <c r="H41" i="461" s="1"/>
  <c r="H42" i="461" s="1"/>
  <c r="H43" i="461" s="1"/>
  <c r="H44" i="461" s="1"/>
  <c r="H45" i="461" s="1"/>
  <c r="H46" i="461" s="1"/>
  <c r="H47" i="461" s="1"/>
  <c r="H48" i="461" s="1"/>
  <c r="H49" i="461" s="1"/>
  <c r="H50" i="461" s="1"/>
  <c r="H51" i="461" s="1"/>
  <c r="H52" i="461" s="1"/>
  <c r="H53" i="461" s="1"/>
  <c r="H54" i="461" s="1"/>
  <c r="H55" i="461" s="1"/>
  <c r="H56" i="461" s="1"/>
  <c r="H57" i="461" s="1"/>
  <c r="H58" i="461" s="1"/>
  <c r="H59" i="461" s="1"/>
  <c r="H60" i="461" s="1"/>
  <c r="H61" i="461" s="1"/>
  <c r="H62" i="461" s="1"/>
  <c r="H63" i="461" s="1"/>
  <c r="H64" i="461" s="1"/>
  <c r="H65" i="461" s="1"/>
  <c r="A3" i="461"/>
  <c r="A4" i="461" s="1"/>
  <c r="A5" i="461" s="1"/>
  <c r="A6" i="461" s="1"/>
  <c r="A7" i="461" s="1"/>
  <c r="A8" i="461" s="1"/>
  <c r="A9" i="461" s="1"/>
  <c r="A10" i="461" s="1"/>
  <c r="A11" i="461" s="1"/>
  <c r="A12" i="461" s="1"/>
  <c r="A13" i="461" s="1"/>
  <c r="A14" i="461" s="1"/>
  <c r="A15" i="461" s="1"/>
  <c r="A16" i="461" s="1"/>
  <c r="A17" i="461" s="1"/>
  <c r="A18" i="461" s="1"/>
  <c r="A19" i="461" s="1"/>
  <c r="A20" i="461" s="1"/>
  <c r="A21" i="461" s="1"/>
  <c r="A22" i="461" s="1"/>
  <c r="A23" i="461" s="1"/>
  <c r="A24" i="461" s="1"/>
  <c r="A25" i="461" s="1"/>
  <c r="A26" i="461" s="1"/>
  <c r="A27" i="461" s="1"/>
  <c r="A28" i="461" s="1"/>
  <c r="A29" i="461" s="1"/>
  <c r="A30" i="461" s="1"/>
  <c r="A31" i="461" s="1"/>
  <c r="A32" i="461" s="1"/>
  <c r="A33" i="461" s="1"/>
  <c r="A34" i="461" s="1"/>
  <c r="A35" i="461" s="1"/>
  <c r="A36" i="461" s="1"/>
  <c r="A37" i="461" s="1"/>
  <c r="A38" i="461" s="1"/>
  <c r="A39" i="461" s="1"/>
  <c r="A40" i="461" s="1"/>
  <c r="A41" i="461" s="1"/>
  <c r="A42" i="461" s="1"/>
  <c r="A43" i="461" s="1"/>
  <c r="A44" i="461" s="1"/>
  <c r="A45" i="461" s="1"/>
  <c r="A46" i="461" s="1"/>
  <c r="A47" i="461" s="1"/>
  <c r="A48" i="461" s="1"/>
  <c r="A49" i="461" s="1"/>
  <c r="A50" i="461" s="1"/>
  <c r="A51" i="461" s="1"/>
  <c r="A52" i="461" s="1"/>
  <c r="A53" i="461" s="1"/>
  <c r="A54" i="461" s="1"/>
  <c r="A55" i="461" s="1"/>
  <c r="A56" i="461" s="1"/>
  <c r="A57" i="461" s="1"/>
  <c r="A58" i="461" s="1"/>
  <c r="A59" i="461" s="1"/>
  <c r="A60" i="461" s="1"/>
  <c r="A61" i="461" s="1"/>
  <c r="A62" i="461" s="1"/>
  <c r="A63" i="461" s="1"/>
  <c r="A64" i="461" s="1"/>
  <c r="A65" i="461" s="1"/>
  <c r="A4" i="460"/>
  <c r="A5" i="460" s="1"/>
  <c r="A6" i="460" s="1"/>
  <c r="A7" i="460" s="1"/>
  <c r="A8" i="460" s="1"/>
  <c r="A9" i="460" s="1"/>
  <c r="A10" i="460" s="1"/>
  <c r="A11" i="460" s="1"/>
  <c r="A12" i="460" s="1"/>
  <c r="A13" i="460" s="1"/>
  <c r="A14" i="460" s="1"/>
  <c r="A15" i="460" s="1"/>
  <c r="A16" i="460" s="1"/>
  <c r="A17" i="460" s="1"/>
  <c r="A18" i="460" s="1"/>
  <c r="A19" i="460" s="1"/>
  <c r="A20" i="460" s="1"/>
  <c r="A21" i="460" s="1"/>
  <c r="A22" i="460" s="1"/>
  <c r="A23" i="460" s="1"/>
  <c r="A24" i="460" s="1"/>
  <c r="A25" i="460" s="1"/>
  <c r="A26" i="460" s="1"/>
  <c r="A27" i="460" s="1"/>
  <c r="A28" i="460" s="1"/>
  <c r="A29" i="460" s="1"/>
  <c r="A30" i="460" s="1"/>
  <c r="A31" i="460" s="1"/>
  <c r="A32" i="460" s="1"/>
  <c r="A33" i="460" s="1"/>
  <c r="A34" i="460" s="1"/>
  <c r="A35" i="460" s="1"/>
  <c r="A36" i="460" s="1"/>
  <c r="A37" i="460" s="1"/>
  <c r="A38" i="460" s="1"/>
  <c r="A39" i="460" s="1"/>
  <c r="A40" i="460" s="1"/>
  <c r="A41" i="460" s="1"/>
  <c r="A42" i="460" s="1"/>
  <c r="A43" i="460" s="1"/>
  <c r="A44" i="460" s="1"/>
  <c r="A45" i="460" s="1"/>
  <c r="A46" i="460" s="1"/>
  <c r="A47" i="460" s="1"/>
  <c r="A48" i="460" s="1"/>
  <c r="A49" i="460" s="1"/>
  <c r="A50" i="460" s="1"/>
  <c r="A51" i="460" s="1"/>
  <c r="A52" i="460" s="1"/>
  <c r="A53" i="460" s="1"/>
  <c r="A54" i="460" s="1"/>
  <c r="A55" i="460" s="1"/>
  <c r="A56" i="460" s="1"/>
  <c r="A57" i="460" s="1"/>
  <c r="A58" i="460" s="1"/>
  <c r="A59" i="460" s="1"/>
  <c r="A60" i="460" s="1"/>
  <c r="A61" i="460" s="1"/>
  <c r="A62" i="460" s="1"/>
  <c r="A63" i="460" s="1"/>
  <c r="A64" i="460" s="1"/>
  <c r="A65" i="460" s="1"/>
  <c r="H3" i="460"/>
  <c r="H4" i="460" s="1"/>
  <c r="H5" i="460" s="1"/>
  <c r="H6" i="460" s="1"/>
  <c r="H7" i="460" s="1"/>
  <c r="H8" i="460" s="1"/>
  <c r="H9" i="460" s="1"/>
  <c r="H10" i="460" s="1"/>
  <c r="H11" i="460" s="1"/>
  <c r="H12" i="460" s="1"/>
  <c r="H13" i="460" s="1"/>
  <c r="H14" i="460" s="1"/>
  <c r="H15" i="460" s="1"/>
  <c r="H16" i="460" s="1"/>
  <c r="H17" i="460" s="1"/>
  <c r="H18" i="460" s="1"/>
  <c r="H19" i="460" s="1"/>
  <c r="H20" i="460" s="1"/>
  <c r="H21" i="460" s="1"/>
  <c r="H22" i="460" s="1"/>
  <c r="H23" i="460" s="1"/>
  <c r="H24" i="460" s="1"/>
  <c r="H25" i="460" s="1"/>
  <c r="H26" i="460" s="1"/>
  <c r="H27" i="460" s="1"/>
  <c r="H28" i="460" s="1"/>
  <c r="H29" i="460" s="1"/>
  <c r="H30" i="460" s="1"/>
  <c r="H31" i="460" s="1"/>
  <c r="H32" i="460" s="1"/>
  <c r="H33" i="460" s="1"/>
  <c r="H34" i="460" s="1"/>
  <c r="H35" i="460" s="1"/>
  <c r="H36" i="460" s="1"/>
  <c r="H37" i="460" s="1"/>
  <c r="H38" i="460" s="1"/>
  <c r="H39" i="460" s="1"/>
  <c r="H40" i="460" s="1"/>
  <c r="H41" i="460" s="1"/>
  <c r="H42" i="460" s="1"/>
  <c r="H43" i="460" s="1"/>
  <c r="H44" i="460" s="1"/>
  <c r="H45" i="460" s="1"/>
  <c r="H46" i="460" s="1"/>
  <c r="H47" i="460" s="1"/>
  <c r="H48" i="460" s="1"/>
  <c r="H49" i="460" s="1"/>
  <c r="H50" i="460" s="1"/>
  <c r="H51" i="460" s="1"/>
  <c r="H52" i="460" s="1"/>
  <c r="H53" i="460" s="1"/>
  <c r="H54" i="460" s="1"/>
  <c r="H55" i="460" s="1"/>
  <c r="H56" i="460" s="1"/>
  <c r="H57" i="460" s="1"/>
  <c r="H58" i="460" s="1"/>
  <c r="H59" i="460" s="1"/>
  <c r="H60" i="460" s="1"/>
  <c r="H61" i="460" s="1"/>
  <c r="H62" i="460" s="1"/>
  <c r="H63" i="460" s="1"/>
  <c r="H64" i="460" s="1"/>
  <c r="H65" i="460" s="1"/>
  <c r="A3" i="460"/>
  <c r="X24" i="10"/>
  <c r="V24" i="10"/>
  <c r="U24" i="10"/>
  <c r="W24" i="10" s="1"/>
  <c r="E24" i="10"/>
  <c r="X23" i="10"/>
  <c r="V23" i="10"/>
  <c r="U23" i="10"/>
  <c r="W23" i="10" s="1"/>
  <c r="E23" i="10"/>
  <c r="X22" i="10"/>
  <c r="V22" i="10"/>
  <c r="U22" i="10"/>
  <c r="Y22" i="10" s="1"/>
  <c r="E22" i="10"/>
  <c r="W22" i="10" l="1"/>
  <c r="Y24" i="10"/>
  <c r="Y23" i="10"/>
  <c r="H3" i="457" l="1"/>
  <c r="H4" i="457" s="1"/>
  <c r="H5" i="457" s="1"/>
  <c r="A3" i="457"/>
  <c r="A4" i="457" s="1"/>
  <c r="B2" i="457"/>
  <c r="X35" i="10"/>
  <c r="V35" i="10"/>
  <c r="U35" i="10"/>
  <c r="Y35" i="10" s="1"/>
  <c r="E35" i="10"/>
  <c r="B3" i="457" l="1"/>
  <c r="B4" i="457"/>
  <c r="A5" i="457"/>
  <c r="B5" i="457" s="1"/>
  <c r="W35" i="10"/>
  <c r="X51" i="10" l="1"/>
  <c r="V51" i="10"/>
  <c r="U51" i="10"/>
  <c r="Y51" i="10" s="1"/>
  <c r="X50" i="10"/>
  <c r="V50" i="10"/>
  <c r="U50" i="10"/>
  <c r="W50" i="10" s="1"/>
  <c r="X49" i="10"/>
  <c r="V49" i="10"/>
  <c r="U49" i="10"/>
  <c r="Y49" i="10" s="1"/>
  <c r="X48" i="10"/>
  <c r="V48" i="10"/>
  <c r="U48" i="10"/>
  <c r="Y48" i="10" s="1"/>
  <c r="X47" i="10"/>
  <c r="V47" i="10"/>
  <c r="U47" i="10"/>
  <c r="Y47" i="10" s="1"/>
  <c r="X46" i="10"/>
  <c r="V46" i="10"/>
  <c r="U46" i="10"/>
  <c r="W46" i="10" s="1"/>
  <c r="X45" i="10"/>
  <c r="V45" i="10"/>
  <c r="U45" i="10"/>
  <c r="Y45" i="10" s="1"/>
  <c r="X44" i="10"/>
  <c r="V44" i="10"/>
  <c r="U44" i="10"/>
  <c r="Y44" i="10" s="1"/>
  <c r="X43" i="10"/>
  <c r="V43" i="10"/>
  <c r="U43" i="10"/>
  <c r="Y43" i="10" s="1"/>
  <c r="X42" i="10"/>
  <c r="V42" i="10"/>
  <c r="U42" i="10"/>
  <c r="W42" i="10" s="1"/>
  <c r="X41" i="10"/>
  <c r="V41" i="10"/>
  <c r="U41" i="10"/>
  <c r="Y41" i="10" s="1"/>
  <c r="X40" i="10"/>
  <c r="V40" i="10"/>
  <c r="U40" i="10"/>
  <c r="Y40" i="10" s="1"/>
  <c r="W48" i="10" l="1"/>
  <c r="W49" i="10"/>
  <c r="W40" i="10"/>
  <c r="W41" i="10"/>
  <c r="W44" i="10"/>
  <c r="W45" i="10"/>
  <c r="Y42" i="10"/>
  <c r="Y46" i="10"/>
  <c r="Y50" i="10"/>
  <c r="W43" i="10"/>
  <c r="W47" i="10"/>
  <c r="W51" i="10"/>
  <c r="H3" i="374" l="1"/>
  <c r="H4" i="374" s="1"/>
  <c r="H5" i="374" s="1"/>
  <c r="H6" i="374" s="1"/>
  <c r="H7" i="374" s="1"/>
  <c r="H8" i="374" s="1"/>
  <c r="H9" i="374" s="1"/>
  <c r="H10" i="374" s="1"/>
  <c r="H11" i="374" s="1"/>
  <c r="H12" i="374" s="1"/>
  <c r="H13" i="374" s="1"/>
  <c r="H14" i="374" s="1"/>
  <c r="H15" i="374" s="1"/>
  <c r="H16" i="374" s="1"/>
  <c r="H17" i="374" s="1"/>
  <c r="H18" i="374" s="1"/>
  <c r="H19" i="374" s="1"/>
  <c r="H20" i="374" s="1"/>
  <c r="H21" i="374" s="1"/>
  <c r="H22" i="374" s="1"/>
  <c r="H23" i="374" s="1"/>
  <c r="H24" i="374" s="1"/>
  <c r="H25" i="374" s="1"/>
  <c r="H26" i="374" s="1"/>
  <c r="H27" i="374" s="1"/>
  <c r="H28" i="374" s="1"/>
  <c r="H29" i="374" s="1"/>
  <c r="H30" i="374" s="1"/>
  <c r="H31" i="374" s="1"/>
  <c r="H32" i="374" s="1"/>
  <c r="H33" i="374" s="1"/>
  <c r="H34" i="374" s="1"/>
  <c r="H35" i="374" s="1"/>
  <c r="H36" i="374" s="1"/>
  <c r="H37" i="374" s="1"/>
  <c r="H38" i="374" s="1"/>
  <c r="H39" i="374" s="1"/>
  <c r="H40" i="374" s="1"/>
  <c r="H41" i="374" s="1"/>
  <c r="H42" i="374" s="1"/>
  <c r="H43" i="374" s="1"/>
  <c r="H44" i="374" s="1"/>
  <c r="H45" i="374" s="1"/>
  <c r="H46" i="374" s="1"/>
  <c r="H47" i="374" s="1"/>
  <c r="H48" i="374" s="1"/>
  <c r="H49" i="374" s="1"/>
  <c r="H50" i="374" s="1"/>
  <c r="H51" i="374" s="1"/>
  <c r="H52" i="374" s="1"/>
  <c r="H53" i="374" s="1"/>
  <c r="H54" i="374" s="1"/>
  <c r="H55" i="374" s="1"/>
  <c r="H56" i="374" s="1"/>
  <c r="H57" i="374" s="1"/>
  <c r="H58" i="374" s="1"/>
  <c r="H59" i="374" s="1"/>
  <c r="H60" i="374" s="1"/>
  <c r="H61" i="374" s="1"/>
  <c r="H62" i="374" s="1"/>
  <c r="H63" i="374" s="1"/>
  <c r="H64" i="374" s="1"/>
  <c r="H65" i="374" s="1"/>
  <c r="H66" i="374" s="1"/>
  <c r="H67" i="374" s="1"/>
  <c r="H68" i="374" s="1"/>
  <c r="H69" i="374" s="1"/>
  <c r="H70" i="374" s="1"/>
  <c r="H71" i="374" s="1"/>
  <c r="H72" i="374" s="1"/>
  <c r="H73" i="374" s="1"/>
  <c r="H74" i="374" s="1"/>
  <c r="H75" i="374" s="1"/>
  <c r="H76" i="374" s="1"/>
  <c r="H77" i="374" s="1"/>
  <c r="H78" i="374" s="1"/>
  <c r="H79" i="374" s="1"/>
  <c r="H80" i="374" s="1"/>
  <c r="H81" i="374" s="1"/>
  <c r="H82" i="374" s="1"/>
  <c r="H83" i="374" s="1"/>
  <c r="H84" i="374" s="1"/>
  <c r="H85" i="374" s="1"/>
  <c r="H86" i="374" s="1"/>
  <c r="H87" i="374" s="1"/>
  <c r="H88" i="374" s="1"/>
  <c r="H89" i="374" s="1"/>
  <c r="H90" i="374" s="1"/>
  <c r="H91" i="374" s="1"/>
  <c r="H92" i="374" s="1"/>
  <c r="H93" i="374" s="1"/>
  <c r="H94" i="374" s="1"/>
  <c r="H95" i="374" s="1"/>
  <c r="H96" i="374" s="1"/>
  <c r="H97" i="374" s="1"/>
  <c r="H98" i="374" s="1"/>
  <c r="H99" i="374" s="1"/>
  <c r="H100" i="374" s="1"/>
  <c r="H101" i="374" s="1"/>
  <c r="H102" i="374" s="1"/>
  <c r="H103" i="374" s="1"/>
  <c r="H104" i="374" s="1"/>
  <c r="H105" i="374" s="1"/>
  <c r="H106" i="374" s="1"/>
  <c r="H107" i="374" s="1"/>
  <c r="H108" i="374" s="1"/>
  <c r="H109" i="374" s="1"/>
  <c r="H110" i="374" s="1"/>
  <c r="H111" i="374" s="1"/>
  <c r="H112" i="374" s="1"/>
  <c r="H113" i="374" s="1"/>
  <c r="H114" i="374" s="1"/>
  <c r="H115" i="374" s="1"/>
  <c r="H116" i="374" s="1"/>
  <c r="H117" i="374" s="1"/>
  <c r="H118" i="374" s="1"/>
  <c r="H119" i="374" s="1"/>
  <c r="H120" i="374" s="1"/>
  <c r="H121" i="374" s="1"/>
  <c r="H122" i="374" s="1"/>
  <c r="H123" i="374" s="1"/>
  <c r="H124" i="374" s="1"/>
  <c r="H125" i="374" s="1"/>
  <c r="H126" i="374" s="1"/>
  <c r="H127" i="374" s="1"/>
  <c r="H128" i="374" s="1"/>
  <c r="H129" i="374" s="1"/>
  <c r="H130" i="374" s="1"/>
  <c r="H131" i="374" s="1"/>
  <c r="H132" i="374" s="1"/>
  <c r="H133" i="374" s="1"/>
  <c r="H134" i="374" s="1"/>
  <c r="H135" i="374" s="1"/>
  <c r="H136" i="374" s="1"/>
  <c r="H137" i="374" s="1"/>
  <c r="H138" i="374" s="1"/>
  <c r="H139" i="374" s="1"/>
  <c r="H140" i="374" s="1"/>
  <c r="H141" i="374" s="1"/>
  <c r="H142" i="374" s="1"/>
  <c r="H143" i="374" s="1"/>
  <c r="H144" i="374" s="1"/>
  <c r="H145" i="374" s="1"/>
  <c r="H146" i="374" s="1"/>
  <c r="H147" i="374" s="1"/>
  <c r="A3" i="374"/>
  <c r="A4" i="374" s="1"/>
  <c r="A5" i="374" s="1"/>
  <c r="A6" i="374" s="1"/>
  <c r="A7" i="374" s="1"/>
  <c r="A8" i="374" s="1"/>
  <c r="A9" i="374" s="1"/>
  <c r="A10" i="374" s="1"/>
  <c r="A11" i="374" s="1"/>
  <c r="A12" i="374" s="1"/>
  <c r="A13" i="374" s="1"/>
  <c r="A14" i="374" s="1"/>
  <c r="A15" i="374" s="1"/>
  <c r="A16" i="374" s="1"/>
  <c r="A17" i="374" s="1"/>
  <c r="A18" i="374" s="1"/>
  <c r="A19" i="374" s="1"/>
  <c r="A20" i="374" s="1"/>
  <c r="A21" i="374" s="1"/>
  <c r="A22" i="374" s="1"/>
  <c r="A23" i="374" s="1"/>
  <c r="A24" i="374" s="1"/>
  <c r="A25" i="374" s="1"/>
  <c r="A26" i="374" s="1"/>
  <c r="A27" i="374" s="1"/>
  <c r="A28" i="374" s="1"/>
  <c r="A29" i="374" s="1"/>
  <c r="A30" i="374" s="1"/>
  <c r="A31" i="374" s="1"/>
  <c r="A32" i="374" s="1"/>
  <c r="A33" i="374" s="1"/>
  <c r="A34" i="374" s="1"/>
  <c r="A35" i="374" s="1"/>
  <c r="A36" i="374" s="1"/>
  <c r="A37" i="374" s="1"/>
  <c r="A38" i="374" s="1"/>
  <c r="A39" i="374" s="1"/>
  <c r="A40" i="374" s="1"/>
  <c r="A41" i="374" s="1"/>
  <c r="A42" i="374" s="1"/>
  <c r="A43" i="374" s="1"/>
  <c r="A44" i="374" s="1"/>
  <c r="A45" i="374" s="1"/>
  <c r="A46" i="374" s="1"/>
  <c r="A47" i="374" s="1"/>
  <c r="A48" i="374" s="1"/>
  <c r="A49" i="374" s="1"/>
  <c r="A50" i="374" s="1"/>
  <c r="A51" i="374" s="1"/>
  <c r="A52" i="374" s="1"/>
  <c r="A53" i="374" s="1"/>
  <c r="A54" i="374" s="1"/>
  <c r="A55" i="374" s="1"/>
  <c r="A56" i="374" s="1"/>
  <c r="A57" i="374" s="1"/>
  <c r="A58" i="374" s="1"/>
  <c r="A59" i="374" s="1"/>
  <c r="A60" i="374" s="1"/>
  <c r="A61" i="374" s="1"/>
  <c r="A62" i="374" s="1"/>
  <c r="A63" i="374" s="1"/>
  <c r="A64" i="374" s="1"/>
  <c r="A65" i="374" s="1"/>
  <c r="A66" i="374" s="1"/>
  <c r="A67" i="374" s="1"/>
  <c r="A68" i="374" s="1"/>
  <c r="A69" i="374" s="1"/>
  <c r="A70" i="374" s="1"/>
  <c r="A71" i="374" s="1"/>
  <c r="A72" i="374" s="1"/>
  <c r="A73" i="374" s="1"/>
  <c r="A74" i="374" s="1"/>
  <c r="A75" i="374" s="1"/>
  <c r="A76" i="374" s="1"/>
  <c r="A77" i="374" s="1"/>
  <c r="A78" i="374" s="1"/>
  <c r="A79" i="374" s="1"/>
  <c r="A80" i="374" s="1"/>
  <c r="A81" i="374" s="1"/>
  <c r="A82" i="374" s="1"/>
  <c r="A83" i="374" s="1"/>
  <c r="A84" i="374" s="1"/>
  <c r="A85" i="374" s="1"/>
  <c r="A86" i="374" s="1"/>
  <c r="A87" i="374" s="1"/>
  <c r="A88" i="374" s="1"/>
  <c r="A89" i="374" s="1"/>
  <c r="A90" i="374" s="1"/>
  <c r="A91" i="374" s="1"/>
  <c r="A92" i="374" s="1"/>
  <c r="A93" i="374" s="1"/>
  <c r="A94" i="374" s="1"/>
  <c r="A95" i="374" s="1"/>
  <c r="A96" i="374" l="1"/>
  <c r="H148" i="374"/>
  <c r="H149" i="374" s="1"/>
  <c r="H150" i="374" s="1"/>
  <c r="H151" i="374" s="1"/>
  <c r="H152" i="374" s="1"/>
  <c r="H153" i="374" s="1"/>
  <c r="H154" i="374" s="1"/>
  <c r="H155" i="374" s="1"/>
  <c r="H156" i="374" s="1"/>
  <c r="H157" i="374" s="1"/>
  <c r="H158" i="374" s="1"/>
  <c r="H159" i="374" s="1"/>
  <c r="H160" i="374" s="1"/>
  <c r="H161" i="374" s="1"/>
  <c r="H162" i="374" s="1"/>
  <c r="H163" i="374" s="1"/>
  <c r="H164" i="374" s="1"/>
  <c r="H165" i="374" s="1"/>
  <c r="H166" i="374" s="1"/>
  <c r="H167" i="374" s="1"/>
  <c r="H168" i="374" s="1"/>
  <c r="H169" i="374" s="1"/>
  <c r="H170" i="374" s="1"/>
  <c r="H171" i="374" s="1"/>
  <c r="H172" i="374" s="1"/>
  <c r="H173" i="374" s="1"/>
  <c r="H174" i="374" s="1"/>
  <c r="H175" i="374" s="1"/>
  <c r="H176" i="374" s="1"/>
  <c r="H177" i="374" s="1"/>
  <c r="H178" i="374" s="1"/>
  <c r="H179" i="374" s="1"/>
  <c r="H180" i="374" s="1"/>
  <c r="H181" i="374" s="1"/>
  <c r="H182" i="374" s="1"/>
  <c r="H183" i="374" s="1"/>
  <c r="H184" i="374" s="1"/>
  <c r="H185" i="374" s="1"/>
  <c r="H186" i="374" s="1"/>
  <c r="H187" i="374" s="1"/>
  <c r="H188" i="374" s="1"/>
  <c r="H189" i="374" s="1"/>
  <c r="A97" i="374" l="1"/>
  <c r="A98" i="374" s="1"/>
  <c r="A99" i="374" s="1"/>
  <c r="A100" i="374" s="1"/>
  <c r="A101" i="374" s="1"/>
  <c r="A102" i="374" s="1"/>
  <c r="A103" i="374" s="1"/>
  <c r="A104" i="374" s="1"/>
  <c r="A105" i="374" s="1"/>
  <c r="A106" i="374" s="1"/>
  <c r="A107" i="374" s="1"/>
  <c r="A108" i="374" s="1"/>
  <c r="A109" i="374" s="1"/>
  <c r="A110" i="374" s="1"/>
  <c r="A111" i="374" s="1"/>
  <c r="A112" i="374" s="1"/>
  <c r="A113" i="374" s="1"/>
  <c r="A114" i="374" s="1"/>
  <c r="A115" i="374" s="1"/>
  <c r="A116" i="374" s="1"/>
  <c r="A117" i="374" s="1"/>
  <c r="A118" i="374" s="1"/>
  <c r="A119" i="374" s="1"/>
  <c r="A120" i="374" s="1"/>
  <c r="A121" i="374" s="1"/>
  <c r="A122" i="374" s="1"/>
  <c r="A123" i="374" s="1"/>
  <c r="A124" i="374" s="1"/>
  <c r="A125" i="374" s="1"/>
  <c r="A126" i="374" s="1"/>
  <c r="A127" i="374" s="1"/>
  <c r="A128" i="374" s="1"/>
  <c r="A129" i="374" s="1"/>
  <c r="A130" i="374" s="1"/>
  <c r="A131" i="374" s="1"/>
  <c r="A132" i="374" s="1"/>
  <c r="A133" i="374" s="1"/>
  <c r="A134" i="374" s="1"/>
  <c r="A135" i="374" s="1"/>
  <c r="A136" i="374" s="1"/>
  <c r="A137" i="374" l="1"/>
  <c r="B10" i="423"/>
  <c r="A138" i="374" l="1"/>
  <c r="A139" i="374" s="1"/>
  <c r="A140" i="374" s="1"/>
  <c r="A141" i="374" s="1"/>
  <c r="A142" i="374" s="1"/>
  <c r="A143" i="374" s="1"/>
  <c r="A144" i="374" s="1"/>
  <c r="A145" i="374" s="1"/>
  <c r="A146" i="374" s="1"/>
  <c r="A147" i="374" s="1"/>
  <c r="A148" i="374" s="1"/>
  <c r="A149" i="374" s="1"/>
  <c r="A150" i="374" s="1"/>
  <c r="A151" i="374" s="1"/>
  <c r="A152" i="374" s="1"/>
  <c r="A3" i="427"/>
  <c r="A4" i="427" s="1"/>
  <c r="A5" i="427" s="1"/>
  <c r="A6" i="427" s="1"/>
  <c r="A7" i="427" s="1"/>
  <c r="H3" i="427"/>
  <c r="H4" i="427" s="1"/>
  <c r="H5" i="427" s="1"/>
  <c r="H6" i="427" s="1"/>
  <c r="A3" i="426"/>
  <c r="A4" i="426" s="1"/>
  <c r="A5" i="426" s="1"/>
  <c r="A6" i="426" s="1"/>
  <c r="A7" i="426" s="1"/>
  <c r="A8" i="426" s="1"/>
  <c r="A9" i="426" s="1"/>
  <c r="A10" i="426" s="1"/>
  <c r="A11" i="426" s="1"/>
  <c r="A12" i="426" s="1"/>
  <c r="A13" i="426" s="1"/>
  <c r="A14" i="426" s="1"/>
  <c r="A15" i="426" s="1"/>
  <c r="A16" i="426" s="1"/>
  <c r="A17" i="426" s="1"/>
  <c r="A18" i="426" s="1"/>
  <c r="A19" i="426" s="1"/>
  <c r="A20" i="426" s="1"/>
  <c r="A21" i="426" s="1"/>
  <c r="A22" i="426" s="1"/>
  <c r="A23" i="426" s="1"/>
  <c r="A24" i="426" s="1"/>
  <c r="A25" i="426" s="1"/>
  <c r="A26" i="426" s="1"/>
  <c r="A27" i="426" s="1"/>
  <c r="A28" i="426" s="1"/>
  <c r="A29" i="426" s="1"/>
  <c r="A30" i="426" s="1"/>
  <c r="A31" i="426" s="1"/>
  <c r="A32" i="426" s="1"/>
  <c r="A33" i="426" s="1"/>
  <c r="H3" i="426"/>
  <c r="H4" i="426" s="1"/>
  <c r="H5" i="426" s="1"/>
  <c r="H6" i="426" s="1"/>
  <c r="H7" i="426" s="1"/>
  <c r="H8" i="426" s="1"/>
  <c r="H9" i="426" s="1"/>
  <c r="H10" i="426" s="1"/>
  <c r="H11" i="426" s="1"/>
  <c r="H12" i="426" s="1"/>
  <c r="H13" i="426" s="1"/>
  <c r="H14" i="426" s="1"/>
  <c r="H15" i="426" s="1"/>
  <c r="H16" i="426" s="1"/>
  <c r="A3" i="425"/>
  <c r="A4" i="425" s="1"/>
  <c r="A5" i="425" s="1"/>
  <c r="A6" i="425" s="1"/>
  <c r="A7" i="425" s="1"/>
  <c r="A8" i="425" s="1"/>
  <c r="A9" i="425" s="1"/>
  <c r="A10" i="425" s="1"/>
  <c r="A11" i="425" s="1"/>
  <c r="A12" i="425" s="1"/>
  <c r="A13" i="425" s="1"/>
  <c r="A14" i="425" s="1"/>
  <c r="A15" i="425" s="1"/>
  <c r="A16" i="425" s="1"/>
  <c r="A17" i="425" s="1"/>
  <c r="A18" i="425" s="1"/>
  <c r="A19" i="425" s="1"/>
  <c r="H3" i="425"/>
  <c r="H4" i="425" s="1"/>
  <c r="H5" i="425" s="1"/>
  <c r="H6" i="425" s="1"/>
  <c r="H7" i="425" s="1"/>
  <c r="H8" i="425" s="1"/>
  <c r="H9" i="425" s="1"/>
  <c r="H10" i="425" s="1"/>
  <c r="H11" i="425" s="1"/>
  <c r="H12" i="425" s="1"/>
  <c r="H13" i="425" s="1"/>
  <c r="H14" i="425" s="1"/>
  <c r="H15" i="425" s="1"/>
  <c r="H16" i="425" s="1"/>
  <c r="H17" i="425" s="1"/>
  <c r="H18" i="425" s="1"/>
  <c r="H19" i="425" s="1"/>
  <c r="H20" i="425" s="1"/>
  <c r="H21" i="425" s="1"/>
  <c r="H22" i="425" s="1"/>
  <c r="H23" i="425" s="1"/>
  <c r="H24" i="425" s="1"/>
  <c r="H25" i="425" s="1"/>
  <c r="H26" i="425" s="1"/>
  <c r="H27" i="425" s="1"/>
  <c r="H28" i="425" s="1"/>
  <c r="H29" i="425" s="1"/>
  <c r="H30" i="425" s="1"/>
  <c r="H31" i="425" s="1"/>
  <c r="H32" i="425" s="1"/>
  <c r="H33" i="425" s="1"/>
  <c r="H34" i="425" s="1"/>
  <c r="H35" i="425" s="1"/>
  <c r="H36" i="425" s="1"/>
  <c r="H37" i="425" s="1"/>
  <c r="B2" i="424"/>
  <c r="E2" i="424" s="1"/>
  <c r="C2" i="424"/>
  <c r="D2" i="424"/>
  <c r="B10" i="424"/>
  <c r="A11" i="424"/>
  <c r="B11" i="424" s="1"/>
  <c r="E11" i="424" s="1"/>
  <c r="C11" i="424"/>
  <c r="D11" i="424"/>
  <c r="F11" i="424"/>
  <c r="F20" i="424" s="1"/>
  <c r="F29" i="424" s="1"/>
  <c r="B15" i="424"/>
  <c r="C20" i="424"/>
  <c r="D20" i="424"/>
  <c r="C29" i="424"/>
  <c r="D29" i="424"/>
  <c r="B2" i="423"/>
  <c r="E2" i="423" s="1"/>
  <c r="C2" i="423"/>
  <c r="D2" i="423"/>
  <c r="A11" i="423"/>
  <c r="B11" i="423" s="1"/>
  <c r="E11" i="423" s="1"/>
  <c r="C11" i="423"/>
  <c r="D11" i="423"/>
  <c r="F11" i="423"/>
  <c r="F20" i="423" s="1"/>
  <c r="F29" i="423" s="1"/>
  <c r="A20" i="423"/>
  <c r="B20" i="423" s="1"/>
  <c r="E20" i="423" s="1"/>
  <c r="C20" i="423"/>
  <c r="B28" i="423"/>
  <c r="B2" i="422"/>
  <c r="E2" i="422" s="1"/>
  <c r="C2" i="422"/>
  <c r="D2" i="422"/>
  <c r="B10" i="422"/>
  <c r="A11" i="422"/>
  <c r="B11" i="422" s="1"/>
  <c r="E11" i="422" s="1"/>
  <c r="C11" i="422"/>
  <c r="D11" i="422"/>
  <c r="F11" i="422"/>
  <c r="F20" i="422" s="1"/>
  <c r="F29" i="422" s="1"/>
  <c r="F38" i="422" s="1"/>
  <c r="F47" i="422" s="1"/>
  <c r="F56" i="422" s="1"/>
  <c r="F65" i="422" s="1"/>
  <c r="F74" i="422" s="1"/>
  <c r="F83" i="422" s="1"/>
  <c r="F92" i="422" s="1"/>
  <c r="F101" i="422" s="1"/>
  <c r="F110" i="422" s="1"/>
  <c r="F119" i="422" s="1"/>
  <c r="F128" i="422" s="1"/>
  <c r="F137" i="422" s="1"/>
  <c r="C20" i="422"/>
  <c r="D20" i="422"/>
  <c r="C29" i="422"/>
  <c r="D29" i="422"/>
  <c r="C38" i="422"/>
  <c r="D38" i="422"/>
  <c r="C47" i="422"/>
  <c r="D47" i="422"/>
  <c r="C56" i="422"/>
  <c r="D56" i="422"/>
  <c r="C65" i="422"/>
  <c r="D65" i="422"/>
  <c r="C74" i="422"/>
  <c r="D74" i="422"/>
  <c r="C83" i="422"/>
  <c r="D83" i="422"/>
  <c r="C92" i="422"/>
  <c r="D92" i="422"/>
  <c r="C101" i="422"/>
  <c r="D101" i="422"/>
  <c r="C110" i="422"/>
  <c r="D110" i="422"/>
  <c r="C119" i="422"/>
  <c r="D119" i="422"/>
  <c r="C128" i="422"/>
  <c r="D128" i="422"/>
  <c r="C137" i="422"/>
  <c r="D137" i="422"/>
  <c r="A20" i="425" l="1"/>
  <c r="A21" i="425" s="1"/>
  <c r="A22" i="425" s="1"/>
  <c r="A23" i="425" s="1"/>
  <c r="A24" i="425" s="1"/>
  <c r="A25" i="425" s="1"/>
  <c r="A26" i="425" s="1"/>
  <c r="A27" i="425" s="1"/>
  <c r="A28" i="425" s="1"/>
  <c r="A29" i="425" s="1"/>
  <c r="A30" i="425" s="1"/>
  <c r="A31" i="425" s="1"/>
  <c r="A32" i="425" s="1"/>
  <c r="A33" i="425" s="1"/>
  <c r="A34" i="425" s="1"/>
  <c r="A35" i="425" s="1"/>
  <c r="B19" i="425"/>
  <c r="A8" i="427"/>
  <c r="A9" i="427" s="1"/>
  <c r="B7" i="427"/>
  <c r="H7" i="427"/>
  <c r="H8" i="427" s="1"/>
  <c r="B18" i="424"/>
  <c r="A153" i="374"/>
  <c r="B19" i="424"/>
  <c r="H17" i="426"/>
  <c r="H18" i="426" s="1"/>
  <c r="H19" i="426" s="1"/>
  <c r="H20" i="426" s="1"/>
  <c r="H21" i="426" s="1"/>
  <c r="H22" i="426" s="1"/>
  <c r="H23" i="426" s="1"/>
  <c r="H24" i="426" s="1"/>
  <c r="H25" i="426" s="1"/>
  <c r="H26" i="426" s="1"/>
  <c r="H27" i="426" s="1"/>
  <c r="H28" i="426" s="1"/>
  <c r="H29" i="426" s="1"/>
  <c r="H30" i="426" s="1"/>
  <c r="H31" i="426" s="1"/>
  <c r="H32" i="426" s="1"/>
  <c r="H33" i="426" s="1"/>
  <c r="A20" i="422"/>
  <c r="B19" i="423"/>
  <c r="B14" i="424"/>
  <c r="B19" i="422"/>
  <c r="A29" i="423"/>
  <c r="B16" i="424"/>
  <c r="A20" i="424"/>
  <c r="B13" i="424"/>
  <c r="B17" i="424"/>
  <c r="A36" i="425" l="1"/>
  <c r="A10" i="427"/>
  <c r="A11" i="427" s="1"/>
  <c r="A12" i="427" s="1"/>
  <c r="A13" i="427" s="1"/>
  <c r="A14" i="427" s="1"/>
  <c r="A15" i="427" s="1"/>
  <c r="A16" i="427" s="1"/>
  <c r="A17" i="427" s="1"/>
  <c r="A18" i="427" s="1"/>
  <c r="H9" i="427"/>
  <c r="H10" i="427" s="1"/>
  <c r="H11" i="427" s="1"/>
  <c r="H12" i="427" s="1"/>
  <c r="H13" i="427" s="1"/>
  <c r="H14" i="427" s="1"/>
  <c r="H15" i="427" s="1"/>
  <c r="H16" i="427" s="1"/>
  <c r="H17" i="427" s="1"/>
  <c r="H18" i="427" s="1"/>
  <c r="H19" i="427" s="1"/>
  <c r="H20" i="427" s="1"/>
  <c r="H21" i="427" s="1"/>
  <c r="H22" i="427" s="1"/>
  <c r="H23" i="427" s="1"/>
  <c r="H24" i="427" s="1"/>
  <c r="H25" i="427" s="1"/>
  <c r="H26" i="427" s="1"/>
  <c r="H27" i="427" s="1"/>
  <c r="H28" i="427" s="1"/>
  <c r="H29" i="427" s="1"/>
  <c r="H30" i="427" s="1"/>
  <c r="H31" i="427" s="1"/>
  <c r="H32" i="427" s="1"/>
  <c r="H33" i="427" s="1"/>
  <c r="H34" i="427" s="1"/>
  <c r="H35" i="427" s="1"/>
  <c r="H36" i="427" s="1"/>
  <c r="H37" i="427" s="1"/>
  <c r="H38" i="427" s="1"/>
  <c r="H39" i="427" s="1"/>
  <c r="H40" i="427" s="1"/>
  <c r="H41" i="427" s="1"/>
  <c r="H42" i="427" s="1"/>
  <c r="H43" i="427" s="1"/>
  <c r="H44" i="427" s="1"/>
  <c r="H45" i="427" s="1"/>
  <c r="H46" i="427" s="1"/>
  <c r="H47" i="427" s="1"/>
  <c r="H48" i="427" s="1"/>
  <c r="H49" i="427" s="1"/>
  <c r="H50" i="427" s="1"/>
  <c r="H51" i="427" s="1"/>
  <c r="H52" i="427" s="1"/>
  <c r="H53" i="427" s="1"/>
  <c r="H54" i="427" s="1"/>
  <c r="H55" i="427" s="1"/>
  <c r="H56" i="427" s="1"/>
  <c r="H57" i="427" s="1"/>
  <c r="H58" i="427" s="1"/>
  <c r="H59" i="427" s="1"/>
  <c r="H60" i="427" s="1"/>
  <c r="H61" i="427" s="1"/>
  <c r="H62" i="427" s="1"/>
  <c r="H63" i="427" s="1"/>
  <c r="H64" i="427" s="1"/>
  <c r="H65" i="427" s="1"/>
  <c r="H66" i="427" s="1"/>
  <c r="H67" i="427" s="1"/>
  <c r="A37" i="425"/>
  <c r="A154" i="374"/>
  <c r="B29" i="423"/>
  <c r="E29" i="423" s="1"/>
  <c r="B37" i="423"/>
  <c r="B23" i="424"/>
  <c r="B20" i="424"/>
  <c r="E20" i="424" s="1"/>
  <c r="B24" i="424"/>
  <c r="B28" i="424"/>
  <c r="B21" i="424"/>
  <c r="B27" i="424"/>
  <c r="B22" i="424"/>
  <c r="A29" i="424"/>
  <c r="B25" i="424"/>
  <c r="B26" i="424"/>
  <c r="B28" i="422"/>
  <c r="A29" i="422"/>
  <c r="B20" i="422"/>
  <c r="E20" i="422" s="1"/>
  <c r="A19" i="427" l="1"/>
  <c r="A20" i="427" s="1"/>
  <c r="B18" i="427"/>
  <c r="H68" i="427"/>
  <c r="H69" i="427" s="1"/>
  <c r="H70" i="427" s="1"/>
  <c r="H71" i="427" s="1"/>
  <c r="H72" i="427" s="1"/>
  <c r="H73" i="427" s="1"/>
  <c r="H74" i="427" s="1"/>
  <c r="H75" i="427" s="1"/>
  <c r="H76" i="427" s="1"/>
  <c r="H77" i="427" s="1"/>
  <c r="H78" i="427" s="1"/>
  <c r="H79" i="427" s="1"/>
  <c r="H80" i="427" s="1"/>
  <c r="H81" i="427" s="1"/>
  <c r="H82" i="427" s="1"/>
  <c r="H83" i="427" s="1"/>
  <c r="H84" i="427" s="1"/>
  <c r="H85" i="427" s="1"/>
  <c r="H86" i="427" s="1"/>
  <c r="H87" i="427" s="1"/>
  <c r="H88" i="427" s="1"/>
  <c r="H89" i="427" s="1"/>
  <c r="H90" i="427" s="1"/>
  <c r="H91" i="427" s="1"/>
  <c r="H92" i="427" s="1"/>
  <c r="H93" i="427" s="1"/>
  <c r="H94" i="427" s="1"/>
  <c r="H95" i="427" s="1"/>
  <c r="H96" i="427" s="1"/>
  <c r="H97" i="427" s="1"/>
  <c r="H98" i="427" s="1"/>
  <c r="H99" i="427" s="1"/>
  <c r="H100" i="427" s="1"/>
  <c r="H101" i="427" s="1"/>
  <c r="H102" i="427" s="1"/>
  <c r="H103" i="427" s="1"/>
  <c r="H104" i="427" s="1"/>
  <c r="H105" i="427" s="1"/>
  <c r="H106" i="427" s="1"/>
  <c r="H107" i="427" s="1"/>
  <c r="H108" i="427" s="1"/>
  <c r="H109" i="427" s="1"/>
  <c r="H110" i="427" s="1"/>
  <c r="H111" i="427" s="1"/>
  <c r="H112" i="427" s="1"/>
  <c r="H113" i="427" s="1"/>
  <c r="H114" i="427" s="1"/>
  <c r="H115" i="427" s="1"/>
  <c r="H116" i="427" s="1"/>
  <c r="H117" i="427" s="1"/>
  <c r="H118" i="427" s="1"/>
  <c r="A155" i="374"/>
  <c r="A38" i="422"/>
  <c r="B37" i="422"/>
  <c r="B29" i="422"/>
  <c r="E29" i="422" s="1"/>
  <c r="B31" i="424"/>
  <c r="B35" i="424"/>
  <c r="B32" i="424"/>
  <c r="B36" i="424"/>
  <c r="B29" i="424"/>
  <c r="E29" i="424" s="1"/>
  <c r="B33" i="424"/>
  <c r="B37" i="424"/>
  <c r="B30" i="424"/>
  <c r="B34" i="424"/>
  <c r="A21" i="427" l="1"/>
  <c r="A22" i="427" s="1"/>
  <c r="A23" i="427" s="1"/>
  <c r="A24" i="427" s="1"/>
  <c r="A25" i="427" s="1"/>
  <c r="A26" i="427" s="1"/>
  <c r="A27" i="427" s="1"/>
  <c r="A28" i="427" s="1"/>
  <c r="A29" i="427" s="1"/>
  <c r="A30" i="427" s="1"/>
  <c r="A31" i="427" s="1"/>
  <c r="A32" i="427" s="1"/>
  <c r="A33" i="427" s="1"/>
  <c r="A34" i="427" s="1"/>
  <c r="A35" i="427" s="1"/>
  <c r="A36" i="427" s="1"/>
  <c r="A37" i="427" s="1"/>
  <c r="H119" i="427"/>
  <c r="H120" i="427" s="1"/>
  <c r="H121" i="427" s="1"/>
  <c r="H122" i="427" s="1"/>
  <c r="H123" i="427" s="1"/>
  <c r="H124" i="427" s="1"/>
  <c r="H125" i="427" s="1"/>
  <c r="H126" i="427" s="1"/>
  <c r="H127" i="427" s="1"/>
  <c r="H128" i="427" s="1"/>
  <c r="H129" i="427" s="1"/>
  <c r="H130" i="427" s="1"/>
  <c r="H131" i="427" s="1"/>
  <c r="H132" i="427" s="1"/>
  <c r="H133" i="427" s="1"/>
  <c r="H134" i="427" s="1"/>
  <c r="H135" i="427" s="1"/>
  <c r="H136" i="427" s="1"/>
  <c r="H137" i="427" s="1"/>
  <c r="H138" i="427" s="1"/>
  <c r="H139" i="427" s="1"/>
  <c r="H140" i="427" s="1"/>
  <c r="A156" i="374"/>
  <c r="B38" i="422"/>
  <c r="E38" i="422" s="1"/>
  <c r="A47" i="422"/>
  <c r="B46" i="422"/>
  <c r="A38" i="427" l="1"/>
  <c r="A39" i="427" s="1"/>
  <c r="A40" i="427" s="1"/>
  <c r="A41" i="427" s="1"/>
  <c r="A42" i="427" s="1"/>
  <c r="A43" i="427" s="1"/>
  <c r="A44" i="427" s="1"/>
  <c r="A45" i="427" s="1"/>
  <c r="A46" i="427" s="1"/>
  <c r="A47" i="427" s="1"/>
  <c r="A48" i="427" s="1"/>
  <c r="A49" i="427" s="1"/>
  <c r="A50" i="427" s="1"/>
  <c r="A51" i="427" s="1"/>
  <c r="A52" i="427" s="1"/>
  <c r="A53" i="427" s="1"/>
  <c r="A54" i="427" s="1"/>
  <c r="A55" i="427" s="1"/>
  <c r="A56" i="427" s="1"/>
  <c r="A57" i="427" s="1"/>
  <c r="A58" i="427" s="1"/>
  <c r="A59" i="427" s="1"/>
  <c r="A60" i="427" s="1"/>
  <c r="A61" i="427" s="1"/>
  <c r="A62" i="427" s="1"/>
  <c r="A63" i="427" s="1"/>
  <c r="A64" i="427" s="1"/>
  <c r="A65" i="427" s="1"/>
  <c r="A66" i="427" s="1"/>
  <c r="A67" i="427" s="1"/>
  <c r="A68" i="427" s="1"/>
  <c r="B37" i="427"/>
  <c r="H141" i="427"/>
  <c r="H142" i="427" s="1"/>
  <c r="H143" i="427" s="1"/>
  <c r="H144" i="427" s="1"/>
  <c r="H145" i="427" s="1"/>
  <c r="H146" i="427" s="1"/>
  <c r="H147" i="427" s="1"/>
  <c r="H148" i="427" s="1"/>
  <c r="H149" i="427" s="1"/>
  <c r="H150" i="427" s="1"/>
  <c r="H151" i="427" s="1"/>
  <c r="H152" i="427" s="1"/>
  <c r="H153" i="427" s="1"/>
  <c r="H154" i="427" s="1"/>
  <c r="H155" i="427" s="1"/>
  <c r="H156" i="427" s="1"/>
  <c r="H157" i="427" s="1"/>
  <c r="H158" i="427" s="1"/>
  <c r="H159" i="427" s="1"/>
  <c r="H160" i="427" s="1"/>
  <c r="H161" i="427" s="1"/>
  <c r="H162" i="427" s="1"/>
  <c r="H163" i="427" s="1"/>
  <c r="H164" i="427" s="1"/>
  <c r="H165" i="427" s="1"/>
  <c r="H166" i="427" s="1"/>
  <c r="H167" i="427" s="1"/>
  <c r="H168" i="427" s="1"/>
  <c r="H169" i="427" s="1"/>
  <c r="H170" i="427" s="1"/>
  <c r="H171" i="427" s="1"/>
  <c r="H172" i="427" s="1"/>
  <c r="H173" i="427" s="1"/>
  <c r="H174" i="427" s="1"/>
  <c r="H175" i="427" s="1"/>
  <c r="H176" i="427" s="1"/>
  <c r="H177" i="427" s="1"/>
  <c r="H178" i="427" s="1"/>
  <c r="H179" i="427" s="1"/>
  <c r="H180" i="427" s="1"/>
  <c r="H181" i="427" s="1"/>
  <c r="H182" i="427" s="1"/>
  <c r="H183" i="427" s="1"/>
  <c r="H184" i="427" s="1"/>
  <c r="H185" i="427" s="1"/>
  <c r="H186" i="427" s="1"/>
  <c r="H187" i="427" s="1"/>
  <c r="H188" i="427" s="1"/>
  <c r="A157" i="374"/>
  <c r="B47" i="422"/>
  <c r="E47" i="422" s="1"/>
  <c r="B55" i="422"/>
  <c r="A56" i="422"/>
  <c r="A69" i="427" l="1"/>
  <c r="B68" i="427"/>
  <c r="H189" i="427"/>
  <c r="H190" i="427" s="1"/>
  <c r="H191" i="427" s="1"/>
  <c r="H192" i="427" s="1"/>
  <c r="H193" i="427" s="1"/>
  <c r="H194" i="427" s="1"/>
  <c r="H195" i="427" s="1"/>
  <c r="H196" i="427" s="1"/>
  <c r="H197" i="427" s="1"/>
  <c r="H198" i="427" s="1"/>
  <c r="H199" i="427" s="1"/>
  <c r="H200" i="427" s="1"/>
  <c r="H201" i="427" s="1"/>
  <c r="H202" i="427" s="1"/>
  <c r="H203" i="427" s="1"/>
  <c r="H204" i="427" s="1"/>
  <c r="H205" i="427" s="1"/>
  <c r="H206" i="427" s="1"/>
  <c r="H207" i="427" s="1"/>
  <c r="H208" i="427" s="1"/>
  <c r="H209" i="427" s="1"/>
  <c r="H210" i="427" s="1"/>
  <c r="H211" i="427" s="1"/>
  <c r="H212" i="427" s="1"/>
  <c r="H213" i="427" s="1"/>
  <c r="H214" i="427" s="1"/>
  <c r="H215" i="427" s="1"/>
  <c r="H216" i="427" s="1"/>
  <c r="H217" i="427" s="1"/>
  <c r="H218" i="427" s="1"/>
  <c r="H219" i="427" s="1"/>
  <c r="H220" i="427" s="1"/>
  <c r="H221" i="427" s="1"/>
  <c r="H222" i="427" s="1"/>
  <c r="H223" i="427" s="1"/>
  <c r="H224" i="427" s="1"/>
  <c r="H225" i="427" s="1"/>
  <c r="H226" i="427" s="1"/>
  <c r="H227" i="427" s="1"/>
  <c r="H228" i="427" s="1"/>
  <c r="H229" i="427" s="1"/>
  <c r="A158" i="374"/>
  <c r="B64" i="422"/>
  <c r="A65" i="422"/>
  <c r="B56" i="422"/>
  <c r="E56" i="422" s="1"/>
  <c r="A70" i="427" l="1"/>
  <c r="A71" i="427" s="1"/>
  <c r="A72" i="427" s="1"/>
  <c r="A73" i="427" s="1"/>
  <c r="A74" i="427" s="1"/>
  <c r="A75" i="427" s="1"/>
  <c r="A76" i="427" s="1"/>
  <c r="A77" i="427" s="1"/>
  <c r="A78" i="427" s="1"/>
  <c r="A79" i="427" s="1"/>
  <c r="A80" i="427" s="1"/>
  <c r="A81" i="427" s="1"/>
  <c r="A82" i="427" s="1"/>
  <c r="A83" i="427" s="1"/>
  <c r="A84" i="427" s="1"/>
  <c r="A85" i="427" s="1"/>
  <c r="A86" i="427" s="1"/>
  <c r="A87" i="427" s="1"/>
  <c r="A88" i="427" s="1"/>
  <c r="A89" i="427" s="1"/>
  <c r="A90" i="427" s="1"/>
  <c r="A91" i="427" s="1"/>
  <c r="A92" i="427" s="1"/>
  <c r="A93" i="427" s="1"/>
  <c r="A94" i="427" s="1"/>
  <c r="A95" i="427" s="1"/>
  <c r="B69" i="427"/>
  <c r="A159" i="374"/>
  <c r="A74" i="422"/>
  <c r="B65" i="422"/>
  <c r="E65" i="422" s="1"/>
  <c r="B73" i="422"/>
  <c r="A96" i="427" l="1"/>
  <c r="A160" i="374"/>
  <c r="B74" i="422"/>
  <c r="E74" i="422" s="1"/>
  <c r="A83" i="422"/>
  <c r="B82" i="422"/>
  <c r="A97" i="427" l="1"/>
  <c r="A98" i="427" s="1"/>
  <c r="A99" i="427" s="1"/>
  <c r="A100" i="427" s="1"/>
  <c r="A101" i="427" s="1"/>
  <c r="A102" i="427" s="1"/>
  <c r="A103" i="427" s="1"/>
  <c r="A104" i="427" s="1"/>
  <c r="A105" i="427" s="1"/>
  <c r="A106" i="427" s="1"/>
  <c r="A107" i="427" s="1"/>
  <c r="A108" i="427" s="1"/>
  <c r="A109" i="427" s="1"/>
  <c r="A110" i="427" s="1"/>
  <c r="A111" i="427" s="1"/>
  <c r="A112" i="427" s="1"/>
  <c r="A113" i="427" s="1"/>
  <c r="A114" i="427" s="1"/>
  <c r="A115" i="427" s="1"/>
  <c r="A116" i="427" s="1"/>
  <c r="A117" i="427" s="1"/>
  <c r="A118" i="427" s="1"/>
  <c r="A119" i="427" s="1"/>
  <c r="A120" i="427" s="1"/>
  <c r="A121" i="427" s="1"/>
  <c r="A122" i="427" s="1"/>
  <c r="A123" i="427" s="1"/>
  <c r="A124" i="427" s="1"/>
  <c r="A125" i="427" s="1"/>
  <c r="A126" i="427" s="1"/>
  <c r="A127" i="427" s="1"/>
  <c r="A128" i="427" s="1"/>
  <c r="A129" i="427" s="1"/>
  <c r="A130" i="427" s="1"/>
  <c r="A131" i="427" s="1"/>
  <c r="A132" i="427" s="1"/>
  <c r="A133" i="427" s="1"/>
  <c r="A134" i="427" s="1"/>
  <c r="A135" i="427" s="1"/>
  <c r="A136" i="427" s="1"/>
  <c r="A137" i="427" s="1"/>
  <c r="A138" i="427" s="1"/>
  <c r="A139" i="427" s="1"/>
  <c r="A140" i="427" s="1"/>
  <c r="A141" i="427" s="1"/>
  <c r="A142" i="427" s="1"/>
  <c r="A143" i="427" s="1"/>
  <c r="A144" i="427" s="1"/>
  <c r="A145" i="427" s="1"/>
  <c r="A146" i="427" s="1"/>
  <c r="A147" i="427" s="1"/>
  <c r="A148" i="427" s="1"/>
  <c r="A149" i="427" s="1"/>
  <c r="A150" i="427" s="1"/>
  <c r="A151" i="427" s="1"/>
  <c r="A152" i="427" s="1"/>
  <c r="A153" i="427" s="1"/>
  <c r="A154" i="427" s="1"/>
  <c r="A155" i="427" s="1"/>
  <c r="A156" i="427" s="1"/>
  <c r="A157" i="427" s="1"/>
  <c r="A158" i="427" s="1"/>
  <c r="A159" i="427" s="1"/>
  <c r="A160" i="427" s="1"/>
  <c r="A161" i="427" s="1"/>
  <c r="A162" i="427" s="1"/>
  <c r="A163" i="427" s="1"/>
  <c r="A164" i="427" s="1"/>
  <c r="A165" i="427" s="1"/>
  <c r="A166" i="427" s="1"/>
  <c r="A167" i="427" s="1"/>
  <c r="A168" i="427" s="1"/>
  <c r="A169" i="427" s="1"/>
  <c r="A170" i="427" s="1"/>
  <c r="A171" i="427" s="1"/>
  <c r="A172" i="427" s="1"/>
  <c r="A173" i="427" s="1"/>
  <c r="A174" i="427" s="1"/>
  <c r="A175" i="427" s="1"/>
  <c r="A176" i="427" s="1"/>
  <c r="A177" i="427" s="1"/>
  <c r="A178" i="427" s="1"/>
  <c r="A179" i="427" s="1"/>
  <c r="A180" i="427" s="1"/>
  <c r="A181" i="427" s="1"/>
  <c r="A182" i="427" s="1"/>
  <c r="A183" i="427" s="1"/>
  <c r="A184" i="427" s="1"/>
  <c r="A185" i="427" s="1"/>
  <c r="A186" i="427" s="1"/>
  <c r="A187" i="427" s="1"/>
  <c r="A188" i="427" s="1"/>
  <c r="A189" i="427" s="1"/>
  <c r="A190" i="427" s="1"/>
  <c r="A191" i="427" s="1"/>
  <c r="A192" i="427" s="1"/>
  <c r="A193" i="427" s="1"/>
  <c r="A194" i="427" s="1"/>
  <c r="A195" i="427" s="1"/>
  <c r="A196" i="427" s="1"/>
  <c r="A197" i="427" s="1"/>
  <c r="A198" i="427" s="1"/>
  <c r="A199" i="427" s="1"/>
  <c r="A200" i="427" s="1"/>
  <c r="A201" i="427" s="1"/>
  <c r="A202" i="427" s="1"/>
  <c r="A203" i="427" s="1"/>
  <c r="A204" i="427" s="1"/>
  <c r="A205" i="427" s="1"/>
  <c r="A206" i="427" s="1"/>
  <c r="B96" i="427"/>
  <c r="A161" i="374"/>
  <c r="B83" i="422"/>
  <c r="E83" i="422" s="1"/>
  <c r="B91" i="422"/>
  <c r="A92" i="422"/>
  <c r="A207" i="427" l="1"/>
  <c r="A208" i="427" s="1"/>
  <c r="A209" i="427" s="1"/>
  <c r="A210" i="427" s="1"/>
  <c r="A211" i="427" s="1"/>
  <c r="A212" i="427" s="1"/>
  <c r="A213" i="427" s="1"/>
  <c r="A162" i="374"/>
  <c r="B100" i="422"/>
  <c r="A101" i="422"/>
  <c r="B92" i="422"/>
  <c r="E92" i="422" s="1"/>
  <c r="A214" i="427" l="1"/>
  <c r="A215" i="427" s="1"/>
  <c r="A216" i="427" s="1"/>
  <c r="A217" i="427" s="1"/>
  <c r="A218" i="427" s="1"/>
  <c r="A219" i="427" s="1"/>
  <c r="A220" i="427" s="1"/>
  <c r="A221" i="427" s="1"/>
  <c r="A222" i="427" s="1"/>
  <c r="A223" i="427" s="1"/>
  <c r="A224" i="427" s="1"/>
  <c r="A225" i="427" s="1"/>
  <c r="A226" i="427" s="1"/>
  <c r="A227" i="427" s="1"/>
  <c r="A228" i="427" s="1"/>
  <c r="A163" i="374"/>
  <c r="A110" i="422"/>
  <c r="B109" i="422"/>
  <c r="B101" i="422"/>
  <c r="E101" i="422" s="1"/>
  <c r="A229" i="427" l="1"/>
  <c r="A164" i="374"/>
  <c r="B110" i="422"/>
  <c r="E110" i="422" s="1"/>
  <c r="B118" i="422"/>
  <c r="A119" i="422"/>
  <c r="B127" i="422" s="1"/>
  <c r="A165" i="374" l="1"/>
  <c r="B119" i="422"/>
  <c r="E119" i="422" s="1"/>
  <c r="A128" i="422"/>
  <c r="A166" i="374" l="1"/>
  <c r="B128" i="422"/>
  <c r="E128" i="422" s="1"/>
  <c r="B136" i="422"/>
  <c r="A137" i="422"/>
  <c r="A167" i="374" l="1"/>
  <c r="B137" i="422"/>
  <c r="E137" i="422" s="1"/>
  <c r="B145" i="422"/>
  <c r="A168" i="374" l="1"/>
  <c r="A169" i="374" l="1"/>
  <c r="A170" i="374" s="1"/>
  <c r="A171" i="374" s="1"/>
  <c r="A172" i="374" s="1"/>
  <c r="A173" i="374" s="1"/>
  <c r="A174" i="374" s="1"/>
  <c r="A175" i="374" s="1"/>
  <c r="A176" i="374" s="1"/>
  <c r="A177" i="374" s="1"/>
  <c r="A178" i="374" s="1"/>
  <c r="A179" i="374" s="1"/>
  <c r="A180" i="374" s="1"/>
  <c r="A181" i="374" s="1"/>
  <c r="A182" i="374" s="1"/>
  <c r="A183" i="374" s="1"/>
  <c r="A184" i="374" s="1"/>
  <c r="A185" i="374" s="1"/>
  <c r="A186" i="374" s="1"/>
  <c r="A187" i="374" s="1"/>
  <c r="A188" i="374" s="1"/>
  <c r="H3" i="418"/>
  <c r="H4" i="418" s="1"/>
  <c r="H5" i="418" s="1"/>
  <c r="H6" i="418" s="1"/>
  <c r="H7" i="418" s="1"/>
  <c r="H8" i="418" s="1"/>
  <c r="H9" i="418" s="1"/>
  <c r="H10" i="418" s="1"/>
  <c r="H11" i="418" s="1"/>
  <c r="H12" i="418" s="1"/>
  <c r="H13" i="418" s="1"/>
  <c r="H14" i="418" s="1"/>
  <c r="H15" i="418" s="1"/>
  <c r="H16" i="418" s="1"/>
  <c r="H17" i="418" s="1"/>
  <c r="B2" i="418"/>
  <c r="H3" i="417"/>
  <c r="H4" i="417" s="1"/>
  <c r="H5" i="417" s="1"/>
  <c r="H6" i="417" s="1"/>
  <c r="H7" i="417" s="1"/>
  <c r="H8" i="417" s="1"/>
  <c r="H9" i="417" s="1"/>
  <c r="H10" i="417" s="1"/>
  <c r="H11" i="417" s="1"/>
  <c r="H12" i="417" s="1"/>
  <c r="H13" i="417" s="1"/>
  <c r="H14" i="417" s="1"/>
  <c r="H15" i="417" s="1"/>
  <c r="H16" i="417" s="1"/>
  <c r="H17" i="417" s="1"/>
  <c r="H18" i="417" s="1"/>
  <c r="H19" i="417" s="1"/>
  <c r="H20" i="417" s="1"/>
  <c r="H21" i="417" s="1"/>
  <c r="H22" i="417" s="1"/>
  <c r="H23" i="417" s="1"/>
  <c r="H24" i="417" s="1"/>
  <c r="H25" i="417" s="1"/>
  <c r="H26" i="417" s="1"/>
  <c r="H27" i="417" s="1"/>
  <c r="H28" i="417" s="1"/>
  <c r="H29" i="417" s="1"/>
  <c r="H30" i="417" s="1"/>
  <c r="H31" i="417" s="1"/>
  <c r="H32" i="417" s="1"/>
  <c r="H33" i="417" s="1"/>
  <c r="H34" i="417" s="1"/>
  <c r="H35" i="417" s="1"/>
  <c r="H36" i="417" s="1"/>
  <c r="H37" i="417" s="1"/>
  <c r="H38" i="417" s="1"/>
  <c r="H39" i="417" s="1"/>
  <c r="H40" i="417" s="1"/>
  <c r="H41" i="417" s="1"/>
  <c r="H42" i="417" s="1"/>
  <c r="H43" i="417" s="1"/>
  <c r="H44" i="417" s="1"/>
  <c r="H45" i="417" s="1"/>
  <c r="H46" i="417" s="1"/>
  <c r="H47" i="417" s="1"/>
  <c r="H48" i="417" s="1"/>
  <c r="H49" i="417" s="1"/>
  <c r="B2" i="417"/>
  <c r="H3" i="416"/>
  <c r="H4" i="416" s="1"/>
  <c r="H5" i="416" s="1"/>
  <c r="H6" i="416" s="1"/>
  <c r="H7" i="416" s="1"/>
  <c r="H8" i="416" s="1"/>
  <c r="H9" i="416" s="1"/>
  <c r="H10" i="416" s="1"/>
  <c r="H11" i="416" s="1"/>
  <c r="H12" i="416" s="1"/>
  <c r="H13" i="416" s="1"/>
  <c r="H14" i="416" s="1"/>
  <c r="H15" i="416" s="1"/>
  <c r="H16" i="416" s="1"/>
  <c r="H17" i="416" s="1"/>
  <c r="H18" i="416" s="1"/>
  <c r="H3" i="420"/>
  <c r="H4" i="420" s="1"/>
  <c r="H5" i="420" s="1"/>
  <c r="H6" i="420" s="1"/>
  <c r="H7" i="420" s="1"/>
  <c r="A3" i="420"/>
  <c r="X25" i="10"/>
  <c r="V25" i="10"/>
  <c r="U25" i="10"/>
  <c r="Y25" i="10" s="1"/>
  <c r="H3" i="419"/>
  <c r="H4" i="419" s="1"/>
  <c r="H5" i="419" s="1"/>
  <c r="H6" i="419" s="1"/>
  <c r="H7" i="419" s="1"/>
  <c r="H8" i="419" s="1"/>
  <c r="H9" i="419" s="1"/>
  <c r="H10" i="419" s="1"/>
  <c r="H11" i="419" s="1"/>
  <c r="H12" i="419" s="1"/>
  <c r="H13" i="419" s="1"/>
  <c r="H14" i="419" s="1"/>
  <c r="H15" i="419" s="1"/>
  <c r="H16" i="419" s="1"/>
  <c r="H17" i="419" s="1"/>
  <c r="H18" i="419" s="1"/>
  <c r="H19" i="419" s="1"/>
  <c r="H20" i="419" s="1"/>
  <c r="H21" i="419" s="1"/>
  <c r="H22" i="419" s="1"/>
  <c r="H23" i="419" s="1"/>
  <c r="H24" i="419" s="1"/>
  <c r="H25" i="419" s="1"/>
  <c r="H26" i="419" s="1"/>
  <c r="H27" i="419" s="1"/>
  <c r="H28" i="419" s="1"/>
  <c r="H29" i="419" s="1"/>
  <c r="H30" i="419" s="1"/>
  <c r="H31" i="419" s="1"/>
  <c r="H32" i="419" s="1"/>
  <c r="H33" i="419" s="1"/>
  <c r="H34" i="419" s="1"/>
  <c r="H35" i="419" s="1"/>
  <c r="H36" i="419" s="1"/>
  <c r="H37" i="419" s="1"/>
  <c r="H38" i="419" s="1"/>
  <c r="H39" i="419" s="1"/>
  <c r="H40" i="419" s="1"/>
  <c r="H41" i="419" s="1"/>
  <c r="H42" i="419" s="1"/>
  <c r="H43" i="419" s="1"/>
  <c r="H44" i="419" s="1"/>
  <c r="H45" i="419" s="1"/>
  <c r="H46" i="419" s="1"/>
  <c r="H47" i="419" s="1"/>
  <c r="H48" i="419" s="1"/>
  <c r="H49" i="419" s="1"/>
  <c r="H50" i="419" s="1"/>
  <c r="H51" i="419" s="1"/>
  <c r="H52" i="419" s="1"/>
  <c r="H53" i="419" s="1"/>
  <c r="H54" i="419" s="1"/>
  <c r="H55" i="419" s="1"/>
  <c r="H56" i="419" s="1"/>
  <c r="H57" i="419" s="1"/>
  <c r="H58" i="419" s="1"/>
  <c r="H59" i="419" s="1"/>
  <c r="H60" i="419" s="1"/>
  <c r="H61" i="419" s="1"/>
  <c r="H62" i="419" s="1"/>
  <c r="H63" i="419" s="1"/>
  <c r="H64" i="419" s="1"/>
  <c r="H65" i="419" s="1"/>
  <c r="H66" i="419" s="1"/>
  <c r="H67" i="419" s="1"/>
  <c r="H68" i="419" s="1"/>
  <c r="H69" i="419" s="1"/>
  <c r="H70" i="419" s="1"/>
  <c r="H71" i="419" s="1"/>
  <c r="H72" i="419" s="1"/>
  <c r="H73" i="419" s="1"/>
  <c r="H74" i="419" s="1"/>
  <c r="H75" i="419" s="1"/>
  <c r="H76" i="419" s="1"/>
  <c r="H77" i="419" s="1"/>
  <c r="H78" i="419" s="1"/>
  <c r="H79" i="419" s="1"/>
  <c r="H80" i="419" s="1"/>
  <c r="H81" i="419" s="1"/>
  <c r="H82" i="419" s="1"/>
  <c r="H83" i="419" s="1"/>
  <c r="H84" i="419" s="1"/>
  <c r="H85" i="419" s="1"/>
  <c r="H86" i="419" s="1"/>
  <c r="H87" i="419" s="1"/>
  <c r="H88" i="419" s="1"/>
  <c r="H89" i="419" s="1"/>
  <c r="H90" i="419" s="1"/>
  <c r="A3" i="419"/>
  <c r="A4" i="419" s="1"/>
  <c r="A5" i="419" s="1"/>
  <c r="A6" i="419" s="1"/>
  <c r="A7" i="419" s="1"/>
  <c r="A8" i="419" s="1"/>
  <c r="A9" i="419" s="1"/>
  <c r="A10" i="419" s="1"/>
  <c r="A11" i="419" s="1"/>
  <c r="A12" i="419" s="1"/>
  <c r="A13" i="419" s="1"/>
  <c r="A14" i="419" s="1"/>
  <c r="A15" i="419" s="1"/>
  <c r="A16" i="419" s="1"/>
  <c r="A17" i="419" s="1"/>
  <c r="A18" i="419" s="1"/>
  <c r="A19" i="419" s="1"/>
  <c r="A20" i="419" s="1"/>
  <c r="A21" i="419" s="1"/>
  <c r="A22" i="419" s="1"/>
  <c r="A23" i="419" s="1"/>
  <c r="A24" i="419" s="1"/>
  <c r="A25" i="419" s="1"/>
  <c r="A26" i="419" s="1"/>
  <c r="A27" i="419" s="1"/>
  <c r="A28" i="419" s="1"/>
  <c r="A29" i="419" s="1"/>
  <c r="A30" i="419" s="1"/>
  <c r="A31" i="419" s="1"/>
  <c r="A32" i="419" s="1"/>
  <c r="A33" i="419" s="1"/>
  <c r="A34" i="419" s="1"/>
  <c r="A35" i="419" s="1"/>
  <c r="A36" i="419" s="1"/>
  <c r="A37" i="419" s="1"/>
  <c r="A38" i="419" s="1"/>
  <c r="A39" i="419" s="1"/>
  <c r="A40" i="419" s="1"/>
  <c r="A41" i="419" s="1"/>
  <c r="A42" i="419" s="1"/>
  <c r="A43" i="419" s="1"/>
  <c r="A44" i="419" s="1"/>
  <c r="A45" i="419" s="1"/>
  <c r="A46" i="419" s="1"/>
  <c r="A47" i="419" s="1"/>
  <c r="A48" i="419" s="1"/>
  <c r="A49" i="419" s="1"/>
  <c r="A50" i="419" s="1"/>
  <c r="A51" i="419" s="1"/>
  <c r="A52" i="419" s="1"/>
  <c r="A53" i="419" s="1"/>
  <c r="A54" i="419" s="1"/>
  <c r="A55" i="419" s="1"/>
  <c r="A56" i="419" s="1"/>
  <c r="A57" i="419" s="1"/>
  <c r="A58" i="419" s="1"/>
  <c r="A59" i="419" s="1"/>
  <c r="A60" i="419" s="1"/>
  <c r="A61" i="419" s="1"/>
  <c r="A62" i="419" s="1"/>
  <c r="A63" i="419" s="1"/>
  <c r="A64" i="419" s="1"/>
  <c r="A65" i="419" s="1"/>
  <c r="A66" i="419" s="1"/>
  <c r="A67" i="419" s="1"/>
  <c r="A68" i="419" s="1"/>
  <c r="A69" i="419" s="1"/>
  <c r="A70" i="419" s="1"/>
  <c r="A71" i="419" s="1"/>
  <c r="A72" i="419" s="1"/>
  <c r="A73" i="419" s="1"/>
  <c r="A74" i="419" s="1"/>
  <c r="A75" i="419" s="1"/>
  <c r="A76" i="419" s="1"/>
  <c r="A77" i="419" s="1"/>
  <c r="A78" i="419" s="1"/>
  <c r="A79" i="419" s="1"/>
  <c r="A80" i="419" s="1"/>
  <c r="A81" i="419" s="1"/>
  <c r="A82" i="419" s="1"/>
  <c r="A83" i="419" s="1"/>
  <c r="A84" i="419" s="1"/>
  <c r="A85" i="419" s="1"/>
  <c r="A86" i="419" s="1"/>
  <c r="A87" i="419" s="1"/>
  <c r="A88" i="419" s="1"/>
  <c r="A89" i="419" s="1"/>
  <c r="A90" i="419" s="1"/>
  <c r="A91" i="419" s="1"/>
  <c r="A92" i="419" s="1"/>
  <c r="A93" i="419" s="1"/>
  <c r="A94" i="419" s="1"/>
  <c r="A95" i="419" s="1"/>
  <c r="A96" i="419" s="1"/>
  <c r="A97" i="419" s="1"/>
  <c r="A98" i="419" s="1"/>
  <c r="A99" i="419" s="1"/>
  <c r="A100" i="419" s="1"/>
  <c r="A101" i="419" s="1"/>
  <c r="A102" i="419" s="1"/>
  <c r="A103" i="419" s="1"/>
  <c r="A104" i="419" s="1"/>
  <c r="A105" i="419" s="1"/>
  <c r="A106" i="419" s="1"/>
  <c r="A107" i="419" s="1"/>
  <c r="A108" i="419" s="1"/>
  <c r="A109" i="419" s="1"/>
  <c r="A110" i="419" s="1"/>
  <c r="A111" i="419" s="1"/>
  <c r="A112" i="419" s="1"/>
  <c r="A113" i="419" s="1"/>
  <c r="A114" i="419" s="1"/>
  <c r="A115" i="419" s="1"/>
  <c r="A116" i="419" s="1"/>
  <c r="A117" i="419" s="1"/>
  <c r="A118" i="419" s="1"/>
  <c r="A119" i="419" s="1"/>
  <c r="A3" i="418"/>
  <c r="A4" i="418" s="1"/>
  <c r="A5" i="418" s="1"/>
  <c r="A6" i="418" s="1"/>
  <c r="A7" i="418" s="1"/>
  <c r="A8" i="418" s="1"/>
  <c r="A9" i="418" s="1"/>
  <c r="A10" i="418" s="1"/>
  <c r="A11" i="418" s="1"/>
  <c r="A12" i="418" s="1"/>
  <c r="A13" i="418" s="1"/>
  <c r="A14" i="418" s="1"/>
  <c r="A15" i="418" s="1"/>
  <c r="A16" i="418" s="1"/>
  <c r="A17" i="418" s="1"/>
  <c r="A3" i="417"/>
  <c r="A4" i="417" s="1"/>
  <c r="A5" i="417" s="1"/>
  <c r="A6" i="417" s="1"/>
  <c r="A7" i="417" s="1"/>
  <c r="A8" i="417" s="1"/>
  <c r="A9" i="417" s="1"/>
  <c r="A10" i="417" s="1"/>
  <c r="A11" i="417" s="1"/>
  <c r="A12" i="417" s="1"/>
  <c r="A13" i="417" s="1"/>
  <c r="A14" i="417" s="1"/>
  <c r="A15" i="417" s="1"/>
  <c r="A16" i="417" s="1"/>
  <c r="A17" i="417" s="1"/>
  <c r="A18" i="417" s="1"/>
  <c r="A19" i="417" s="1"/>
  <c r="A20" i="417" s="1"/>
  <c r="A21" i="417" s="1"/>
  <c r="A22" i="417" s="1"/>
  <c r="A23" i="417" s="1"/>
  <c r="A24" i="417" s="1"/>
  <c r="A25" i="417" s="1"/>
  <c r="A26" i="417" s="1"/>
  <c r="A27" i="417" s="1"/>
  <c r="A28" i="417" s="1"/>
  <c r="A29" i="417" s="1"/>
  <c r="A30" i="417" s="1"/>
  <c r="A31" i="417" s="1"/>
  <c r="A32" i="417" s="1"/>
  <c r="A33" i="417" s="1"/>
  <c r="A34" i="417" s="1"/>
  <c r="A35" i="417" s="1"/>
  <c r="A36" i="417" s="1"/>
  <c r="A37" i="417" s="1"/>
  <c r="A38" i="417" s="1"/>
  <c r="A39" i="417" s="1"/>
  <c r="A40" i="417" s="1"/>
  <c r="A41" i="417" s="1"/>
  <c r="A42" i="417" s="1"/>
  <c r="A43" i="417" s="1"/>
  <c r="A44" i="417" s="1"/>
  <c r="A45" i="417" s="1"/>
  <c r="A46" i="417" s="1"/>
  <c r="A3" i="416"/>
  <c r="A4" i="416" s="1"/>
  <c r="A5" i="416" s="1"/>
  <c r="A6" i="416" s="1"/>
  <c r="A7" i="416" s="1"/>
  <c r="A8" i="416" s="1"/>
  <c r="A9" i="416" s="1"/>
  <c r="A10" i="416" s="1"/>
  <c r="A11" i="416" s="1"/>
  <c r="A12" i="416" s="1"/>
  <c r="A13" i="416" s="1"/>
  <c r="A14" i="416" s="1"/>
  <c r="A15" i="416" s="1"/>
  <c r="A16" i="416" s="1"/>
  <c r="A17" i="416" s="1"/>
  <c r="A18" i="416" s="1"/>
  <c r="A19" i="416" s="1"/>
  <c r="A20" i="416" s="1"/>
  <c r="A21" i="416" s="1"/>
  <c r="A22" i="416" s="1"/>
  <c r="A23" i="416" s="1"/>
  <c r="A24" i="416" s="1"/>
  <c r="A25" i="416" s="1"/>
  <c r="A26" i="416" s="1"/>
  <c r="A27" i="416" s="1"/>
  <c r="A28" i="416" s="1"/>
  <c r="A29" i="416" s="1"/>
  <c r="A30" i="416" s="1"/>
  <c r="A31" i="416" s="1"/>
  <c r="A32" i="416" s="1"/>
  <c r="A33" i="416" s="1"/>
  <c r="A34" i="416" s="1"/>
  <c r="A35" i="416" s="1"/>
  <c r="A36" i="416" s="1"/>
  <c r="A37" i="416" s="1"/>
  <c r="A38" i="416" s="1"/>
  <c r="A39" i="416" s="1"/>
  <c r="A40" i="416" s="1"/>
  <c r="A41" i="416" s="1"/>
  <c r="A42" i="416" s="1"/>
  <c r="A43" i="416" s="1"/>
  <c r="A44" i="416" s="1"/>
  <c r="A45" i="416" s="1"/>
  <c r="A46" i="416" s="1"/>
  <c r="A47" i="416" s="1"/>
  <c r="A48" i="416" s="1"/>
  <c r="A49" i="416" s="1"/>
  <c r="A50" i="416" s="1"/>
  <c r="A51" i="416" s="1"/>
  <c r="A52" i="416" s="1"/>
  <c r="A53" i="416" s="1"/>
  <c r="A54" i="416" s="1"/>
  <c r="A55" i="416" s="1"/>
  <c r="A56" i="416" s="1"/>
  <c r="A57" i="416" s="1"/>
  <c r="A58" i="416" s="1"/>
  <c r="A59" i="416" s="1"/>
  <c r="A60" i="416" s="1"/>
  <c r="A61" i="416" s="1"/>
  <c r="A62" i="416" s="1"/>
  <c r="A63" i="416" s="1"/>
  <c r="A64" i="416" s="1"/>
  <c r="A65" i="416" s="1"/>
  <c r="A66" i="416" s="1"/>
  <c r="A67" i="416" s="1"/>
  <c r="A68" i="416" s="1"/>
  <c r="A69" i="416" s="1"/>
  <c r="A70" i="416" s="1"/>
  <c r="A71" i="416" s="1"/>
  <c r="A72" i="416" s="1"/>
  <c r="A73" i="416" s="1"/>
  <c r="A74" i="416" s="1"/>
  <c r="B188" i="374" l="1"/>
  <c r="A189" i="374"/>
  <c r="B189" i="374" s="1"/>
  <c r="B74" i="416"/>
  <c r="A75" i="416"/>
  <c r="H8" i="420"/>
  <c r="H9" i="420" s="1"/>
  <c r="H10" i="420" s="1"/>
  <c r="H11" i="420" s="1"/>
  <c r="H12" i="420" s="1"/>
  <c r="H13" i="420" s="1"/>
  <c r="H14" i="420" s="1"/>
  <c r="H15" i="420" s="1"/>
  <c r="H16" i="420" s="1"/>
  <c r="H17" i="420" s="1"/>
  <c r="H18" i="420" s="1"/>
  <c r="H19" i="420" s="1"/>
  <c r="H20" i="420" s="1"/>
  <c r="H21" i="420" s="1"/>
  <c r="H22" i="420" s="1"/>
  <c r="H23" i="420" s="1"/>
  <c r="H24" i="420" s="1"/>
  <c r="H25" i="420" s="1"/>
  <c r="H26" i="420" s="1"/>
  <c r="H27" i="420" s="1"/>
  <c r="H28" i="420" s="1"/>
  <c r="H29" i="420" s="1"/>
  <c r="H30" i="420" s="1"/>
  <c r="H31" i="420" s="1"/>
  <c r="H32" i="420" s="1"/>
  <c r="H33" i="420" s="1"/>
  <c r="H34" i="420" s="1"/>
  <c r="H35" i="420" s="1"/>
  <c r="H36" i="420" s="1"/>
  <c r="H37" i="420" s="1"/>
  <c r="H38" i="420" s="1"/>
  <c r="H39" i="420" s="1"/>
  <c r="H40" i="420" s="1"/>
  <c r="H41" i="420" s="1"/>
  <c r="H42" i="420" s="1"/>
  <c r="H43" i="420" s="1"/>
  <c r="H44" i="420" s="1"/>
  <c r="H45" i="420" s="1"/>
  <c r="H46" i="420" s="1"/>
  <c r="H47" i="420" s="1"/>
  <c r="H48" i="420" s="1"/>
  <c r="H49" i="420" s="1"/>
  <c r="H50" i="420" s="1"/>
  <c r="H51" i="420" s="1"/>
  <c r="H52" i="420" s="1"/>
  <c r="H53" i="420" s="1"/>
  <c r="H54" i="420" s="1"/>
  <c r="H55" i="420" s="1"/>
  <c r="H56" i="420" s="1"/>
  <c r="H57" i="420" s="1"/>
  <c r="H58" i="420" s="1"/>
  <c r="H59" i="420" s="1"/>
  <c r="H60" i="420" s="1"/>
  <c r="H61" i="420" s="1"/>
  <c r="B46" i="417"/>
  <c r="A47" i="417"/>
  <c r="H91" i="419"/>
  <c r="H92" i="419" s="1"/>
  <c r="H93" i="419" s="1"/>
  <c r="H94" i="419" s="1"/>
  <c r="H95" i="419" s="1"/>
  <c r="H96" i="419" s="1"/>
  <c r="H97" i="419" s="1"/>
  <c r="H98" i="419" s="1"/>
  <c r="H99" i="419" s="1"/>
  <c r="H100" i="419" s="1"/>
  <c r="H101" i="419" s="1"/>
  <c r="H102" i="419" s="1"/>
  <c r="H103" i="419" s="1"/>
  <c r="H104" i="419" s="1"/>
  <c r="H105" i="419" s="1"/>
  <c r="H106" i="419" s="1"/>
  <c r="H107" i="419" s="1"/>
  <c r="H108" i="419" s="1"/>
  <c r="H109" i="419" s="1"/>
  <c r="H110" i="419" s="1"/>
  <c r="H111" i="419" s="1"/>
  <c r="H112" i="419" s="1"/>
  <c r="H113" i="419" s="1"/>
  <c r="H114" i="419" s="1"/>
  <c r="H115" i="419" s="1"/>
  <c r="H116" i="419" s="1"/>
  <c r="H117" i="419" s="1"/>
  <c r="H118" i="419" s="1"/>
  <c r="H119" i="419" s="1"/>
  <c r="H120" i="419" s="1"/>
  <c r="H121" i="419" s="1"/>
  <c r="H122" i="419" s="1"/>
  <c r="H123" i="419" s="1"/>
  <c r="H124" i="419" s="1"/>
  <c r="H125" i="419" s="1"/>
  <c r="H126" i="419" s="1"/>
  <c r="H127" i="419" s="1"/>
  <c r="H128" i="419" s="1"/>
  <c r="H129" i="419" s="1"/>
  <c r="H130" i="419" s="1"/>
  <c r="H131" i="419" s="1"/>
  <c r="H132" i="419" s="1"/>
  <c r="H133" i="419" s="1"/>
  <c r="H134" i="419" s="1"/>
  <c r="H135" i="419" s="1"/>
  <c r="H136" i="419" s="1"/>
  <c r="H137" i="419" s="1"/>
  <c r="H138" i="419" s="1"/>
  <c r="H139" i="419" s="1"/>
  <c r="H140" i="419" s="1"/>
  <c r="H141" i="419" s="1"/>
  <c r="H142" i="419" s="1"/>
  <c r="H143" i="419" s="1"/>
  <c r="H144" i="419" s="1"/>
  <c r="H145" i="419" s="1"/>
  <c r="H146" i="419" s="1"/>
  <c r="H147" i="419" s="1"/>
  <c r="H148" i="419" s="1"/>
  <c r="H149" i="419" s="1"/>
  <c r="H150" i="419" s="1"/>
  <c r="H151" i="419" s="1"/>
  <c r="H152" i="419" s="1"/>
  <c r="H153" i="419" s="1"/>
  <c r="A120" i="419"/>
  <c r="A4" i="420"/>
  <c r="H19" i="416"/>
  <c r="H20" i="416" s="1"/>
  <c r="H21" i="416" s="1"/>
  <c r="H22" i="416" s="1"/>
  <c r="H23" i="416" s="1"/>
  <c r="H24" i="416" s="1"/>
  <c r="H25" i="416" s="1"/>
  <c r="H26" i="416" s="1"/>
  <c r="H27" i="416" s="1"/>
  <c r="H28" i="416" s="1"/>
  <c r="H29" i="416" s="1"/>
  <c r="H30" i="416" s="1"/>
  <c r="H31" i="416" s="1"/>
  <c r="H32" i="416" s="1"/>
  <c r="H33" i="416" s="1"/>
  <c r="W25" i="10"/>
  <c r="U9" i="10"/>
  <c r="W9" i="10" s="1"/>
  <c r="V9" i="10"/>
  <c r="X9" i="10"/>
  <c r="U10" i="10"/>
  <c r="W10" i="10" s="1"/>
  <c r="V10" i="10"/>
  <c r="X10" i="10"/>
  <c r="E2" i="10"/>
  <c r="X11" i="10"/>
  <c r="V11" i="10"/>
  <c r="U11" i="10"/>
  <c r="Y11" i="10" s="1"/>
  <c r="H34" i="416" l="1"/>
  <c r="H35" i="416" s="1"/>
  <c r="H36" i="416" s="1"/>
  <c r="H37" i="416" s="1"/>
  <c r="H38" i="416" s="1"/>
  <c r="H39" i="416" s="1"/>
  <c r="H40" i="416" s="1"/>
  <c r="H41" i="416" s="1"/>
  <c r="H42" i="416" s="1"/>
  <c r="H43" i="416" s="1"/>
  <c r="H44" i="416" s="1"/>
  <c r="H45" i="416" s="1"/>
  <c r="H46" i="416" s="1"/>
  <c r="H47" i="416" s="1"/>
  <c r="H48" i="416" s="1"/>
  <c r="H49" i="416" s="1"/>
  <c r="H50" i="416" s="1"/>
  <c r="H51" i="416" s="1"/>
  <c r="H52" i="416" s="1"/>
  <c r="H53" i="416" s="1"/>
  <c r="H54" i="416" s="1"/>
  <c r="H55" i="416" s="1"/>
  <c r="H56" i="416" s="1"/>
  <c r="H57" i="416" s="1"/>
  <c r="H58" i="416" s="1"/>
  <c r="H59" i="416" s="1"/>
  <c r="H60" i="416" s="1"/>
  <c r="H61" i="416" s="1"/>
  <c r="H62" i="416" s="1"/>
  <c r="H63" i="416" s="1"/>
  <c r="H64" i="416" s="1"/>
  <c r="H65" i="416" s="1"/>
  <c r="H66" i="416" s="1"/>
  <c r="H67" i="416" s="1"/>
  <c r="H68" i="416" s="1"/>
  <c r="H69" i="416" s="1"/>
  <c r="H70" i="416" s="1"/>
  <c r="H71" i="416" s="1"/>
  <c r="H72" i="416" s="1"/>
  <c r="H73" i="416" s="1"/>
  <c r="H74" i="416" s="1"/>
  <c r="H75" i="416" s="1"/>
  <c r="H76" i="416" s="1"/>
  <c r="H77" i="416" s="1"/>
  <c r="B75" i="416"/>
  <c r="A76" i="416"/>
  <c r="Y10" i="10"/>
  <c r="Y9" i="10"/>
  <c r="A121" i="419"/>
  <c r="B47" i="417"/>
  <c r="A48" i="417"/>
  <c r="A5" i="420"/>
  <c r="W11" i="10"/>
  <c r="B76" i="416" l="1"/>
  <c r="A77" i="416"/>
  <c r="B77" i="416" s="1"/>
  <c r="A122" i="419"/>
  <c r="A6" i="420"/>
  <c r="B48" i="417"/>
  <c r="A49" i="417"/>
  <c r="H3" i="413"/>
  <c r="H4" i="413" s="1"/>
  <c r="H5" i="413" s="1"/>
  <c r="H6" i="413" s="1"/>
  <c r="H7" i="413" s="1"/>
  <c r="H8" i="413" s="1"/>
  <c r="H9" i="413" s="1"/>
  <c r="H10" i="413" s="1"/>
  <c r="H11" i="413" s="1"/>
  <c r="H12" i="413" s="1"/>
  <c r="H13" i="413" s="1"/>
  <c r="H14" i="413" s="1"/>
  <c r="H15" i="413" s="1"/>
  <c r="H16" i="413" s="1"/>
  <c r="H17" i="413" s="1"/>
  <c r="A3" i="413"/>
  <c r="B3" i="413" s="1"/>
  <c r="B2" i="413"/>
  <c r="H3" i="412"/>
  <c r="H4" i="412" s="1"/>
  <c r="H5" i="412" s="1"/>
  <c r="A3" i="412"/>
  <c r="B3" i="412" s="1"/>
  <c r="B2" i="412"/>
  <c r="A4" i="412" l="1"/>
  <c r="A5" i="412" s="1"/>
  <c r="B5" i="412" s="1"/>
  <c r="A4" i="413"/>
  <c r="A5" i="413" s="1"/>
  <c r="B5" i="413" s="1"/>
  <c r="B4" i="412"/>
  <c r="A7" i="420"/>
  <c r="A123" i="419"/>
  <c r="U34" i="10"/>
  <c r="W34" i="10" s="1"/>
  <c r="V34" i="10"/>
  <c r="X34" i="10"/>
  <c r="U36" i="10"/>
  <c r="W36" i="10" s="1"/>
  <c r="V36" i="10"/>
  <c r="X36" i="10"/>
  <c r="U37" i="10"/>
  <c r="W37" i="10" s="1"/>
  <c r="V37" i="10"/>
  <c r="X37" i="10"/>
  <c r="U38" i="10"/>
  <c r="W38" i="10" s="1"/>
  <c r="V38" i="10"/>
  <c r="X38" i="10"/>
  <c r="H3" i="403"/>
  <c r="H4" i="403" s="1"/>
  <c r="H5" i="403" s="1"/>
  <c r="H6" i="403" s="1"/>
  <c r="H7" i="403" s="1"/>
  <c r="H8" i="403" s="1"/>
  <c r="H9" i="403" s="1"/>
  <c r="H10" i="403" s="1"/>
  <c r="H11" i="403" s="1"/>
  <c r="H12" i="403" s="1"/>
  <c r="H13" i="403" s="1"/>
  <c r="H14" i="403" s="1"/>
  <c r="H15" i="403" s="1"/>
  <c r="H16" i="403" s="1"/>
  <c r="H17" i="403" s="1"/>
  <c r="H18" i="403" s="1"/>
  <c r="H19" i="403" s="1"/>
  <c r="H20" i="403" s="1"/>
  <c r="H21" i="403" s="1"/>
  <c r="H22" i="403" s="1"/>
  <c r="H23" i="403" s="1"/>
  <c r="H24" i="403" s="1"/>
  <c r="H25" i="403" s="1"/>
  <c r="H26" i="403" s="1"/>
  <c r="H27" i="403" s="1"/>
  <c r="H28" i="403" s="1"/>
  <c r="H29" i="403" s="1"/>
  <c r="H30" i="403" s="1"/>
  <c r="H31" i="403" s="1"/>
  <c r="H32" i="403" s="1"/>
  <c r="H33" i="403" s="1"/>
  <c r="H34" i="403" s="1"/>
  <c r="H35" i="403" s="1"/>
  <c r="H36" i="403" s="1"/>
  <c r="H37" i="403" s="1"/>
  <c r="H38" i="403" s="1"/>
  <c r="H39" i="403" s="1"/>
  <c r="H40" i="403" s="1"/>
  <c r="H41" i="403" s="1"/>
  <c r="H42" i="403" s="1"/>
  <c r="H43" i="403" s="1"/>
  <c r="H44" i="403" s="1"/>
  <c r="H45" i="403" s="1"/>
  <c r="H46" i="403" s="1"/>
  <c r="H47" i="403" s="1"/>
  <c r="H48" i="403" s="1"/>
  <c r="H49" i="403" s="1"/>
  <c r="H50" i="403" s="1"/>
  <c r="H51" i="403" s="1"/>
  <c r="H52" i="403" s="1"/>
  <c r="H53" i="403" s="1"/>
  <c r="H54" i="403" s="1"/>
  <c r="H55" i="403" s="1"/>
  <c r="H56" i="403" s="1"/>
  <c r="H57" i="403" s="1"/>
  <c r="H58" i="403" s="1"/>
  <c r="H59" i="403" s="1"/>
  <c r="H60" i="403" s="1"/>
  <c r="H61" i="403" s="1"/>
  <c r="H62" i="403" s="1"/>
  <c r="H63" i="403" s="1"/>
  <c r="H64" i="403" s="1"/>
  <c r="H65" i="403" s="1"/>
  <c r="H66" i="403" s="1"/>
  <c r="H67" i="403" s="1"/>
  <c r="H68" i="403" s="1"/>
  <c r="H69" i="403" s="1"/>
  <c r="H70" i="403" s="1"/>
  <c r="H71" i="403" s="1"/>
  <c r="H72" i="403" s="1"/>
  <c r="H73" i="403" s="1"/>
  <c r="H74" i="403" s="1"/>
  <c r="H75" i="403" s="1"/>
  <c r="H76" i="403" s="1"/>
  <c r="H77" i="403" s="1"/>
  <c r="H78" i="403" s="1"/>
  <c r="H79" i="403" s="1"/>
  <c r="H80" i="403" s="1"/>
  <c r="H81" i="403" s="1"/>
  <c r="H82" i="403" s="1"/>
  <c r="H83" i="403" s="1"/>
  <c r="H84" i="403" s="1"/>
  <c r="H85" i="403" s="1"/>
  <c r="H86" i="403" s="1"/>
  <c r="H87" i="403" s="1"/>
  <c r="H88" i="403" s="1"/>
  <c r="H89" i="403" s="1"/>
  <c r="H90" i="403" s="1"/>
  <c r="H91" i="403" s="1"/>
  <c r="H92" i="403" s="1"/>
  <c r="H93" i="403" s="1"/>
  <c r="H94" i="403" s="1"/>
  <c r="H95" i="403" s="1"/>
  <c r="H96" i="403" s="1"/>
  <c r="H97" i="403" s="1"/>
  <c r="H98" i="403" s="1"/>
  <c r="H99" i="403" s="1"/>
  <c r="H100" i="403" s="1"/>
  <c r="H101" i="403" s="1"/>
  <c r="H102" i="403" s="1"/>
  <c r="H103" i="403" s="1"/>
  <c r="H104" i="403" s="1"/>
  <c r="H105" i="403" s="1"/>
  <c r="H106" i="403" s="1"/>
  <c r="H107" i="403" s="1"/>
  <c r="H108" i="403" s="1"/>
  <c r="H109" i="403" s="1"/>
  <c r="H110" i="403" s="1"/>
  <c r="H111" i="403" s="1"/>
  <c r="H112" i="403" s="1"/>
  <c r="H113" i="403" s="1"/>
  <c r="H114" i="403" s="1"/>
  <c r="H115" i="403" s="1"/>
  <c r="H116" i="403" s="1"/>
  <c r="H117" i="403" s="1"/>
  <c r="H118" i="403" s="1"/>
  <c r="H119" i="403" s="1"/>
  <c r="H120" i="403" s="1"/>
  <c r="H121" i="403" s="1"/>
  <c r="H122" i="403" s="1"/>
  <c r="H123" i="403" s="1"/>
  <c r="H124" i="403" s="1"/>
  <c r="H125" i="403" s="1"/>
  <c r="H126" i="403" s="1"/>
  <c r="H127" i="403" s="1"/>
  <c r="H128" i="403" s="1"/>
  <c r="H129" i="403" s="1"/>
  <c r="H130" i="403" s="1"/>
  <c r="H131" i="403" s="1"/>
  <c r="H132" i="403" s="1"/>
  <c r="H133" i="403" s="1"/>
  <c r="H134" i="403" s="1"/>
  <c r="H135" i="403" s="1"/>
  <c r="H136" i="403" s="1"/>
  <c r="H137" i="403" s="1"/>
  <c r="H138" i="403" s="1"/>
  <c r="H139" i="403" s="1"/>
  <c r="H140" i="403" s="1"/>
  <c r="H141" i="403" s="1"/>
  <c r="H142" i="403" s="1"/>
  <c r="H143" i="403" s="1"/>
  <c r="H144" i="403" s="1"/>
  <c r="H145" i="403" s="1"/>
  <c r="H146" i="403" s="1"/>
  <c r="H147" i="403" s="1"/>
  <c r="H148" i="403" s="1"/>
  <c r="H149" i="403" s="1"/>
  <c r="H150" i="403" s="1"/>
  <c r="H151" i="403" s="1"/>
  <c r="H152" i="403" s="1"/>
  <c r="H153" i="403" s="1"/>
  <c r="H154" i="403" s="1"/>
  <c r="H155" i="403" s="1"/>
  <c r="H156" i="403" s="1"/>
  <c r="H157" i="403" s="1"/>
  <c r="H158" i="403" s="1"/>
  <c r="H159" i="403" s="1"/>
  <c r="H160" i="403" s="1"/>
  <c r="H161" i="403" s="1"/>
  <c r="H162" i="403" s="1"/>
  <c r="H163" i="403" s="1"/>
  <c r="H164" i="403" s="1"/>
  <c r="H165" i="403" s="1"/>
  <c r="H166" i="403" s="1"/>
  <c r="H167" i="403" s="1"/>
  <c r="H168" i="403" s="1"/>
  <c r="H169" i="403" s="1"/>
  <c r="H170" i="403" s="1"/>
  <c r="H171" i="403" s="1"/>
  <c r="H172" i="403" s="1"/>
  <c r="H173" i="403" s="1"/>
  <c r="H174" i="403" s="1"/>
  <c r="H175" i="403" s="1"/>
  <c r="H176" i="403" s="1"/>
  <c r="H177" i="403" s="1"/>
  <c r="H178" i="403" s="1"/>
  <c r="H179" i="403" s="1"/>
  <c r="H180" i="403" s="1"/>
  <c r="H181" i="403" s="1"/>
  <c r="H182" i="403" s="1"/>
  <c r="H183" i="403" s="1"/>
  <c r="H184" i="403" s="1"/>
  <c r="H185" i="403" s="1"/>
  <c r="H186" i="403" s="1"/>
  <c r="H187" i="403" s="1"/>
  <c r="H188" i="403" s="1"/>
  <c r="H189" i="403" s="1"/>
  <c r="H190" i="403" s="1"/>
  <c r="H191" i="403" s="1"/>
  <c r="H192" i="403" s="1"/>
  <c r="H193" i="403" s="1"/>
  <c r="H194" i="403" s="1"/>
  <c r="H195" i="403" s="1"/>
  <c r="H196" i="403" s="1"/>
  <c r="H197" i="403" s="1"/>
  <c r="H198" i="403" s="1"/>
  <c r="H199" i="403" s="1"/>
  <c r="H200" i="403" s="1"/>
  <c r="H201" i="403" s="1"/>
  <c r="A3" i="403"/>
  <c r="B3" i="403" s="1"/>
  <c r="B2" i="403"/>
  <c r="H3" i="402"/>
  <c r="H4" i="402" s="1"/>
  <c r="H5" i="402" s="1"/>
  <c r="H6" i="402" s="1"/>
  <c r="H7" i="402" s="1"/>
  <c r="H8" i="402" s="1"/>
  <c r="H9" i="402" s="1"/>
  <c r="H10" i="402" s="1"/>
  <c r="H11" i="402" s="1"/>
  <c r="H12" i="402" s="1"/>
  <c r="H13" i="402" s="1"/>
  <c r="H14" i="402" s="1"/>
  <c r="H15" i="402" s="1"/>
  <c r="H16" i="402" s="1"/>
  <c r="H17" i="402" s="1"/>
  <c r="H18" i="402" s="1"/>
  <c r="H19" i="402" s="1"/>
  <c r="H20" i="402" s="1"/>
  <c r="H21" i="402" s="1"/>
  <c r="H22" i="402" s="1"/>
  <c r="H23" i="402" s="1"/>
  <c r="H24" i="402" s="1"/>
  <c r="H25" i="402" s="1"/>
  <c r="H26" i="402" s="1"/>
  <c r="H27" i="402" s="1"/>
  <c r="H28" i="402" s="1"/>
  <c r="H29" i="402" s="1"/>
  <c r="H30" i="402" s="1"/>
  <c r="H31" i="402" s="1"/>
  <c r="H32" i="402" s="1"/>
  <c r="H33" i="402" s="1"/>
  <c r="H34" i="402" s="1"/>
  <c r="H35" i="402" s="1"/>
  <c r="H36" i="402" s="1"/>
  <c r="H37" i="402" s="1"/>
  <c r="H38" i="402" s="1"/>
  <c r="H39" i="402" s="1"/>
  <c r="H40" i="402" s="1"/>
  <c r="H41" i="402" s="1"/>
  <c r="H42" i="402" s="1"/>
  <c r="H43" i="402" s="1"/>
  <c r="H44" i="402" s="1"/>
  <c r="H45" i="402" s="1"/>
  <c r="H46" i="402" s="1"/>
  <c r="H47" i="402" s="1"/>
  <c r="H48" i="402" s="1"/>
  <c r="H49" i="402" s="1"/>
  <c r="H50" i="402" s="1"/>
  <c r="H51" i="402" s="1"/>
  <c r="H52" i="402" s="1"/>
  <c r="H53" i="402" s="1"/>
  <c r="H54" i="402" s="1"/>
  <c r="H55" i="402" s="1"/>
  <c r="H56" i="402" s="1"/>
  <c r="H57" i="402" s="1"/>
  <c r="H58" i="402" s="1"/>
  <c r="H59" i="402" s="1"/>
  <c r="H60" i="402" s="1"/>
  <c r="H61" i="402" s="1"/>
  <c r="H62" i="402" s="1"/>
  <c r="H63" i="402" s="1"/>
  <c r="H64" i="402" s="1"/>
  <c r="H65" i="402" s="1"/>
  <c r="H66" i="402" s="1"/>
  <c r="H67" i="402" s="1"/>
  <c r="H68" i="402" s="1"/>
  <c r="H69" i="402" s="1"/>
  <c r="H70" i="402" s="1"/>
  <c r="H71" i="402" s="1"/>
  <c r="H72" i="402" s="1"/>
  <c r="H73" i="402" s="1"/>
  <c r="H74" i="402" s="1"/>
  <c r="H75" i="402" s="1"/>
  <c r="H76" i="402" s="1"/>
  <c r="H77" i="402" s="1"/>
  <c r="H78" i="402" s="1"/>
  <c r="H79" i="402" s="1"/>
  <c r="H80" i="402" s="1"/>
  <c r="H81" i="402" s="1"/>
  <c r="H82" i="402" s="1"/>
  <c r="H83" i="402" s="1"/>
  <c r="H84" i="402" s="1"/>
  <c r="H85" i="402" s="1"/>
  <c r="H86" i="402" s="1"/>
  <c r="H87" i="402" s="1"/>
  <c r="H88" i="402" s="1"/>
  <c r="H89" i="402" s="1"/>
  <c r="H90" i="402" s="1"/>
  <c r="H91" i="402" s="1"/>
  <c r="H92" i="402" s="1"/>
  <c r="H93" i="402" s="1"/>
  <c r="H94" i="402" s="1"/>
  <c r="H95" i="402" s="1"/>
  <c r="H96" i="402" s="1"/>
  <c r="H97" i="402" s="1"/>
  <c r="H98" i="402" s="1"/>
  <c r="H99" i="402" s="1"/>
  <c r="H100" i="402" s="1"/>
  <c r="H101" i="402" s="1"/>
  <c r="H102" i="402" s="1"/>
  <c r="H103" i="402" s="1"/>
  <c r="H104" i="402" s="1"/>
  <c r="H105" i="402" s="1"/>
  <c r="H106" i="402" s="1"/>
  <c r="H107" i="402" s="1"/>
  <c r="H108" i="402" s="1"/>
  <c r="H109" i="402" s="1"/>
  <c r="H110" i="402" s="1"/>
  <c r="H111" i="402" s="1"/>
  <c r="H112" i="402" s="1"/>
  <c r="H113" i="402" s="1"/>
  <c r="H114" i="402" s="1"/>
  <c r="H115" i="402" s="1"/>
  <c r="H116" i="402" s="1"/>
  <c r="H117" i="402" s="1"/>
  <c r="H118" i="402" s="1"/>
  <c r="H119" i="402" s="1"/>
  <c r="H120" i="402" s="1"/>
  <c r="H121" i="402" s="1"/>
  <c r="H122" i="402" s="1"/>
  <c r="H123" i="402" s="1"/>
  <c r="H124" i="402" s="1"/>
  <c r="H125" i="402" s="1"/>
  <c r="H126" i="402" s="1"/>
  <c r="H127" i="402" s="1"/>
  <c r="H128" i="402" s="1"/>
  <c r="H129" i="402" s="1"/>
  <c r="H130" i="402" s="1"/>
  <c r="H131" i="402" s="1"/>
  <c r="H132" i="402" s="1"/>
  <c r="H133" i="402" s="1"/>
  <c r="H134" i="402" s="1"/>
  <c r="H135" i="402" s="1"/>
  <c r="H136" i="402" s="1"/>
  <c r="H137" i="402" s="1"/>
  <c r="H138" i="402" s="1"/>
  <c r="H139" i="402" s="1"/>
  <c r="H140" i="402" s="1"/>
  <c r="H141" i="402" s="1"/>
  <c r="H142" i="402" s="1"/>
  <c r="H143" i="402" s="1"/>
  <c r="H144" i="402" s="1"/>
  <c r="H145" i="402" s="1"/>
  <c r="H146" i="402" s="1"/>
  <c r="H147" i="402" s="1"/>
  <c r="H148" i="402" s="1"/>
  <c r="H149" i="402" s="1"/>
  <c r="H150" i="402" s="1"/>
  <c r="H151" i="402" s="1"/>
  <c r="H152" i="402" s="1"/>
  <c r="H153" i="402" s="1"/>
  <c r="H154" i="402" s="1"/>
  <c r="H155" i="402" s="1"/>
  <c r="H156" i="402" s="1"/>
  <c r="H157" i="402" s="1"/>
  <c r="H158" i="402" s="1"/>
  <c r="H159" i="402" s="1"/>
  <c r="H160" i="402" s="1"/>
  <c r="H161" i="402" s="1"/>
  <c r="H162" i="402" s="1"/>
  <c r="H163" i="402" s="1"/>
  <c r="H164" i="402" s="1"/>
  <c r="H165" i="402" s="1"/>
  <c r="H166" i="402" s="1"/>
  <c r="H167" i="402" s="1"/>
  <c r="H168" i="402" s="1"/>
  <c r="H169" i="402" s="1"/>
  <c r="H170" i="402" s="1"/>
  <c r="H171" i="402" s="1"/>
  <c r="H172" i="402" s="1"/>
  <c r="H173" i="402" s="1"/>
  <c r="H174" i="402" s="1"/>
  <c r="H175" i="402" s="1"/>
  <c r="H176" i="402" s="1"/>
  <c r="H177" i="402" s="1"/>
  <c r="H178" i="402" s="1"/>
  <c r="H179" i="402" s="1"/>
  <c r="H180" i="402" s="1"/>
  <c r="H181" i="402" s="1"/>
  <c r="H182" i="402" s="1"/>
  <c r="H183" i="402" s="1"/>
  <c r="H184" i="402" s="1"/>
  <c r="H185" i="402" s="1"/>
  <c r="H186" i="402" s="1"/>
  <c r="H187" i="402" s="1"/>
  <c r="H188" i="402" s="1"/>
  <c r="H189" i="402" s="1"/>
  <c r="H190" i="402" s="1"/>
  <c r="H191" i="402" s="1"/>
  <c r="H192" i="402" s="1"/>
  <c r="H193" i="402" s="1"/>
  <c r="H194" i="402" s="1"/>
  <c r="H195" i="402" s="1"/>
  <c r="H196" i="402" s="1"/>
  <c r="H197" i="402" s="1"/>
  <c r="H198" i="402" s="1"/>
  <c r="H199" i="402" s="1"/>
  <c r="H200" i="402" s="1"/>
  <c r="H201" i="402" s="1"/>
  <c r="A3" i="402"/>
  <c r="B3" i="402" s="1"/>
  <c r="B2" i="402"/>
  <c r="H3" i="401"/>
  <c r="H4" i="401" s="1"/>
  <c r="H5" i="401" s="1"/>
  <c r="H6" i="401" s="1"/>
  <c r="H7" i="401" s="1"/>
  <c r="H8" i="401" s="1"/>
  <c r="H9" i="401" s="1"/>
  <c r="H10" i="401" s="1"/>
  <c r="H11" i="401" s="1"/>
  <c r="H12" i="401" s="1"/>
  <c r="H13" i="401" s="1"/>
  <c r="H14" i="401" s="1"/>
  <c r="H15" i="401" s="1"/>
  <c r="H16" i="401" s="1"/>
  <c r="H17" i="401" s="1"/>
  <c r="H18" i="401" s="1"/>
  <c r="H19" i="401" s="1"/>
  <c r="H20" i="401" s="1"/>
  <c r="H21" i="401" s="1"/>
  <c r="H22" i="401" s="1"/>
  <c r="H23" i="401" s="1"/>
  <c r="H24" i="401" s="1"/>
  <c r="H25" i="401" s="1"/>
  <c r="H26" i="401" s="1"/>
  <c r="H27" i="401" s="1"/>
  <c r="H28" i="401" s="1"/>
  <c r="H29" i="401" s="1"/>
  <c r="H30" i="401" s="1"/>
  <c r="H31" i="401" s="1"/>
  <c r="H32" i="401" s="1"/>
  <c r="H33" i="401" s="1"/>
  <c r="H34" i="401" s="1"/>
  <c r="H35" i="401" s="1"/>
  <c r="H36" i="401" s="1"/>
  <c r="H37" i="401" s="1"/>
  <c r="H38" i="401" s="1"/>
  <c r="H39" i="401" s="1"/>
  <c r="H40" i="401" s="1"/>
  <c r="H41" i="401" s="1"/>
  <c r="H42" i="401" s="1"/>
  <c r="H43" i="401" s="1"/>
  <c r="H44" i="401" s="1"/>
  <c r="H45" i="401" s="1"/>
  <c r="H46" i="401" s="1"/>
  <c r="H47" i="401" s="1"/>
  <c r="H48" i="401" s="1"/>
  <c r="H49" i="401" s="1"/>
  <c r="H50" i="401" s="1"/>
  <c r="H51" i="401" s="1"/>
  <c r="H52" i="401" s="1"/>
  <c r="H53" i="401" s="1"/>
  <c r="H54" i="401" s="1"/>
  <c r="H55" i="401" s="1"/>
  <c r="H56" i="401" s="1"/>
  <c r="H57" i="401" s="1"/>
  <c r="H58" i="401" s="1"/>
  <c r="H59" i="401" s="1"/>
  <c r="H60" i="401" s="1"/>
  <c r="H61" i="401" s="1"/>
  <c r="H62" i="401" s="1"/>
  <c r="H63" i="401" s="1"/>
  <c r="H64" i="401" s="1"/>
  <c r="H65" i="401" s="1"/>
  <c r="H66" i="401" s="1"/>
  <c r="H67" i="401" s="1"/>
  <c r="H68" i="401" s="1"/>
  <c r="H69" i="401" s="1"/>
  <c r="H70" i="401" s="1"/>
  <c r="H71" i="401" s="1"/>
  <c r="H72" i="401" s="1"/>
  <c r="H73" i="401" s="1"/>
  <c r="H74" i="401" s="1"/>
  <c r="H75" i="401" s="1"/>
  <c r="H76" i="401" s="1"/>
  <c r="H77" i="401" s="1"/>
  <c r="H78" i="401" s="1"/>
  <c r="H79" i="401" s="1"/>
  <c r="H80" i="401" s="1"/>
  <c r="H81" i="401" s="1"/>
  <c r="H82" i="401" s="1"/>
  <c r="H83" i="401" s="1"/>
  <c r="H84" i="401" s="1"/>
  <c r="H85" i="401" s="1"/>
  <c r="H86" i="401" s="1"/>
  <c r="H87" i="401" s="1"/>
  <c r="H88" i="401" s="1"/>
  <c r="H89" i="401" s="1"/>
  <c r="H90" i="401" s="1"/>
  <c r="H91" i="401" s="1"/>
  <c r="H92" i="401" s="1"/>
  <c r="H93" i="401" s="1"/>
  <c r="H94" i="401" s="1"/>
  <c r="H95" i="401" s="1"/>
  <c r="H96" i="401" s="1"/>
  <c r="H97" i="401" s="1"/>
  <c r="H98" i="401" s="1"/>
  <c r="H99" i="401" s="1"/>
  <c r="H100" i="401" s="1"/>
  <c r="H101" i="401" s="1"/>
  <c r="A3" i="401"/>
  <c r="B3" i="401" s="1"/>
  <c r="B2" i="401"/>
  <c r="H3" i="400"/>
  <c r="H4" i="400" s="1"/>
  <c r="H5" i="400" s="1"/>
  <c r="H6" i="400" s="1"/>
  <c r="H7" i="400" s="1"/>
  <c r="H8" i="400" s="1"/>
  <c r="H9" i="400" s="1"/>
  <c r="H10" i="400" s="1"/>
  <c r="H11" i="400" s="1"/>
  <c r="H12" i="400" s="1"/>
  <c r="H13" i="400" s="1"/>
  <c r="H14" i="400" s="1"/>
  <c r="H15" i="400" s="1"/>
  <c r="H16" i="400" s="1"/>
  <c r="H17" i="400" s="1"/>
  <c r="H18" i="400" s="1"/>
  <c r="H19" i="400" s="1"/>
  <c r="H20" i="400" s="1"/>
  <c r="H21" i="400" s="1"/>
  <c r="H22" i="400" s="1"/>
  <c r="H23" i="400" s="1"/>
  <c r="H24" i="400" s="1"/>
  <c r="H25" i="400" s="1"/>
  <c r="H26" i="400" s="1"/>
  <c r="H27" i="400" s="1"/>
  <c r="H28" i="400" s="1"/>
  <c r="H29" i="400" s="1"/>
  <c r="H30" i="400" s="1"/>
  <c r="H31" i="400" s="1"/>
  <c r="H32" i="400" s="1"/>
  <c r="H33" i="400" s="1"/>
  <c r="H34" i="400" s="1"/>
  <c r="H35" i="400" s="1"/>
  <c r="H36" i="400" s="1"/>
  <c r="H37" i="400" s="1"/>
  <c r="H38" i="400" s="1"/>
  <c r="H39" i="400" s="1"/>
  <c r="H40" i="400" s="1"/>
  <c r="H41" i="400" s="1"/>
  <c r="H42" i="400" s="1"/>
  <c r="H43" i="400" s="1"/>
  <c r="H44" i="400" s="1"/>
  <c r="H45" i="400" s="1"/>
  <c r="H46" i="400" s="1"/>
  <c r="H47" i="400" s="1"/>
  <c r="H48" i="400" s="1"/>
  <c r="H49" i="400" s="1"/>
  <c r="H50" i="400" s="1"/>
  <c r="H51" i="400" s="1"/>
  <c r="H52" i="400" s="1"/>
  <c r="H53" i="400" s="1"/>
  <c r="H54" i="400" s="1"/>
  <c r="H55" i="400" s="1"/>
  <c r="H56" i="400" s="1"/>
  <c r="H57" i="400" s="1"/>
  <c r="H58" i="400" s="1"/>
  <c r="H59" i="400" s="1"/>
  <c r="H60" i="400" s="1"/>
  <c r="H61" i="400" s="1"/>
  <c r="H62" i="400" s="1"/>
  <c r="H63" i="400" s="1"/>
  <c r="H64" i="400" s="1"/>
  <c r="H65" i="400" s="1"/>
  <c r="H66" i="400" s="1"/>
  <c r="H67" i="400" s="1"/>
  <c r="H68" i="400" s="1"/>
  <c r="H69" i="400" s="1"/>
  <c r="H70" i="400" s="1"/>
  <c r="H71" i="400" s="1"/>
  <c r="H72" i="400" s="1"/>
  <c r="H73" i="400" s="1"/>
  <c r="H74" i="400" s="1"/>
  <c r="H75" i="400" s="1"/>
  <c r="H76" i="400" s="1"/>
  <c r="H77" i="400" s="1"/>
  <c r="H78" i="400" s="1"/>
  <c r="H79" i="400" s="1"/>
  <c r="H80" i="400" s="1"/>
  <c r="H81" i="400" s="1"/>
  <c r="H82" i="400" s="1"/>
  <c r="H83" i="400" s="1"/>
  <c r="H84" i="400" s="1"/>
  <c r="H85" i="400" s="1"/>
  <c r="H86" i="400" s="1"/>
  <c r="H87" i="400" s="1"/>
  <c r="H88" i="400" s="1"/>
  <c r="H89" i="400" s="1"/>
  <c r="H90" i="400" s="1"/>
  <c r="H91" i="400" s="1"/>
  <c r="H92" i="400" s="1"/>
  <c r="H93" i="400" s="1"/>
  <c r="H94" i="400" s="1"/>
  <c r="H95" i="400" s="1"/>
  <c r="H96" i="400" s="1"/>
  <c r="H97" i="400" s="1"/>
  <c r="H98" i="400" s="1"/>
  <c r="H99" i="400" s="1"/>
  <c r="H100" i="400" s="1"/>
  <c r="H101" i="400" s="1"/>
  <c r="H102" i="400" s="1"/>
  <c r="H103" i="400" s="1"/>
  <c r="H104" i="400" s="1"/>
  <c r="H105" i="400" s="1"/>
  <c r="H106" i="400" s="1"/>
  <c r="H107" i="400" s="1"/>
  <c r="H108" i="400" s="1"/>
  <c r="H109" i="400" s="1"/>
  <c r="H110" i="400" s="1"/>
  <c r="H111" i="400" s="1"/>
  <c r="H112" i="400" s="1"/>
  <c r="H113" i="400" s="1"/>
  <c r="H114" i="400" s="1"/>
  <c r="H115" i="400" s="1"/>
  <c r="H116" i="400" s="1"/>
  <c r="H117" i="400" s="1"/>
  <c r="H118" i="400" s="1"/>
  <c r="H119" i="400" s="1"/>
  <c r="H120" i="400" s="1"/>
  <c r="H121" i="400" s="1"/>
  <c r="H122" i="400" s="1"/>
  <c r="H123" i="400" s="1"/>
  <c r="H124" i="400" s="1"/>
  <c r="H125" i="400" s="1"/>
  <c r="H126" i="400" s="1"/>
  <c r="H127" i="400" s="1"/>
  <c r="H128" i="400" s="1"/>
  <c r="H129" i="400" s="1"/>
  <c r="H130" i="400" s="1"/>
  <c r="H131" i="400" s="1"/>
  <c r="H132" i="400" s="1"/>
  <c r="H133" i="400" s="1"/>
  <c r="H134" i="400" s="1"/>
  <c r="H135" i="400" s="1"/>
  <c r="H136" i="400" s="1"/>
  <c r="H137" i="400" s="1"/>
  <c r="H138" i="400" s="1"/>
  <c r="H139" i="400" s="1"/>
  <c r="H140" i="400" s="1"/>
  <c r="H141" i="400" s="1"/>
  <c r="H142" i="400" s="1"/>
  <c r="H143" i="400" s="1"/>
  <c r="H144" i="400" s="1"/>
  <c r="H145" i="400" s="1"/>
  <c r="H146" i="400" s="1"/>
  <c r="H147" i="400" s="1"/>
  <c r="H148" i="400" s="1"/>
  <c r="H149" i="400" s="1"/>
  <c r="H150" i="400" s="1"/>
  <c r="H151" i="400" s="1"/>
  <c r="H152" i="400" s="1"/>
  <c r="H153" i="400" s="1"/>
  <c r="H154" i="400" s="1"/>
  <c r="H155" i="400" s="1"/>
  <c r="H156" i="400" s="1"/>
  <c r="H157" i="400" s="1"/>
  <c r="H158" i="400" s="1"/>
  <c r="H159" i="400" s="1"/>
  <c r="H160" i="400" s="1"/>
  <c r="H161" i="400" s="1"/>
  <c r="H162" i="400" s="1"/>
  <c r="H163" i="400" s="1"/>
  <c r="H164" i="400" s="1"/>
  <c r="H165" i="400" s="1"/>
  <c r="H166" i="400" s="1"/>
  <c r="H167" i="400" s="1"/>
  <c r="H168" i="400" s="1"/>
  <c r="H169" i="400" s="1"/>
  <c r="H170" i="400" s="1"/>
  <c r="H171" i="400" s="1"/>
  <c r="H172" i="400" s="1"/>
  <c r="H173" i="400" s="1"/>
  <c r="H174" i="400" s="1"/>
  <c r="H175" i="400" s="1"/>
  <c r="H176" i="400" s="1"/>
  <c r="H177" i="400" s="1"/>
  <c r="H178" i="400" s="1"/>
  <c r="H179" i="400" s="1"/>
  <c r="H180" i="400" s="1"/>
  <c r="H181" i="400" s="1"/>
  <c r="H182" i="400" s="1"/>
  <c r="H183" i="400" s="1"/>
  <c r="H184" i="400" s="1"/>
  <c r="H185" i="400" s="1"/>
  <c r="H186" i="400" s="1"/>
  <c r="H187" i="400" s="1"/>
  <c r="H188" i="400" s="1"/>
  <c r="H189" i="400" s="1"/>
  <c r="H190" i="400" s="1"/>
  <c r="H191" i="400" s="1"/>
  <c r="H192" i="400" s="1"/>
  <c r="H193" i="400" s="1"/>
  <c r="H194" i="400" s="1"/>
  <c r="H195" i="400" s="1"/>
  <c r="H196" i="400" s="1"/>
  <c r="H197" i="400" s="1"/>
  <c r="H198" i="400" s="1"/>
  <c r="H199" i="400" s="1"/>
  <c r="H200" i="400" s="1"/>
  <c r="H201" i="400" s="1"/>
  <c r="A3" i="400"/>
  <c r="B2" i="400"/>
  <c r="H3" i="399"/>
  <c r="H4" i="399" s="1"/>
  <c r="H5" i="399" s="1"/>
  <c r="H6" i="399" s="1"/>
  <c r="H7" i="399" s="1"/>
  <c r="H8" i="399" s="1"/>
  <c r="H9" i="399" s="1"/>
  <c r="H10" i="399" s="1"/>
  <c r="H11" i="399" s="1"/>
  <c r="H12" i="399" s="1"/>
  <c r="H13" i="399" s="1"/>
  <c r="H14" i="399" s="1"/>
  <c r="H15" i="399" s="1"/>
  <c r="H16" i="399" s="1"/>
  <c r="H17" i="399" s="1"/>
  <c r="H18" i="399" s="1"/>
  <c r="H19" i="399" s="1"/>
  <c r="H20" i="399" s="1"/>
  <c r="H21" i="399" s="1"/>
  <c r="H22" i="399" s="1"/>
  <c r="H23" i="399" s="1"/>
  <c r="H24" i="399" s="1"/>
  <c r="H25" i="399" s="1"/>
  <c r="H26" i="399" s="1"/>
  <c r="H27" i="399" s="1"/>
  <c r="H28" i="399" s="1"/>
  <c r="H29" i="399" s="1"/>
  <c r="H30" i="399" s="1"/>
  <c r="H31" i="399" s="1"/>
  <c r="H32" i="399" s="1"/>
  <c r="H33" i="399" s="1"/>
  <c r="H34" i="399" s="1"/>
  <c r="H35" i="399" s="1"/>
  <c r="H36" i="399" s="1"/>
  <c r="H37" i="399" s="1"/>
  <c r="H38" i="399" s="1"/>
  <c r="H39" i="399" s="1"/>
  <c r="H40" i="399" s="1"/>
  <c r="H41" i="399" s="1"/>
  <c r="H42" i="399" s="1"/>
  <c r="H43" i="399" s="1"/>
  <c r="H44" i="399" s="1"/>
  <c r="H45" i="399" s="1"/>
  <c r="H46" i="399" s="1"/>
  <c r="H47" i="399" s="1"/>
  <c r="H48" i="399" s="1"/>
  <c r="H49" i="399" s="1"/>
  <c r="H50" i="399" s="1"/>
  <c r="H51" i="399" s="1"/>
  <c r="H52" i="399" s="1"/>
  <c r="H53" i="399" s="1"/>
  <c r="H54" i="399" s="1"/>
  <c r="H55" i="399" s="1"/>
  <c r="H56" i="399" s="1"/>
  <c r="H57" i="399" s="1"/>
  <c r="H58" i="399" s="1"/>
  <c r="H59" i="399" s="1"/>
  <c r="H60" i="399" s="1"/>
  <c r="H61" i="399" s="1"/>
  <c r="H62" i="399" s="1"/>
  <c r="H63" i="399" s="1"/>
  <c r="H64" i="399" s="1"/>
  <c r="H65" i="399" s="1"/>
  <c r="H66" i="399" s="1"/>
  <c r="H67" i="399" s="1"/>
  <c r="H68" i="399" s="1"/>
  <c r="H69" i="399" s="1"/>
  <c r="H70" i="399" s="1"/>
  <c r="H71" i="399" s="1"/>
  <c r="H72" i="399" s="1"/>
  <c r="H73" i="399" s="1"/>
  <c r="H74" i="399" s="1"/>
  <c r="H75" i="399" s="1"/>
  <c r="H76" i="399" s="1"/>
  <c r="H77" i="399" s="1"/>
  <c r="H78" i="399" s="1"/>
  <c r="H79" i="399" s="1"/>
  <c r="H80" i="399" s="1"/>
  <c r="H81" i="399" s="1"/>
  <c r="H82" i="399" s="1"/>
  <c r="H83" i="399" s="1"/>
  <c r="H84" i="399" s="1"/>
  <c r="H85" i="399" s="1"/>
  <c r="H86" i="399" s="1"/>
  <c r="H87" i="399" s="1"/>
  <c r="H88" i="399" s="1"/>
  <c r="H89" i="399" s="1"/>
  <c r="H90" i="399" s="1"/>
  <c r="H91" i="399" s="1"/>
  <c r="H92" i="399" s="1"/>
  <c r="H93" i="399" s="1"/>
  <c r="H94" i="399" s="1"/>
  <c r="H95" i="399" s="1"/>
  <c r="H96" i="399" s="1"/>
  <c r="H97" i="399" s="1"/>
  <c r="H98" i="399" s="1"/>
  <c r="H99" i="399" s="1"/>
  <c r="H100" i="399" s="1"/>
  <c r="H101" i="399" s="1"/>
  <c r="H102" i="399" s="1"/>
  <c r="H103" i="399" s="1"/>
  <c r="H104" i="399" s="1"/>
  <c r="H105" i="399" s="1"/>
  <c r="H106" i="399" s="1"/>
  <c r="H107" i="399" s="1"/>
  <c r="H108" i="399" s="1"/>
  <c r="H109" i="399" s="1"/>
  <c r="H110" i="399" s="1"/>
  <c r="H111" i="399" s="1"/>
  <c r="H112" i="399" s="1"/>
  <c r="H113" i="399" s="1"/>
  <c r="H114" i="399" s="1"/>
  <c r="H115" i="399" s="1"/>
  <c r="H116" i="399" s="1"/>
  <c r="H117" i="399" s="1"/>
  <c r="H118" i="399" s="1"/>
  <c r="H119" i="399" s="1"/>
  <c r="H120" i="399" s="1"/>
  <c r="H121" i="399" s="1"/>
  <c r="H122" i="399" s="1"/>
  <c r="H123" i="399" s="1"/>
  <c r="H124" i="399" s="1"/>
  <c r="H125" i="399" s="1"/>
  <c r="H126" i="399" s="1"/>
  <c r="H127" i="399" s="1"/>
  <c r="H128" i="399" s="1"/>
  <c r="H129" i="399" s="1"/>
  <c r="H130" i="399" s="1"/>
  <c r="H131" i="399" s="1"/>
  <c r="H132" i="399" s="1"/>
  <c r="H133" i="399" s="1"/>
  <c r="H134" i="399" s="1"/>
  <c r="H135" i="399" s="1"/>
  <c r="H136" i="399" s="1"/>
  <c r="H137" i="399" s="1"/>
  <c r="H138" i="399" s="1"/>
  <c r="H139" i="399" s="1"/>
  <c r="H140" i="399" s="1"/>
  <c r="H141" i="399" s="1"/>
  <c r="H142" i="399" s="1"/>
  <c r="H143" i="399" s="1"/>
  <c r="H144" i="399" s="1"/>
  <c r="H145" i="399" s="1"/>
  <c r="H146" i="399" s="1"/>
  <c r="H147" i="399" s="1"/>
  <c r="H148" i="399" s="1"/>
  <c r="H149" i="399" s="1"/>
  <c r="H150" i="399" s="1"/>
  <c r="H151" i="399" s="1"/>
  <c r="H152" i="399" s="1"/>
  <c r="H153" i="399" s="1"/>
  <c r="H154" i="399" s="1"/>
  <c r="H155" i="399" s="1"/>
  <c r="H156" i="399" s="1"/>
  <c r="H157" i="399" s="1"/>
  <c r="H158" i="399" s="1"/>
  <c r="H159" i="399" s="1"/>
  <c r="H160" i="399" s="1"/>
  <c r="H161" i="399" s="1"/>
  <c r="H162" i="399" s="1"/>
  <c r="H163" i="399" s="1"/>
  <c r="H164" i="399" s="1"/>
  <c r="H165" i="399" s="1"/>
  <c r="H166" i="399" s="1"/>
  <c r="H167" i="399" s="1"/>
  <c r="H168" i="399" s="1"/>
  <c r="H169" i="399" s="1"/>
  <c r="H170" i="399" s="1"/>
  <c r="H171" i="399" s="1"/>
  <c r="H172" i="399" s="1"/>
  <c r="H173" i="399" s="1"/>
  <c r="H174" i="399" s="1"/>
  <c r="H175" i="399" s="1"/>
  <c r="H176" i="399" s="1"/>
  <c r="H177" i="399" s="1"/>
  <c r="H178" i="399" s="1"/>
  <c r="H179" i="399" s="1"/>
  <c r="H180" i="399" s="1"/>
  <c r="H181" i="399" s="1"/>
  <c r="H182" i="399" s="1"/>
  <c r="H183" i="399" s="1"/>
  <c r="H184" i="399" s="1"/>
  <c r="H185" i="399" s="1"/>
  <c r="H186" i="399" s="1"/>
  <c r="H187" i="399" s="1"/>
  <c r="H188" i="399" s="1"/>
  <c r="H189" i="399" s="1"/>
  <c r="H190" i="399" s="1"/>
  <c r="H191" i="399" s="1"/>
  <c r="H192" i="399" s="1"/>
  <c r="H193" i="399" s="1"/>
  <c r="H194" i="399" s="1"/>
  <c r="H195" i="399" s="1"/>
  <c r="H196" i="399" s="1"/>
  <c r="H197" i="399" s="1"/>
  <c r="H198" i="399" s="1"/>
  <c r="H199" i="399" s="1"/>
  <c r="H200" i="399" s="1"/>
  <c r="H201" i="399" s="1"/>
  <c r="H202" i="399" s="1"/>
  <c r="H203" i="399" s="1"/>
  <c r="H204" i="399" s="1"/>
  <c r="H205" i="399" s="1"/>
  <c r="H206" i="399" s="1"/>
  <c r="H207" i="399" s="1"/>
  <c r="H208" i="399" s="1"/>
  <c r="H209" i="399" s="1"/>
  <c r="H210" i="399" s="1"/>
  <c r="H211" i="399" s="1"/>
  <c r="H212" i="399" s="1"/>
  <c r="H213" i="399" s="1"/>
  <c r="H214" i="399" s="1"/>
  <c r="H215" i="399" s="1"/>
  <c r="H216" i="399" s="1"/>
  <c r="H217" i="399" s="1"/>
  <c r="H218" i="399" s="1"/>
  <c r="H219" i="399" s="1"/>
  <c r="H220" i="399" s="1"/>
  <c r="H221" i="399" s="1"/>
  <c r="H222" i="399" s="1"/>
  <c r="H223" i="399" s="1"/>
  <c r="H224" i="399" s="1"/>
  <c r="H225" i="399" s="1"/>
  <c r="H226" i="399" s="1"/>
  <c r="H227" i="399" s="1"/>
  <c r="H228" i="399" s="1"/>
  <c r="H229" i="399" s="1"/>
  <c r="H230" i="399" s="1"/>
  <c r="H231" i="399" s="1"/>
  <c r="H232" i="399" s="1"/>
  <c r="H233" i="399" s="1"/>
  <c r="H234" i="399" s="1"/>
  <c r="H235" i="399" s="1"/>
  <c r="H236" i="399" s="1"/>
  <c r="H237" i="399" s="1"/>
  <c r="H238" i="399" s="1"/>
  <c r="H239" i="399" s="1"/>
  <c r="H240" i="399" s="1"/>
  <c r="H241" i="399" s="1"/>
  <c r="H242" i="399" s="1"/>
  <c r="H243" i="399" s="1"/>
  <c r="H244" i="399" s="1"/>
  <c r="H245" i="399" s="1"/>
  <c r="H246" i="399" s="1"/>
  <c r="H247" i="399" s="1"/>
  <c r="H248" i="399" s="1"/>
  <c r="H249" i="399" s="1"/>
  <c r="H250" i="399" s="1"/>
  <c r="H251" i="399" s="1"/>
  <c r="H252" i="399" s="1"/>
  <c r="H253" i="399" s="1"/>
  <c r="A3" i="399"/>
  <c r="B3" i="399" s="1"/>
  <c r="B2" i="399"/>
  <c r="X39" i="10"/>
  <c r="V39" i="10"/>
  <c r="U39" i="10"/>
  <c r="Y39" i="10" s="1"/>
  <c r="A6" i="413" l="1"/>
  <c r="B6" i="413" s="1"/>
  <c r="B4" i="413"/>
  <c r="A4" i="399"/>
  <c r="A4" i="401"/>
  <c r="B4" i="401" s="1"/>
  <c r="B4" i="399"/>
  <c r="A5" i="399"/>
  <c r="B3" i="400"/>
  <c r="A4" i="400"/>
  <c r="A5" i="401"/>
  <c r="A4" i="403"/>
  <c r="Y36" i="10"/>
  <c r="Y34" i="10"/>
  <c r="A124" i="419"/>
  <c r="A4" i="402"/>
  <c r="A7" i="413"/>
  <c r="A8" i="420"/>
  <c r="Y38" i="10"/>
  <c r="Y37" i="10"/>
  <c r="W39" i="10"/>
  <c r="B4" i="400" l="1"/>
  <c r="A5" i="400"/>
  <c r="A125" i="419"/>
  <c r="B4" i="403"/>
  <c r="A5" i="403"/>
  <c r="A9" i="420"/>
  <c r="B4" i="402"/>
  <c r="A5" i="402"/>
  <c r="A8" i="413"/>
  <c r="B7" i="413"/>
  <c r="B5" i="401"/>
  <c r="A6" i="401"/>
  <c r="B5" i="399"/>
  <c r="A6" i="399"/>
  <c r="X3" i="10"/>
  <c r="X4" i="10"/>
  <c r="X5" i="10"/>
  <c r="X6" i="10"/>
  <c r="X7" i="10"/>
  <c r="X8" i="10"/>
  <c r="X12" i="10"/>
  <c r="X13" i="10"/>
  <c r="X14" i="10"/>
  <c r="X15" i="10"/>
  <c r="X16" i="10"/>
  <c r="X17" i="10"/>
  <c r="X18" i="10"/>
  <c r="X19" i="10"/>
  <c r="X20" i="10"/>
  <c r="X21" i="10"/>
  <c r="X26" i="10"/>
  <c r="X27" i="10"/>
  <c r="X28" i="10"/>
  <c r="X29" i="10"/>
  <c r="X30" i="10"/>
  <c r="X31" i="10"/>
  <c r="X32" i="10"/>
  <c r="X33" i="10"/>
  <c r="X52" i="10"/>
  <c r="X53" i="10"/>
  <c r="X54" i="10"/>
  <c r="X55" i="10"/>
  <c r="X56" i="10"/>
  <c r="X57" i="10"/>
  <c r="X58" i="10"/>
  <c r="X59" i="10"/>
  <c r="X2" i="10"/>
  <c r="U3" i="10"/>
  <c r="Y3" i="10" s="1"/>
  <c r="U4" i="10"/>
  <c r="Y4" i="10" s="1"/>
  <c r="U5" i="10"/>
  <c r="W5" i="10" s="1"/>
  <c r="U6" i="10"/>
  <c r="Y6" i="10" s="1"/>
  <c r="U7" i="10"/>
  <c r="Y7" i="10" s="1"/>
  <c r="U8" i="10"/>
  <c r="Y8" i="10" s="1"/>
  <c r="U12" i="10"/>
  <c r="W12" i="10" s="1"/>
  <c r="U13" i="10"/>
  <c r="Y13" i="10" s="1"/>
  <c r="U14" i="10"/>
  <c r="Y14" i="10" s="1"/>
  <c r="U15" i="10"/>
  <c r="W15" i="10" s="1"/>
  <c r="U16" i="10"/>
  <c r="W16" i="10" s="1"/>
  <c r="U17" i="10"/>
  <c r="Y17" i="10" s="1"/>
  <c r="U18" i="10"/>
  <c r="Y18" i="10" s="1"/>
  <c r="U19" i="10"/>
  <c r="W19" i="10" s="1"/>
  <c r="U20" i="10"/>
  <c r="W20" i="10" s="1"/>
  <c r="U21" i="10"/>
  <c r="W21" i="10" s="1"/>
  <c r="U26" i="10"/>
  <c r="Y26" i="10" s="1"/>
  <c r="U27" i="10"/>
  <c r="W27" i="10" s="1"/>
  <c r="U28" i="10"/>
  <c r="W28" i="10" s="1"/>
  <c r="U29" i="10"/>
  <c r="Y29" i="10" s="1"/>
  <c r="U30" i="10"/>
  <c r="Y30" i="10" s="1"/>
  <c r="U31" i="10"/>
  <c r="W31" i="10" s="1"/>
  <c r="U32" i="10"/>
  <c r="W32" i="10" s="1"/>
  <c r="U33" i="10"/>
  <c r="W33" i="10" s="1"/>
  <c r="U52" i="10"/>
  <c r="W52" i="10" s="1"/>
  <c r="U53" i="10"/>
  <c r="Y53" i="10" s="1"/>
  <c r="U54" i="10"/>
  <c r="Y54" i="10" s="1"/>
  <c r="U55" i="10"/>
  <c r="W55" i="10" s="1"/>
  <c r="U56" i="10"/>
  <c r="W56" i="10" s="1"/>
  <c r="U57" i="10"/>
  <c r="Y57" i="10" s="1"/>
  <c r="U58" i="10"/>
  <c r="Y58" i="10" s="1"/>
  <c r="U59" i="10"/>
  <c r="W59" i="10" s="1"/>
  <c r="U2" i="10"/>
  <c r="Y2" i="10" s="1"/>
  <c r="V3" i="10"/>
  <c r="V4" i="10"/>
  <c r="V5" i="10"/>
  <c r="V6" i="10"/>
  <c r="V7" i="10"/>
  <c r="V8" i="10"/>
  <c r="V12" i="10"/>
  <c r="V13" i="10"/>
  <c r="V14" i="10"/>
  <c r="V15" i="10"/>
  <c r="V16" i="10"/>
  <c r="V17" i="10"/>
  <c r="V18" i="10"/>
  <c r="V19" i="10"/>
  <c r="V20" i="10"/>
  <c r="V21" i="10"/>
  <c r="V26" i="10"/>
  <c r="V27" i="10"/>
  <c r="V28" i="10"/>
  <c r="V29" i="10"/>
  <c r="V30" i="10"/>
  <c r="V31" i="10"/>
  <c r="V32" i="10"/>
  <c r="V33" i="10"/>
  <c r="V52" i="10"/>
  <c r="V53" i="10"/>
  <c r="V54" i="10"/>
  <c r="V55" i="10"/>
  <c r="V56" i="10"/>
  <c r="V57" i="10"/>
  <c r="V58" i="10"/>
  <c r="V59" i="10"/>
  <c r="V2" i="10"/>
  <c r="B8" i="413" l="1"/>
  <c r="A9" i="413"/>
  <c r="B6" i="399"/>
  <c r="A7" i="399"/>
  <c r="A10" i="420"/>
  <c r="A126" i="419"/>
  <c r="B6" i="401"/>
  <c r="A7" i="401"/>
  <c r="B5" i="402"/>
  <c r="A6" i="402"/>
  <c r="B5" i="403"/>
  <c r="A6" i="403"/>
  <c r="B5" i="400"/>
  <c r="A6" i="400"/>
  <c r="W2" i="10"/>
  <c r="Y31" i="10"/>
  <c r="Y16" i="10"/>
  <c r="Y52" i="10"/>
  <c r="Y55" i="10"/>
  <c r="Y19" i="10"/>
  <c r="Y28" i="10"/>
  <c r="Y5" i="10"/>
  <c r="W4" i="10"/>
  <c r="W8" i="10"/>
  <c r="Y56" i="10"/>
  <c r="Y32" i="10"/>
  <c r="Y20" i="10"/>
  <c r="Y12" i="10"/>
  <c r="W6" i="10"/>
  <c r="Y59" i="10"/>
  <c r="Y27" i="10"/>
  <c r="Y15" i="10"/>
  <c r="W57" i="10"/>
  <c r="W53" i="10"/>
  <c r="W29" i="10"/>
  <c r="W17" i="10"/>
  <c r="W13" i="10"/>
  <c r="W58" i="10"/>
  <c r="W54" i="10"/>
  <c r="W30" i="10"/>
  <c r="W26" i="10"/>
  <c r="W18" i="10"/>
  <c r="W14" i="10"/>
  <c r="W7" i="10"/>
  <c r="W3" i="10"/>
  <c r="Y33" i="10"/>
  <c r="Y21" i="10"/>
  <c r="B6" i="400" l="1"/>
  <c r="A7" i="400"/>
  <c r="B6" i="402"/>
  <c r="A7" i="402"/>
  <c r="A127" i="419"/>
  <c r="B7" i="399"/>
  <c r="A8" i="399"/>
  <c r="B6" i="403"/>
  <c r="A7" i="403"/>
  <c r="B7" i="401"/>
  <c r="A8" i="401"/>
  <c r="B9" i="413"/>
  <c r="A10" i="413"/>
  <c r="B10" i="420"/>
  <c r="A11" i="420"/>
  <c r="H3" i="357"/>
  <c r="H4" i="357" s="1"/>
  <c r="H5" i="357" s="1"/>
  <c r="H6" i="357" s="1"/>
  <c r="H7" i="357" s="1"/>
  <c r="H8" i="357" s="1"/>
  <c r="H9" i="357" s="1"/>
  <c r="H10" i="357" s="1"/>
  <c r="H11" i="357" s="1"/>
  <c r="H12" i="357" s="1"/>
  <c r="H13" i="357" s="1"/>
  <c r="H14" i="357" s="1"/>
  <c r="H15" i="357" s="1"/>
  <c r="H16" i="357" s="1"/>
  <c r="H17" i="357" s="1"/>
  <c r="A3" i="357"/>
  <c r="A4" i="357" s="1"/>
  <c r="A5" i="357" s="1"/>
  <c r="A6" i="357" s="1"/>
  <c r="A7" i="357" s="1"/>
  <c r="A8" i="357" s="1"/>
  <c r="A9" i="357" s="1"/>
  <c r="A10" i="357" s="1"/>
  <c r="A11" i="357" s="1"/>
  <c r="A12" i="357" s="1"/>
  <c r="B12" i="357" l="1"/>
  <c r="A13" i="357"/>
  <c r="B11" i="420"/>
  <c r="A12" i="420"/>
  <c r="B8" i="401"/>
  <c r="A9" i="401"/>
  <c r="B8" i="399"/>
  <c r="A9" i="399"/>
  <c r="B7" i="402"/>
  <c r="A8" i="402"/>
  <c r="B10" i="413"/>
  <c r="A11" i="413"/>
  <c r="B7" i="403"/>
  <c r="A8" i="403"/>
  <c r="A128" i="419"/>
  <c r="B7" i="400"/>
  <c r="A8" i="400"/>
  <c r="E3" i="10"/>
  <c r="A129" i="419" l="1"/>
  <c r="A130" i="419" s="1"/>
  <c r="A131" i="419" s="1"/>
  <c r="A132" i="419" s="1"/>
  <c r="A133" i="419" s="1"/>
  <c r="A134" i="419" s="1"/>
  <c r="A135" i="419" s="1"/>
  <c r="B11" i="413"/>
  <c r="A12" i="413"/>
  <c r="B9" i="399"/>
  <c r="A10" i="399"/>
  <c r="B12" i="420"/>
  <c r="A13" i="420"/>
  <c r="B8" i="400"/>
  <c r="A9" i="400"/>
  <c r="B8" i="403"/>
  <c r="A9" i="403"/>
  <c r="B8" i="402"/>
  <c r="A9" i="402"/>
  <c r="B9" i="401"/>
  <c r="A10" i="401"/>
  <c r="B13" i="357"/>
  <c r="A14" i="357"/>
  <c r="E4" i="10"/>
  <c r="B135" i="419" l="1"/>
  <c r="A136" i="419"/>
  <c r="B10" i="401"/>
  <c r="A11" i="401"/>
  <c r="B9" i="403"/>
  <c r="A10" i="403"/>
  <c r="B13" i="420"/>
  <c r="A14" i="420"/>
  <c r="B12" i="413"/>
  <c r="A13" i="413"/>
  <c r="B14" i="357"/>
  <c r="A15" i="357"/>
  <c r="B9" i="402"/>
  <c r="A10" i="402"/>
  <c r="B9" i="400"/>
  <c r="A10" i="400"/>
  <c r="B10" i="399"/>
  <c r="A11" i="399"/>
  <c r="E5" i="10"/>
  <c r="H3" i="341"/>
  <c r="H4" i="341" s="1"/>
  <c r="H5" i="341" s="1"/>
  <c r="A3" i="341"/>
  <c r="A4" i="341" s="1"/>
  <c r="B4" i="341" s="1"/>
  <c r="B2" i="341"/>
  <c r="H3" i="340"/>
  <c r="H4" i="340" s="1"/>
  <c r="H5" i="340" s="1"/>
  <c r="H6" i="340" s="1"/>
  <c r="H7" i="340" s="1"/>
  <c r="H8" i="340" s="1"/>
  <c r="H9" i="340" s="1"/>
  <c r="H10" i="340" s="1"/>
  <c r="H11" i="340" s="1"/>
  <c r="H12" i="340" s="1"/>
  <c r="H13" i="340" s="1"/>
  <c r="H14" i="340" s="1"/>
  <c r="H15" i="340" s="1"/>
  <c r="H16" i="340" s="1"/>
  <c r="H17" i="340" s="1"/>
  <c r="A3" i="340"/>
  <c r="B3" i="340" s="1"/>
  <c r="B2" i="340"/>
  <c r="H3" i="339"/>
  <c r="H4" i="339" s="1"/>
  <c r="H5" i="339" s="1"/>
  <c r="H6" i="339" s="1"/>
  <c r="H7" i="339" s="1"/>
  <c r="H8" i="339" s="1"/>
  <c r="H9" i="339" s="1"/>
  <c r="H10" i="339" s="1"/>
  <c r="H11" i="339" s="1"/>
  <c r="H12" i="339" s="1"/>
  <c r="H13" i="339" s="1"/>
  <c r="H14" i="339" s="1"/>
  <c r="H15" i="339" s="1"/>
  <c r="H16" i="339" s="1"/>
  <c r="H17" i="339" s="1"/>
  <c r="H18" i="339" s="1"/>
  <c r="H19" i="339" s="1"/>
  <c r="H20" i="339" s="1"/>
  <c r="H21" i="339" s="1"/>
  <c r="H22" i="339" s="1"/>
  <c r="H23" i="339" s="1"/>
  <c r="H24" i="339" s="1"/>
  <c r="H25" i="339" s="1"/>
  <c r="A3" i="339"/>
  <c r="B3" i="339" s="1"/>
  <c r="B2" i="339"/>
  <c r="A137" i="419" l="1"/>
  <c r="B136" i="419"/>
  <c r="B3" i="341"/>
  <c r="A4" i="339"/>
  <c r="B4" i="339" s="1"/>
  <c r="A4" i="340"/>
  <c r="B11" i="399"/>
  <c r="A12" i="399"/>
  <c r="B10" i="402"/>
  <c r="A11" i="402"/>
  <c r="B13" i="413"/>
  <c r="A14" i="413"/>
  <c r="B10" i="403"/>
  <c r="A11" i="403"/>
  <c r="A5" i="341"/>
  <c r="B5" i="341" s="1"/>
  <c r="B10" i="400"/>
  <c r="A11" i="400"/>
  <c r="B15" i="357"/>
  <c r="A16" i="357"/>
  <c r="A15" i="420"/>
  <c r="B14" i="420"/>
  <c r="B11" i="401"/>
  <c r="A12" i="401"/>
  <c r="E6" i="10"/>
  <c r="D65" i="203"/>
  <c r="C65" i="203"/>
  <c r="D56" i="203"/>
  <c r="C56" i="203"/>
  <c r="D47" i="203"/>
  <c r="C47" i="203"/>
  <c r="D38" i="203"/>
  <c r="C38" i="203"/>
  <c r="D29" i="203"/>
  <c r="C29" i="203"/>
  <c r="D20" i="203"/>
  <c r="C20" i="203"/>
  <c r="F11" i="203"/>
  <c r="F20" i="203" s="1"/>
  <c r="F29" i="203" s="1"/>
  <c r="F38" i="203" s="1"/>
  <c r="F47" i="203" s="1"/>
  <c r="F56" i="203" s="1"/>
  <c r="F65" i="203" s="1"/>
  <c r="D11" i="203"/>
  <c r="C11" i="203"/>
  <c r="A11" i="203"/>
  <c r="B19" i="203" s="1"/>
  <c r="B10" i="203"/>
  <c r="B9" i="203"/>
  <c r="B8" i="203"/>
  <c r="B7" i="203"/>
  <c r="B6" i="203"/>
  <c r="B5" i="203"/>
  <c r="B4" i="203"/>
  <c r="B3" i="203"/>
  <c r="E2" i="203"/>
  <c r="D2" i="203"/>
  <c r="C2" i="203"/>
  <c r="B2" i="203"/>
  <c r="A5" i="339" l="1"/>
  <c r="B5" i="339" s="1"/>
  <c r="B137" i="419"/>
  <c r="A138" i="419"/>
  <c r="B11" i="403"/>
  <c r="A12" i="403"/>
  <c r="B11" i="402"/>
  <c r="A12" i="402"/>
  <c r="B4" i="340"/>
  <c r="A5" i="340"/>
  <c r="B11" i="203"/>
  <c r="E11" i="203" s="1"/>
  <c r="A20" i="203"/>
  <c r="B15" i="420"/>
  <c r="A16" i="420"/>
  <c r="B14" i="413"/>
  <c r="A15" i="413"/>
  <c r="B12" i="399"/>
  <c r="A13" i="399"/>
  <c r="B12" i="401"/>
  <c r="A13" i="401"/>
  <c r="B16" i="357"/>
  <c r="A17" i="357"/>
  <c r="B17" i="357" s="1"/>
  <c r="B11" i="400"/>
  <c r="A12" i="400"/>
  <c r="A6" i="339"/>
  <c r="E7" i="10"/>
  <c r="B27" i="203"/>
  <c r="B24" i="203"/>
  <c r="B28" i="203"/>
  <c r="B25" i="203"/>
  <c r="B138" i="419" l="1"/>
  <c r="A139" i="419"/>
  <c r="B6" i="339"/>
  <c r="A7" i="339"/>
  <c r="B12" i="400"/>
  <c r="A13" i="400"/>
  <c r="B13" i="401"/>
  <c r="A14" i="401"/>
  <c r="B15" i="413"/>
  <c r="A16" i="413"/>
  <c r="B26" i="203"/>
  <c r="A29" i="203"/>
  <c r="B12" i="402"/>
  <c r="A13" i="402"/>
  <c r="B20" i="203"/>
  <c r="E20" i="203" s="1"/>
  <c r="B13" i="399"/>
  <c r="A14" i="399"/>
  <c r="B16" i="420"/>
  <c r="A17" i="420"/>
  <c r="B5" i="340"/>
  <c r="A6" i="340"/>
  <c r="B12" i="403"/>
  <c r="A13" i="403"/>
  <c r="H3" i="200"/>
  <c r="H4" i="200" s="1"/>
  <c r="H5" i="200" s="1"/>
  <c r="H6" i="200" s="1"/>
  <c r="H7" i="200" s="1"/>
  <c r="H8" i="200" s="1"/>
  <c r="H9" i="200" s="1"/>
  <c r="H10" i="200" s="1"/>
  <c r="H11" i="200" s="1"/>
  <c r="H12" i="200" s="1"/>
  <c r="H13" i="200" s="1"/>
  <c r="H14" i="200" s="1"/>
  <c r="H15" i="200" s="1"/>
  <c r="H16" i="200" s="1"/>
  <c r="H17" i="200" s="1"/>
  <c r="H18" i="200" s="1"/>
  <c r="H19" i="200" s="1"/>
  <c r="H20" i="200" s="1"/>
  <c r="H21" i="200" s="1"/>
  <c r="H22" i="200" s="1"/>
  <c r="H23" i="200" s="1"/>
  <c r="H24" i="200" s="1"/>
  <c r="H25" i="200" s="1"/>
  <c r="A3" i="200"/>
  <c r="A4" i="200" s="1"/>
  <c r="A5" i="200" s="1"/>
  <c r="A6" i="200" s="1"/>
  <c r="A7" i="200" s="1"/>
  <c r="A8" i="200" s="1"/>
  <c r="A9" i="200" s="1"/>
  <c r="A10" i="200" s="1"/>
  <c r="A11" i="200" s="1"/>
  <c r="A12" i="200" s="1"/>
  <c r="A13" i="200" s="1"/>
  <c r="A14" i="200" s="1"/>
  <c r="A15" i="200" s="1"/>
  <c r="A16" i="200" s="1"/>
  <c r="A17" i="200" s="1"/>
  <c r="A18" i="200" s="1"/>
  <c r="A19" i="200" s="1"/>
  <c r="A20" i="200" s="1"/>
  <c r="A21" i="200" s="1"/>
  <c r="A22" i="200" s="1"/>
  <c r="A23" i="200" s="1"/>
  <c r="A24" i="200" s="1"/>
  <c r="A25" i="200" s="1"/>
  <c r="B139" i="419" l="1"/>
  <c r="A140" i="419"/>
  <c r="B37" i="203"/>
  <c r="A38" i="203"/>
  <c r="B29" i="203"/>
  <c r="E29" i="203" s="1"/>
  <c r="B14" i="401"/>
  <c r="A15" i="401"/>
  <c r="B7" i="339"/>
  <c r="A8" i="339"/>
  <c r="B13" i="402"/>
  <c r="A14" i="402"/>
  <c r="A17" i="413"/>
  <c r="B17" i="413" s="1"/>
  <c r="B16" i="413"/>
  <c r="B13" i="400"/>
  <c r="A14" i="400"/>
  <c r="B6" i="340"/>
  <c r="A7" i="340"/>
  <c r="B14" i="399"/>
  <c r="A15" i="399"/>
  <c r="B13" i="403"/>
  <c r="A14" i="403"/>
  <c r="B17" i="420"/>
  <c r="A18" i="420"/>
  <c r="E8" i="10"/>
  <c r="H3" i="191"/>
  <c r="H4" i="191" s="1"/>
  <c r="H5" i="191" s="1"/>
  <c r="H6" i="191" s="1"/>
  <c r="H7" i="191" s="1"/>
  <c r="H8" i="191" s="1"/>
  <c r="H9" i="191" s="1"/>
  <c r="H10" i="191" s="1"/>
  <c r="H11" i="191" s="1"/>
  <c r="H12" i="191" s="1"/>
  <c r="H13" i="191" s="1"/>
  <c r="H14" i="191" s="1"/>
  <c r="H15" i="191" s="1"/>
  <c r="H16" i="191" s="1"/>
  <c r="H17" i="191" s="1"/>
  <c r="H18" i="191" s="1"/>
  <c r="H19" i="191" s="1"/>
  <c r="H20" i="191" s="1"/>
  <c r="H21" i="191" s="1"/>
  <c r="H22" i="191" s="1"/>
  <c r="H23" i="191" s="1"/>
  <c r="H24" i="191" s="1"/>
  <c r="H25" i="191" s="1"/>
  <c r="H26" i="191" s="1"/>
  <c r="H27" i="191" s="1"/>
  <c r="H28" i="191" s="1"/>
  <c r="H29" i="191" s="1"/>
  <c r="H30" i="191" s="1"/>
  <c r="H31" i="191" s="1"/>
  <c r="H32" i="191" s="1"/>
  <c r="H33" i="191" s="1"/>
  <c r="H34" i="191" s="1"/>
  <c r="H35" i="191" s="1"/>
  <c r="H36" i="191" s="1"/>
  <c r="H37" i="191" s="1"/>
  <c r="H38" i="191" s="1"/>
  <c r="H39" i="191" s="1"/>
  <c r="H40" i="191" s="1"/>
  <c r="H41" i="191" s="1"/>
  <c r="H42" i="191" s="1"/>
  <c r="H43" i="191" s="1"/>
  <c r="H44" i="191" s="1"/>
  <c r="H45" i="191" s="1"/>
  <c r="H46" i="191" s="1"/>
  <c r="H47" i="191" s="1"/>
  <c r="H48" i="191" s="1"/>
  <c r="H49" i="191" s="1"/>
  <c r="H50" i="191" s="1"/>
  <c r="H51" i="191" s="1"/>
  <c r="H52" i="191" s="1"/>
  <c r="H53" i="191" s="1"/>
  <c r="H54" i="191" s="1"/>
  <c r="H55" i="191" s="1"/>
  <c r="H56" i="191" s="1"/>
  <c r="H57" i="191" s="1"/>
  <c r="H58" i="191" s="1"/>
  <c r="H59" i="191" s="1"/>
  <c r="H60" i="191" s="1"/>
  <c r="H61" i="191" s="1"/>
  <c r="H62" i="191" s="1"/>
  <c r="H63" i="191" s="1"/>
  <c r="H64" i="191" s="1"/>
  <c r="H65" i="191" s="1"/>
  <c r="H66" i="191" s="1"/>
  <c r="H67" i="191" s="1"/>
  <c r="H68" i="191" s="1"/>
  <c r="H69" i="191" s="1"/>
  <c r="H70" i="191" s="1"/>
  <c r="H71" i="191" s="1"/>
  <c r="H72" i="191" s="1"/>
  <c r="H73" i="191" s="1"/>
  <c r="H74" i="191" s="1"/>
  <c r="H75" i="191" s="1"/>
  <c r="H76" i="191" s="1"/>
  <c r="H77" i="191" s="1"/>
  <c r="H78" i="191" s="1"/>
  <c r="H79" i="191" s="1"/>
  <c r="H80" i="191" s="1"/>
  <c r="H81" i="191" s="1"/>
  <c r="H82" i="191" s="1"/>
  <c r="H83" i="191" s="1"/>
  <c r="H84" i="191" s="1"/>
  <c r="H85" i="191" s="1"/>
  <c r="H86" i="191" s="1"/>
  <c r="H87" i="191" s="1"/>
  <c r="H88" i="191" s="1"/>
  <c r="H89" i="191" s="1"/>
  <c r="H90" i="191" s="1"/>
  <c r="H91" i="191" s="1"/>
  <c r="H92" i="191" s="1"/>
  <c r="H93" i="191" s="1"/>
  <c r="H94" i="191" s="1"/>
  <c r="H95" i="191" s="1"/>
  <c r="H96" i="191" s="1"/>
  <c r="H97" i="191" s="1"/>
  <c r="H98" i="191" s="1"/>
  <c r="H99" i="191" s="1"/>
  <c r="H100" i="191" s="1"/>
  <c r="H101" i="191" s="1"/>
  <c r="H102" i="191" s="1"/>
  <c r="H103" i="191" s="1"/>
  <c r="H104" i="191" s="1"/>
  <c r="H105" i="191" s="1"/>
  <c r="H106" i="191" s="1"/>
  <c r="H107" i="191" s="1"/>
  <c r="H108" i="191" s="1"/>
  <c r="H109" i="191" s="1"/>
  <c r="H110" i="191" s="1"/>
  <c r="H111" i="191" s="1"/>
  <c r="H112" i="191" s="1"/>
  <c r="H113" i="191" s="1"/>
  <c r="H114" i="191" s="1"/>
  <c r="H115" i="191" s="1"/>
  <c r="H116" i="191" s="1"/>
  <c r="H117" i="191" s="1"/>
  <c r="H118" i="191" s="1"/>
  <c r="H119" i="191" s="1"/>
  <c r="H120" i="191" s="1"/>
  <c r="H121" i="191" s="1"/>
  <c r="H122" i="191" s="1"/>
  <c r="H123" i="191" s="1"/>
  <c r="H124" i="191" s="1"/>
  <c r="H125" i="191" s="1"/>
  <c r="H126" i="191" s="1"/>
  <c r="H127" i="191" s="1"/>
  <c r="H128" i="191" s="1"/>
  <c r="H129" i="191" s="1"/>
  <c r="H130" i="191" s="1"/>
  <c r="H131" i="191" s="1"/>
  <c r="H132" i="191" s="1"/>
  <c r="H133" i="191" s="1"/>
  <c r="H134" i="191" s="1"/>
  <c r="H135" i="191" s="1"/>
  <c r="H136" i="191" s="1"/>
  <c r="H137" i="191" s="1"/>
  <c r="H138" i="191" s="1"/>
  <c r="H139" i="191" s="1"/>
  <c r="H140" i="191" s="1"/>
  <c r="H141" i="191" s="1"/>
  <c r="H142" i="191" s="1"/>
  <c r="H143" i="191" s="1"/>
  <c r="H144" i="191" s="1"/>
  <c r="H145" i="191" s="1"/>
  <c r="H146" i="191" s="1"/>
  <c r="H147" i="191" s="1"/>
  <c r="H148" i="191" s="1"/>
  <c r="H149" i="191" s="1"/>
  <c r="H150" i="191" s="1"/>
  <c r="H151" i="191" s="1"/>
  <c r="H152" i="191" s="1"/>
  <c r="H153" i="191" s="1"/>
  <c r="H154" i="191" s="1"/>
  <c r="H155" i="191" s="1"/>
  <c r="H156" i="191" s="1"/>
  <c r="H157" i="191" s="1"/>
  <c r="H158" i="191" s="1"/>
  <c r="H159" i="191" s="1"/>
  <c r="H160" i="191" s="1"/>
  <c r="H161" i="191" s="1"/>
  <c r="H162" i="191" s="1"/>
  <c r="H163" i="191" s="1"/>
  <c r="H164" i="191" s="1"/>
  <c r="H165" i="191" s="1"/>
  <c r="H166" i="191" s="1"/>
  <c r="H167" i="191" s="1"/>
  <c r="H168" i="191" s="1"/>
  <c r="H169" i="191" s="1"/>
  <c r="H170" i="191" s="1"/>
  <c r="H171" i="191" s="1"/>
  <c r="H172" i="191" s="1"/>
  <c r="H173" i="191" s="1"/>
  <c r="H174" i="191" s="1"/>
  <c r="H175" i="191" s="1"/>
  <c r="H176" i="191" s="1"/>
  <c r="H177" i="191" s="1"/>
  <c r="H178" i="191" s="1"/>
  <c r="H179" i="191" s="1"/>
  <c r="H180" i="191" s="1"/>
  <c r="H181" i="191" s="1"/>
  <c r="H182" i="191" s="1"/>
  <c r="H183" i="191" s="1"/>
  <c r="H184" i="191" s="1"/>
  <c r="H185" i="191" s="1"/>
  <c r="H186" i="191" s="1"/>
  <c r="H187" i="191" s="1"/>
  <c r="H188" i="191" s="1"/>
  <c r="H189" i="191" s="1"/>
  <c r="H190" i="191" s="1"/>
  <c r="H191" i="191" s="1"/>
  <c r="H192" i="191" s="1"/>
  <c r="H193" i="191" s="1"/>
  <c r="H194" i="191" s="1"/>
  <c r="H195" i="191" s="1"/>
  <c r="H196" i="191" s="1"/>
  <c r="H197" i="191" s="1"/>
  <c r="H198" i="191" s="1"/>
  <c r="H199" i="191" s="1"/>
  <c r="H200" i="191" s="1"/>
  <c r="H201" i="191" s="1"/>
  <c r="H202" i="191" s="1"/>
  <c r="H203" i="191" s="1"/>
  <c r="H204" i="191" s="1"/>
  <c r="H205" i="191" s="1"/>
  <c r="H206" i="191" s="1"/>
  <c r="H207" i="191" s="1"/>
  <c r="H208" i="191" s="1"/>
  <c r="H209" i="191" s="1"/>
  <c r="H210" i="191" s="1"/>
  <c r="H211" i="191" s="1"/>
  <c r="H212" i="191" s="1"/>
  <c r="H213" i="191" s="1"/>
  <c r="H214" i="191" s="1"/>
  <c r="H215" i="191" s="1"/>
  <c r="H216" i="191" s="1"/>
  <c r="H217" i="191" s="1"/>
  <c r="H218" i="191" s="1"/>
  <c r="H219" i="191" s="1"/>
  <c r="H220" i="191" s="1"/>
  <c r="H221" i="191" s="1"/>
  <c r="A3" i="191"/>
  <c r="H3" i="190"/>
  <c r="H4" i="190" s="1"/>
  <c r="H5" i="190" s="1"/>
  <c r="A3" i="190"/>
  <c r="A4" i="190" s="1"/>
  <c r="B140" i="419" l="1"/>
  <c r="A141" i="419"/>
  <c r="B4" i="190"/>
  <c r="A5" i="190"/>
  <c r="B5" i="190" s="1"/>
  <c r="B46" i="203"/>
  <c r="A47" i="203"/>
  <c r="B39" i="203"/>
  <c r="B44" i="203"/>
  <c r="B45" i="203"/>
  <c r="B38" i="203"/>
  <c r="E38" i="203" s="1"/>
  <c r="B40" i="203"/>
  <c r="B42" i="203"/>
  <c r="B43" i="203"/>
  <c r="B41" i="203"/>
  <c r="B14" i="403"/>
  <c r="A15" i="403"/>
  <c r="B7" i="340"/>
  <c r="A8" i="340"/>
  <c r="B8" i="339"/>
  <c r="A9" i="339"/>
  <c r="A4" i="191"/>
  <c r="B18" i="420"/>
  <c r="A19" i="420"/>
  <c r="B15" i="399"/>
  <c r="A16" i="399"/>
  <c r="B14" i="400"/>
  <c r="A15" i="400"/>
  <c r="B14" i="402"/>
  <c r="A15" i="402"/>
  <c r="B15" i="401"/>
  <c r="A16" i="401"/>
  <c r="E9" i="10"/>
  <c r="F11" i="2"/>
  <c r="H3" i="1"/>
  <c r="B141" i="419" l="1"/>
  <c r="A142" i="419"/>
  <c r="B15" i="402"/>
  <c r="A16" i="402"/>
  <c r="B16" i="399"/>
  <c r="A17" i="399"/>
  <c r="B9" i="339"/>
  <c r="A10" i="339"/>
  <c r="B15" i="403"/>
  <c r="A16" i="403"/>
  <c r="B8" i="340"/>
  <c r="A9" i="340"/>
  <c r="B54" i="203"/>
  <c r="B53" i="203"/>
  <c r="A56" i="203"/>
  <c r="B49" i="203"/>
  <c r="B55" i="203"/>
  <c r="B51" i="203"/>
  <c r="B47" i="203"/>
  <c r="E47" i="203" s="1"/>
  <c r="B52" i="203"/>
  <c r="B50" i="203"/>
  <c r="A5" i="191"/>
  <c r="B16" i="401"/>
  <c r="A17" i="401"/>
  <c r="B15" i="400"/>
  <c r="A16" i="400"/>
  <c r="B19" i="420"/>
  <c r="A20" i="420"/>
  <c r="E10" i="10"/>
  <c r="B10" i="2"/>
  <c r="B9" i="2"/>
  <c r="B8" i="2"/>
  <c r="B7" i="2"/>
  <c r="B6" i="2"/>
  <c r="B5" i="2"/>
  <c r="B4" i="2"/>
  <c r="B3" i="2"/>
  <c r="B142" i="419" l="1"/>
  <c r="A143" i="419"/>
  <c r="B16" i="403"/>
  <c r="A17" i="403"/>
  <c r="B17" i="399"/>
  <c r="A18" i="399"/>
  <c r="A21" i="420"/>
  <c r="B20" i="420"/>
  <c r="B17" i="401"/>
  <c r="A18" i="401"/>
  <c r="B9" i="340"/>
  <c r="A10" i="340"/>
  <c r="B10" i="339"/>
  <c r="A11" i="339"/>
  <c r="B16" i="402"/>
  <c r="A17" i="402"/>
  <c r="B16" i="400"/>
  <c r="A17" i="400"/>
  <c r="A6" i="191"/>
  <c r="B64" i="203"/>
  <c r="B62" i="203"/>
  <c r="B61" i="203"/>
  <c r="B58" i="203"/>
  <c r="A65" i="203"/>
  <c r="B57" i="203"/>
  <c r="B56" i="203"/>
  <c r="E56" i="203" s="1"/>
  <c r="B59" i="203"/>
  <c r="B63" i="203"/>
  <c r="B60" i="203"/>
  <c r="E11" i="10"/>
  <c r="B2" i="1"/>
  <c r="A144" i="419" l="1"/>
  <c r="B143" i="419"/>
  <c r="B17" i="400"/>
  <c r="A18" i="400"/>
  <c r="B11" i="339"/>
  <c r="A12" i="339"/>
  <c r="B18" i="401"/>
  <c r="A19" i="401"/>
  <c r="B18" i="399"/>
  <c r="A19" i="399"/>
  <c r="A7" i="191"/>
  <c r="B17" i="402"/>
  <c r="A18" i="402"/>
  <c r="B10" i="340"/>
  <c r="A11" i="340"/>
  <c r="B17" i="403"/>
  <c r="A18" i="403"/>
  <c r="B72" i="203"/>
  <c r="B73" i="203"/>
  <c r="B69" i="203"/>
  <c r="B65" i="203"/>
  <c r="E65" i="203" s="1"/>
  <c r="B67" i="203"/>
  <c r="B71" i="203"/>
  <c r="B70" i="203"/>
  <c r="B66" i="203"/>
  <c r="B68" i="203"/>
  <c r="B21" i="420"/>
  <c r="A22" i="420"/>
  <c r="B2" i="2"/>
  <c r="E2" i="2" s="1"/>
  <c r="B144" i="419" l="1"/>
  <c r="A145" i="419"/>
  <c r="B18" i="403"/>
  <c r="A19" i="403"/>
  <c r="B12" i="339"/>
  <c r="A13" i="339"/>
  <c r="B18" i="402"/>
  <c r="A19" i="402"/>
  <c r="B19" i="399"/>
  <c r="A20" i="399"/>
  <c r="B22" i="420"/>
  <c r="A23" i="420"/>
  <c r="B11" i="340"/>
  <c r="A12" i="340"/>
  <c r="A8" i="191"/>
  <c r="B19" i="401"/>
  <c r="A20" i="401"/>
  <c r="B18" i="400"/>
  <c r="A19" i="400"/>
  <c r="E25" i="10"/>
  <c r="A3" i="1"/>
  <c r="B3" i="1" s="1"/>
  <c r="B145" i="419" l="1"/>
  <c r="A146" i="419"/>
  <c r="B20" i="401"/>
  <c r="A21" i="401"/>
  <c r="B12" i="340"/>
  <c r="A13" i="340"/>
  <c r="B20" i="399"/>
  <c r="A21" i="399"/>
  <c r="B13" i="339"/>
  <c r="A14" i="339"/>
  <c r="B19" i="400"/>
  <c r="A20" i="400"/>
  <c r="A9" i="191"/>
  <c r="B23" i="420"/>
  <c r="A24" i="420"/>
  <c r="B19" i="402"/>
  <c r="A20" i="402"/>
  <c r="B19" i="403"/>
  <c r="A20" i="403"/>
  <c r="C11" i="2"/>
  <c r="C2" i="2"/>
  <c r="B146" i="419" l="1"/>
  <c r="A147" i="419"/>
  <c r="B20" i="402"/>
  <c r="A21" i="402"/>
  <c r="A10" i="191"/>
  <c r="B14" i="339"/>
  <c r="A15" i="339"/>
  <c r="B13" i="340"/>
  <c r="A14" i="340"/>
  <c r="B20" i="403"/>
  <c r="A21" i="403"/>
  <c r="B24" i="420"/>
  <c r="A25" i="420"/>
  <c r="B20" i="400"/>
  <c r="A21" i="400"/>
  <c r="B21" i="399"/>
  <c r="A22" i="399"/>
  <c r="B21" i="401"/>
  <c r="A22" i="401"/>
  <c r="E40" i="10"/>
  <c r="D2" i="2"/>
  <c r="G22" i="4"/>
  <c r="G21" i="4"/>
  <c r="D11" i="2"/>
  <c r="A11" i="2"/>
  <c r="B147" i="419" l="1"/>
  <c r="A148" i="419"/>
  <c r="B22" i="399"/>
  <c r="A23" i="399"/>
  <c r="A26" i="420"/>
  <c r="B25" i="420"/>
  <c r="B14" i="340"/>
  <c r="A15" i="340"/>
  <c r="A11" i="191"/>
  <c r="B17" i="2"/>
  <c r="B13" i="2"/>
  <c r="B19" i="2"/>
  <c r="B15" i="2"/>
  <c r="B18" i="2"/>
  <c r="B14" i="2"/>
  <c r="B16" i="2"/>
  <c r="B12" i="2"/>
  <c r="B11" i="2"/>
  <c r="E11" i="2" s="1"/>
  <c r="B22" i="401"/>
  <c r="A23" i="401"/>
  <c r="B21" i="400"/>
  <c r="A22" i="400"/>
  <c r="B21" i="403"/>
  <c r="A22" i="403"/>
  <c r="B15" i="339"/>
  <c r="A16" i="339"/>
  <c r="B21" i="402"/>
  <c r="A22" i="402"/>
  <c r="E41" i="10"/>
  <c r="E12" i="10"/>
  <c r="A149" i="419" l="1"/>
  <c r="B148" i="419"/>
  <c r="A12" i="191"/>
  <c r="B16" i="339"/>
  <c r="A17" i="339"/>
  <c r="B22" i="400"/>
  <c r="A23" i="400"/>
  <c r="B22" i="402"/>
  <c r="A23" i="402"/>
  <c r="B22" i="403"/>
  <c r="A23" i="403"/>
  <c r="B23" i="401"/>
  <c r="A24" i="401"/>
  <c r="B26" i="420"/>
  <c r="A27" i="420"/>
  <c r="B15" i="340"/>
  <c r="A16" i="340"/>
  <c r="B23" i="399"/>
  <c r="A24" i="399"/>
  <c r="E42" i="10"/>
  <c r="E13" i="10"/>
  <c r="B149" i="419" l="1"/>
  <c r="A150" i="419"/>
  <c r="B16" i="340"/>
  <c r="A17" i="340"/>
  <c r="B17" i="340" s="1"/>
  <c r="B24" i="401"/>
  <c r="A25" i="401"/>
  <c r="B23" i="402"/>
  <c r="A24" i="402"/>
  <c r="B17" i="339"/>
  <c r="A18" i="339"/>
  <c r="B24" i="399"/>
  <c r="A25" i="399"/>
  <c r="B27" i="420"/>
  <c r="A28" i="420"/>
  <c r="B23" i="403"/>
  <c r="A24" i="403"/>
  <c r="B23" i="400"/>
  <c r="A24" i="400"/>
  <c r="A13" i="191"/>
  <c r="E43" i="10"/>
  <c r="E14" i="10"/>
  <c r="B150" i="419" l="1"/>
  <c r="A151" i="419"/>
  <c r="B24" i="400"/>
  <c r="A25" i="400"/>
  <c r="B28" i="420"/>
  <c r="A29" i="420"/>
  <c r="B18" i="339"/>
  <c r="A19" i="339"/>
  <c r="B25" i="401"/>
  <c r="A26" i="401"/>
  <c r="A14" i="191"/>
  <c r="B24" i="403"/>
  <c r="A25" i="403"/>
  <c r="B25" i="399"/>
  <c r="A26" i="399"/>
  <c r="B24" i="402"/>
  <c r="A25" i="402"/>
  <c r="E44" i="10"/>
  <c r="E15" i="10"/>
  <c r="B151" i="419" l="1"/>
  <c r="A152" i="419"/>
  <c r="B25" i="402"/>
  <c r="A26" i="402"/>
  <c r="B25" i="403"/>
  <c r="A26" i="403"/>
  <c r="B26" i="401"/>
  <c r="A27" i="401"/>
  <c r="B29" i="420"/>
  <c r="A30" i="420"/>
  <c r="B26" i="399"/>
  <c r="A27" i="399"/>
  <c r="A15" i="191"/>
  <c r="B19" i="339"/>
  <c r="A20" i="339"/>
  <c r="B25" i="400"/>
  <c r="A26" i="400"/>
  <c r="E45" i="10"/>
  <c r="E16" i="10"/>
  <c r="B152" i="419" l="1"/>
  <c r="A153" i="419"/>
  <c r="B153" i="419" s="1"/>
  <c r="B26" i="400"/>
  <c r="A27" i="400"/>
  <c r="A16" i="191"/>
  <c r="B30" i="420"/>
  <c r="A31" i="420"/>
  <c r="B26" i="403"/>
  <c r="A27" i="403"/>
  <c r="B20" i="339"/>
  <c r="A21" i="339"/>
  <c r="B27" i="399"/>
  <c r="A28" i="399"/>
  <c r="B27" i="401"/>
  <c r="A28" i="401"/>
  <c r="B26" i="402"/>
  <c r="A27" i="402"/>
  <c r="E46" i="10"/>
  <c r="E17" i="10"/>
  <c r="B27" i="402" l="1"/>
  <c r="A28" i="402"/>
  <c r="B28" i="399"/>
  <c r="A29" i="399"/>
  <c r="B27" i="403"/>
  <c r="A28" i="403"/>
  <c r="A17" i="191"/>
  <c r="B28" i="401"/>
  <c r="A29" i="401"/>
  <c r="B21" i="339"/>
  <c r="A22" i="339"/>
  <c r="B31" i="420"/>
  <c r="A32" i="420"/>
  <c r="B27" i="400"/>
  <c r="A28" i="400"/>
  <c r="E47" i="10"/>
  <c r="E18" i="10"/>
  <c r="B22" i="339" l="1"/>
  <c r="A23" i="339"/>
  <c r="B28" i="400"/>
  <c r="A29" i="400"/>
  <c r="A18" i="191"/>
  <c r="B29" i="399"/>
  <c r="A30" i="399"/>
  <c r="B32" i="420"/>
  <c r="A33" i="420"/>
  <c r="B29" i="401"/>
  <c r="A30" i="401"/>
  <c r="B28" i="403"/>
  <c r="A29" i="403"/>
  <c r="B28" i="402"/>
  <c r="A29" i="402"/>
  <c r="E48" i="10"/>
  <c r="E19" i="10"/>
  <c r="B30" i="401" l="1"/>
  <c r="A31" i="401"/>
  <c r="B30" i="399"/>
  <c r="A31" i="399"/>
  <c r="B29" i="400"/>
  <c r="A30" i="400"/>
  <c r="B29" i="402"/>
  <c r="A30" i="402"/>
  <c r="B29" i="403"/>
  <c r="A30" i="403"/>
  <c r="A34" i="420"/>
  <c r="B33" i="420"/>
  <c r="A19" i="191"/>
  <c r="B23" i="339"/>
  <c r="A24" i="339"/>
  <c r="E49" i="10"/>
  <c r="E20" i="10"/>
  <c r="B30" i="402" l="1"/>
  <c r="A31" i="402"/>
  <c r="B31" i="399"/>
  <c r="A32" i="399"/>
  <c r="B34" i="420"/>
  <c r="A35" i="420"/>
  <c r="B24" i="339"/>
  <c r="A25" i="339"/>
  <c r="B25" i="339" s="1"/>
  <c r="A20" i="191"/>
  <c r="B30" i="403"/>
  <c r="A31" i="403"/>
  <c r="B30" i="400"/>
  <c r="A31" i="400"/>
  <c r="B31" i="401"/>
  <c r="A32" i="401"/>
  <c r="E50" i="10"/>
  <c r="E21" i="10"/>
  <c r="B32" i="401" l="1"/>
  <c r="A33" i="401"/>
  <c r="B31" i="403"/>
  <c r="A32" i="403"/>
  <c r="B32" i="399"/>
  <c r="A33" i="399"/>
  <c r="E51" i="10"/>
  <c r="B31" i="400"/>
  <c r="A32" i="400"/>
  <c r="A21" i="191"/>
  <c r="B35" i="420"/>
  <c r="A36" i="420"/>
  <c r="B31" i="402"/>
  <c r="A32" i="402"/>
  <c r="E26" i="10"/>
  <c r="B32" i="402" l="1"/>
  <c r="A33" i="402"/>
  <c r="A22" i="191"/>
  <c r="B32" i="403"/>
  <c r="A33" i="403"/>
  <c r="B36" i="420"/>
  <c r="A37" i="420"/>
  <c r="B32" i="400"/>
  <c r="A33" i="400"/>
  <c r="B33" i="399"/>
  <c r="A34" i="399"/>
  <c r="B33" i="401"/>
  <c r="A34" i="401"/>
  <c r="E27" i="10"/>
  <c r="B34" i="399" l="1"/>
  <c r="A35" i="399"/>
  <c r="B37" i="420"/>
  <c r="A38" i="420"/>
  <c r="A23" i="191"/>
  <c r="B34" i="401"/>
  <c r="A35" i="401"/>
  <c r="B33" i="400"/>
  <c r="A34" i="400"/>
  <c r="B33" i="403"/>
  <c r="A34" i="403"/>
  <c r="B33" i="402"/>
  <c r="A34" i="402"/>
  <c r="E28" i="10"/>
  <c r="B34" i="403" l="1"/>
  <c r="A35" i="403"/>
  <c r="B35" i="401"/>
  <c r="A36" i="401"/>
  <c r="B38" i="420"/>
  <c r="A39" i="420"/>
  <c r="B34" i="402"/>
  <c r="A35" i="402"/>
  <c r="B34" i="400"/>
  <c r="A35" i="400"/>
  <c r="A24" i="191"/>
  <c r="B35" i="399"/>
  <c r="A36" i="399"/>
  <c r="E29" i="10"/>
  <c r="A25" i="191" l="1"/>
  <c r="B35" i="402"/>
  <c r="A36" i="402"/>
  <c r="B36" i="401"/>
  <c r="A37" i="401"/>
  <c r="B36" i="399"/>
  <c r="A37" i="399"/>
  <c r="B35" i="400"/>
  <c r="A36" i="400"/>
  <c r="B39" i="420"/>
  <c r="A40" i="420"/>
  <c r="B35" i="403"/>
  <c r="A36" i="403"/>
  <c r="E30" i="10"/>
  <c r="B40" i="420" l="1"/>
  <c r="A41" i="420"/>
  <c r="B37" i="399"/>
  <c r="A38" i="399"/>
  <c r="B36" i="402"/>
  <c r="A37" i="402"/>
  <c r="B36" i="403"/>
  <c r="A37" i="403"/>
  <c r="B36" i="400"/>
  <c r="A37" i="400"/>
  <c r="B37" i="401"/>
  <c r="A38" i="401"/>
  <c r="A26" i="191"/>
  <c r="E31" i="10"/>
  <c r="B38" i="401" l="1"/>
  <c r="A39" i="401"/>
  <c r="B37" i="403"/>
  <c r="A38" i="403"/>
  <c r="B38" i="399"/>
  <c r="A39" i="399"/>
  <c r="A27" i="191"/>
  <c r="B37" i="400"/>
  <c r="A38" i="400"/>
  <c r="B37" i="402"/>
  <c r="A38" i="402"/>
  <c r="B41" i="420"/>
  <c r="A42" i="420"/>
  <c r="E32" i="10"/>
  <c r="B38" i="402" l="1"/>
  <c r="A39" i="402"/>
  <c r="A28" i="191"/>
  <c r="B38" i="403"/>
  <c r="A39" i="403"/>
  <c r="B42" i="420"/>
  <c r="A43" i="420"/>
  <c r="B38" i="400"/>
  <c r="A39" i="400"/>
  <c r="B39" i="399"/>
  <c r="A40" i="399"/>
  <c r="B39" i="401"/>
  <c r="A40" i="401"/>
  <c r="E33" i="10"/>
  <c r="B40" i="399" l="1"/>
  <c r="A41" i="399"/>
  <c r="A44" i="420"/>
  <c r="B43" i="420"/>
  <c r="A29" i="191"/>
  <c r="B40" i="401"/>
  <c r="A41" i="401"/>
  <c r="B39" i="400"/>
  <c r="A40" i="400"/>
  <c r="B39" i="403"/>
  <c r="A40" i="403"/>
  <c r="B39" i="402"/>
  <c r="A40" i="402"/>
  <c r="E34" i="10"/>
  <c r="B40" i="403" l="1"/>
  <c r="A41" i="403"/>
  <c r="B41" i="401"/>
  <c r="A42" i="401"/>
  <c r="B44" i="420"/>
  <c r="A45" i="420"/>
  <c r="B40" i="402"/>
  <c r="A41" i="402"/>
  <c r="B40" i="400"/>
  <c r="A41" i="400"/>
  <c r="A30" i="191"/>
  <c r="B41" i="399"/>
  <c r="A42" i="399"/>
  <c r="E36" i="10"/>
  <c r="A31" i="191" l="1"/>
  <c r="B41" i="402"/>
  <c r="A42" i="402"/>
  <c r="B42" i="401"/>
  <c r="A43" i="401"/>
  <c r="B42" i="399"/>
  <c r="A43" i="399"/>
  <c r="B41" i="400"/>
  <c r="A42" i="400"/>
  <c r="B45" i="420"/>
  <c r="A46" i="420"/>
  <c r="B41" i="403"/>
  <c r="A42" i="403"/>
  <c r="E37" i="10"/>
  <c r="B46" i="420" l="1"/>
  <c r="A47" i="420"/>
  <c r="B43" i="399"/>
  <c r="A44" i="399"/>
  <c r="B42" i="402"/>
  <c r="A43" i="402"/>
  <c r="B42" i="403"/>
  <c r="A43" i="403"/>
  <c r="B42" i="400"/>
  <c r="A43" i="400"/>
  <c r="B43" i="401"/>
  <c r="A44" i="401"/>
  <c r="A32" i="191"/>
  <c r="E38" i="10"/>
  <c r="B44" i="401" l="1"/>
  <c r="A45" i="401"/>
  <c r="B43" i="403"/>
  <c r="A44" i="403"/>
  <c r="B44" i="399"/>
  <c r="A45" i="399"/>
  <c r="A33" i="191"/>
  <c r="B43" i="400"/>
  <c r="A44" i="400"/>
  <c r="B43" i="402"/>
  <c r="A44" i="402"/>
  <c r="B47" i="420"/>
  <c r="A48" i="420"/>
  <c r="E39" i="10"/>
  <c r="B44" i="402" l="1"/>
  <c r="A45" i="402"/>
  <c r="A34" i="191"/>
  <c r="B44" i="403"/>
  <c r="A45" i="403"/>
  <c r="B48" i="420"/>
  <c r="A49" i="420"/>
  <c r="B44" i="400"/>
  <c r="A45" i="400"/>
  <c r="B45" i="399"/>
  <c r="A46" i="399"/>
  <c r="B45" i="401"/>
  <c r="A46" i="401"/>
  <c r="E52" i="10"/>
  <c r="B46" i="399" l="1"/>
  <c r="A47" i="399"/>
  <c r="B49" i="420"/>
  <c r="A50" i="420"/>
  <c r="A35" i="191"/>
  <c r="B46" i="401"/>
  <c r="A47" i="401"/>
  <c r="B45" i="400"/>
  <c r="A46" i="400"/>
  <c r="B45" i="403"/>
  <c r="A46" i="403"/>
  <c r="B45" i="402"/>
  <c r="A46" i="402"/>
  <c r="E53" i="10"/>
  <c r="B46" i="403" l="1"/>
  <c r="A47" i="403"/>
  <c r="B47" i="401"/>
  <c r="A48" i="401"/>
  <c r="A51" i="420"/>
  <c r="B50" i="420"/>
  <c r="B46" i="402"/>
  <c r="A47" i="402"/>
  <c r="B46" i="400"/>
  <c r="A47" i="400"/>
  <c r="A36" i="191"/>
  <c r="B47" i="399"/>
  <c r="A48" i="399"/>
  <c r="E54" i="10"/>
  <c r="B51" i="420" l="1"/>
  <c r="A52" i="420"/>
  <c r="A37" i="191"/>
  <c r="B47" i="402"/>
  <c r="A48" i="402"/>
  <c r="B48" i="401"/>
  <c r="A49" i="401"/>
  <c r="B48" i="399"/>
  <c r="A49" i="399"/>
  <c r="B47" i="400"/>
  <c r="A48" i="400"/>
  <c r="B47" i="403"/>
  <c r="A48" i="403"/>
  <c r="E55" i="10"/>
  <c r="B48" i="400" l="1"/>
  <c r="A49" i="400"/>
  <c r="B49" i="401"/>
  <c r="A50" i="401"/>
  <c r="A38" i="191"/>
  <c r="B48" i="403"/>
  <c r="A49" i="403"/>
  <c r="B49" i="399"/>
  <c r="A50" i="399"/>
  <c r="B48" i="402"/>
  <c r="A49" i="402"/>
  <c r="B52" i="420"/>
  <c r="A53" i="420"/>
  <c r="E56" i="10"/>
  <c r="B49" i="402" l="1"/>
  <c r="A50" i="402"/>
  <c r="B49" i="403"/>
  <c r="A50" i="403"/>
  <c r="B50" i="401"/>
  <c r="A51" i="401"/>
  <c r="B53" i="420"/>
  <c r="A54" i="420"/>
  <c r="B50" i="399"/>
  <c r="A51" i="399"/>
  <c r="A39" i="191"/>
  <c r="B49" i="400"/>
  <c r="A50" i="400"/>
  <c r="E57" i="10"/>
  <c r="A40" i="191" l="1"/>
  <c r="B54" i="420"/>
  <c r="A55" i="420"/>
  <c r="B50" i="403"/>
  <c r="A51" i="403"/>
  <c r="B50" i="400"/>
  <c r="A51" i="400"/>
  <c r="B51" i="399"/>
  <c r="A52" i="399"/>
  <c r="B51" i="401"/>
  <c r="A52" i="401"/>
  <c r="B50" i="402"/>
  <c r="A51" i="402"/>
  <c r="E59" i="10"/>
  <c r="E58" i="10"/>
  <c r="B52" i="401" l="1"/>
  <c r="A53" i="401"/>
  <c r="B51" i="400"/>
  <c r="A52" i="400"/>
  <c r="A56" i="420"/>
  <c r="B55" i="420"/>
  <c r="B51" i="402"/>
  <c r="A52" i="402"/>
  <c r="B52" i="399"/>
  <c r="A53" i="399"/>
  <c r="B51" i="403"/>
  <c r="A52" i="403"/>
  <c r="A41" i="191"/>
  <c r="B52" i="403" l="1"/>
  <c r="A53" i="403"/>
  <c r="B52" i="402"/>
  <c r="A53" i="402"/>
  <c r="B52" i="400"/>
  <c r="A53" i="400"/>
  <c r="B56" i="420"/>
  <c r="A57" i="420"/>
  <c r="A42" i="191"/>
  <c r="B53" i="399"/>
  <c r="A54" i="399"/>
  <c r="B53" i="401"/>
  <c r="A54" i="401"/>
  <c r="B54" i="399" l="1"/>
  <c r="A55" i="399"/>
  <c r="A58" i="420"/>
  <c r="B57" i="420"/>
  <c r="B53" i="402"/>
  <c r="A54" i="402"/>
  <c r="B54" i="401"/>
  <c r="A55" i="401"/>
  <c r="A43" i="191"/>
  <c r="B53" i="400"/>
  <c r="A54" i="400"/>
  <c r="B53" i="403"/>
  <c r="A54" i="403"/>
  <c r="B54" i="400" l="1"/>
  <c r="A55" i="400"/>
  <c r="B55" i="401"/>
  <c r="A56" i="401"/>
  <c r="B58" i="420"/>
  <c r="A59" i="420"/>
  <c r="B54" i="403"/>
  <c r="A55" i="403"/>
  <c r="A44" i="191"/>
  <c r="B54" i="402"/>
  <c r="A55" i="402"/>
  <c r="B55" i="399"/>
  <c r="A56" i="399"/>
  <c r="B55" i="402" l="1"/>
  <c r="A56" i="402"/>
  <c r="B55" i="403"/>
  <c r="A56" i="403"/>
  <c r="B56" i="401"/>
  <c r="A57" i="401"/>
  <c r="A57" i="399"/>
  <c r="B56" i="399"/>
  <c r="A45" i="191"/>
  <c r="A60" i="420"/>
  <c r="B59" i="420"/>
  <c r="B55" i="400"/>
  <c r="A56" i="400"/>
  <c r="B56" i="403" l="1"/>
  <c r="A57" i="403"/>
  <c r="B60" i="420"/>
  <c r="A61" i="420"/>
  <c r="B61" i="420" s="1"/>
  <c r="B57" i="399"/>
  <c r="A58" i="399"/>
  <c r="B56" i="400"/>
  <c r="A57" i="400"/>
  <c r="A46" i="191"/>
  <c r="B57" i="401"/>
  <c r="A58" i="401"/>
  <c r="B56" i="402"/>
  <c r="A57" i="402"/>
  <c r="B58" i="401" l="1"/>
  <c r="A59" i="401"/>
  <c r="B57" i="400"/>
  <c r="A58" i="400"/>
  <c r="B57" i="402"/>
  <c r="A58" i="402"/>
  <c r="A47" i="191"/>
  <c r="B58" i="399"/>
  <c r="A59" i="399"/>
  <c r="B57" i="403"/>
  <c r="A58" i="403"/>
  <c r="B58" i="403" l="1"/>
  <c r="A59" i="403"/>
  <c r="A48" i="191"/>
  <c r="B58" i="400"/>
  <c r="A59" i="400"/>
  <c r="A60" i="399"/>
  <c r="B59" i="399"/>
  <c r="B58" i="402"/>
  <c r="A59" i="402"/>
  <c r="B59" i="401"/>
  <c r="A60" i="401"/>
  <c r="A49" i="191" l="1"/>
  <c r="B60" i="401"/>
  <c r="A61" i="401"/>
  <c r="B60" i="399"/>
  <c r="A61" i="399"/>
  <c r="B59" i="402"/>
  <c r="A60" i="402"/>
  <c r="B59" i="400"/>
  <c r="A60" i="400"/>
  <c r="B59" i="403"/>
  <c r="A60" i="403"/>
  <c r="B60" i="403" l="1"/>
  <c r="A61" i="403"/>
  <c r="B60" i="402"/>
  <c r="A61" i="402"/>
  <c r="B61" i="401"/>
  <c r="A62" i="401"/>
  <c r="B60" i="400"/>
  <c r="A61" i="400"/>
  <c r="B61" i="399"/>
  <c r="A62" i="399"/>
  <c r="A50" i="191"/>
  <c r="A51" i="191" l="1"/>
  <c r="B61" i="400"/>
  <c r="A62" i="400"/>
  <c r="B61" i="402"/>
  <c r="A62" i="402"/>
  <c r="A63" i="399"/>
  <c r="B62" i="399"/>
  <c r="B62" i="401"/>
  <c r="A63" i="401"/>
  <c r="B61" i="403"/>
  <c r="A62" i="403"/>
  <c r="B62" i="400" l="1"/>
  <c r="A63" i="400"/>
  <c r="B62" i="403"/>
  <c r="A63" i="403"/>
  <c r="A64" i="399"/>
  <c r="B63" i="399"/>
  <c r="B63" i="401"/>
  <c r="A64" i="401"/>
  <c r="B62" i="402"/>
  <c r="A63" i="402"/>
  <c r="A52" i="191"/>
  <c r="A65" i="399" l="1"/>
  <c r="B64" i="399"/>
  <c r="A53" i="191"/>
  <c r="B64" i="401"/>
  <c r="A65" i="401"/>
  <c r="B63" i="403"/>
  <c r="A64" i="403"/>
  <c r="B63" i="402"/>
  <c r="A64" i="402"/>
  <c r="B63" i="400"/>
  <c r="A64" i="400"/>
  <c r="B64" i="400" l="1"/>
  <c r="A65" i="400"/>
  <c r="B64" i="403"/>
  <c r="A65" i="403"/>
  <c r="A54" i="191"/>
  <c r="B64" i="402"/>
  <c r="A65" i="402"/>
  <c r="B65" i="401"/>
  <c r="A66" i="401"/>
  <c r="B65" i="399"/>
  <c r="A66" i="399"/>
  <c r="B66" i="399" l="1"/>
  <c r="A67" i="399"/>
  <c r="B65" i="402"/>
  <c r="A66" i="402"/>
  <c r="B65" i="403"/>
  <c r="A66" i="403"/>
  <c r="B66" i="401"/>
  <c r="A67" i="401"/>
  <c r="A55" i="191"/>
  <c r="B65" i="400"/>
  <c r="A66" i="400"/>
  <c r="B66" i="400" l="1"/>
  <c r="A67" i="400"/>
  <c r="B67" i="401"/>
  <c r="A68" i="401"/>
  <c r="A67" i="402"/>
  <c r="B66" i="402"/>
  <c r="A56" i="191"/>
  <c r="B66" i="403"/>
  <c r="A67" i="403"/>
  <c r="B67" i="399"/>
  <c r="A68" i="399"/>
  <c r="B67" i="402" l="1"/>
  <c r="A68" i="402"/>
  <c r="B68" i="399"/>
  <c r="A69" i="399"/>
  <c r="A57" i="191"/>
  <c r="B68" i="401"/>
  <c r="A69" i="401"/>
  <c r="B67" i="403"/>
  <c r="A68" i="403"/>
  <c r="B67" i="400"/>
  <c r="A68" i="400"/>
  <c r="B68" i="400" l="1"/>
  <c r="A69" i="400"/>
  <c r="B69" i="401"/>
  <c r="A70" i="401"/>
  <c r="B69" i="399"/>
  <c r="A70" i="399"/>
  <c r="B68" i="403"/>
  <c r="A69" i="403"/>
  <c r="A58" i="191"/>
  <c r="B68" i="402"/>
  <c r="A69" i="402"/>
  <c r="B69" i="402" l="1"/>
  <c r="A70" i="402"/>
  <c r="B69" i="403"/>
  <c r="A70" i="403"/>
  <c r="B70" i="401"/>
  <c r="A71" i="401"/>
  <c r="A59" i="191"/>
  <c r="B70" i="399"/>
  <c r="A71" i="399"/>
  <c r="B69" i="400"/>
  <c r="A70" i="400"/>
  <c r="A60" i="191" l="1"/>
  <c r="B70" i="403"/>
  <c r="A71" i="403"/>
  <c r="B71" i="399"/>
  <c r="A72" i="399"/>
  <c r="B71" i="401"/>
  <c r="A72" i="401"/>
  <c r="B70" i="402"/>
  <c r="A71" i="402"/>
  <c r="B70" i="400"/>
  <c r="A71" i="400"/>
  <c r="B71" i="400" l="1"/>
  <c r="A72" i="400"/>
  <c r="B72" i="401"/>
  <c r="A73" i="401"/>
  <c r="B71" i="403"/>
  <c r="A72" i="403"/>
  <c r="A72" i="402"/>
  <c r="B71" i="402"/>
  <c r="B72" i="399"/>
  <c r="A73" i="399"/>
  <c r="A61" i="191"/>
  <c r="B73" i="401" l="1"/>
  <c r="A74" i="401"/>
  <c r="A62" i="191"/>
  <c r="A73" i="402"/>
  <c r="B72" i="402"/>
  <c r="B73" i="399"/>
  <c r="A74" i="399"/>
  <c r="B72" i="403"/>
  <c r="A73" i="403"/>
  <c r="B72" i="400"/>
  <c r="A73" i="400"/>
  <c r="B73" i="403" l="1"/>
  <c r="A74" i="403"/>
  <c r="B74" i="401"/>
  <c r="A75" i="401"/>
  <c r="B73" i="400"/>
  <c r="A74" i="400"/>
  <c r="B74" i="399"/>
  <c r="A75" i="399"/>
  <c r="A63" i="191"/>
  <c r="A74" i="402"/>
  <c r="B73" i="402"/>
  <c r="B74" i="402" l="1"/>
  <c r="A75" i="402"/>
  <c r="B75" i="399"/>
  <c r="A76" i="399"/>
  <c r="B75" i="401"/>
  <c r="A76" i="401"/>
  <c r="A64" i="191"/>
  <c r="B74" i="400"/>
  <c r="A75" i="400"/>
  <c r="B74" i="403"/>
  <c r="A75" i="403"/>
  <c r="B75" i="403" l="1"/>
  <c r="A76" i="403"/>
  <c r="A65" i="191"/>
  <c r="B76" i="399"/>
  <c r="A77" i="399"/>
  <c r="B75" i="400"/>
  <c r="A76" i="400"/>
  <c r="B76" i="401"/>
  <c r="A77" i="401"/>
  <c r="B75" i="402"/>
  <c r="A76" i="402"/>
  <c r="B76" i="400" l="1"/>
  <c r="A77" i="400"/>
  <c r="A66" i="191"/>
  <c r="B77" i="401"/>
  <c r="A78" i="401"/>
  <c r="B77" i="399"/>
  <c r="A78" i="399"/>
  <c r="B76" i="403"/>
  <c r="A77" i="403"/>
  <c r="B76" i="402"/>
  <c r="A77" i="402"/>
  <c r="B77" i="402" l="1"/>
  <c r="A78" i="402"/>
  <c r="B78" i="399"/>
  <c r="A79" i="399"/>
  <c r="A67" i="191"/>
  <c r="B77" i="403"/>
  <c r="A78" i="403"/>
  <c r="B78" i="401"/>
  <c r="A79" i="401"/>
  <c r="B77" i="400"/>
  <c r="A78" i="400"/>
  <c r="B78" i="400" l="1"/>
  <c r="A79" i="400"/>
  <c r="B79" i="401"/>
  <c r="A80" i="401"/>
  <c r="A68" i="191"/>
  <c r="B78" i="402"/>
  <c r="A79" i="402"/>
  <c r="B78" i="403"/>
  <c r="A79" i="403"/>
  <c r="B79" i="399"/>
  <c r="A80" i="399"/>
  <c r="B80" i="399" l="1"/>
  <c r="A81" i="399"/>
  <c r="B79" i="402"/>
  <c r="A80" i="402"/>
  <c r="B80" i="401"/>
  <c r="A81" i="401"/>
  <c r="B79" i="403"/>
  <c r="A80" i="403"/>
  <c r="A69" i="191"/>
  <c r="B79" i="400"/>
  <c r="A80" i="400"/>
  <c r="B80" i="400" l="1"/>
  <c r="A81" i="400"/>
  <c r="B80" i="403"/>
  <c r="A81" i="403"/>
  <c r="B80" i="402"/>
  <c r="A81" i="402"/>
  <c r="A70" i="191"/>
  <c r="B81" i="401"/>
  <c r="A82" i="401"/>
  <c r="B81" i="399"/>
  <c r="A82" i="399"/>
  <c r="B82" i="401" l="1"/>
  <c r="A83" i="401"/>
  <c r="B82" i="399"/>
  <c r="A83" i="399"/>
  <c r="A71" i="191"/>
  <c r="B81" i="403"/>
  <c r="A82" i="403"/>
  <c r="B81" i="402"/>
  <c r="A82" i="402"/>
  <c r="B81" i="400"/>
  <c r="A82" i="400"/>
  <c r="B82" i="402" l="1"/>
  <c r="A83" i="402"/>
  <c r="B83" i="401"/>
  <c r="A84" i="401"/>
  <c r="B82" i="400"/>
  <c r="A83" i="400"/>
  <c r="B82" i="403"/>
  <c r="A83" i="403"/>
  <c r="B83" i="399"/>
  <c r="A84" i="399"/>
  <c r="A72" i="191"/>
  <c r="B83" i="403" l="1"/>
  <c r="A84" i="403"/>
  <c r="B84" i="401"/>
  <c r="A85" i="401"/>
  <c r="A73" i="191"/>
  <c r="B84" i="399"/>
  <c r="A85" i="399"/>
  <c r="B83" i="400"/>
  <c r="A84" i="400"/>
  <c r="B83" i="402"/>
  <c r="A84" i="402"/>
  <c r="B84" i="402" l="1"/>
  <c r="A85" i="402"/>
  <c r="B85" i="399"/>
  <c r="A86" i="399"/>
  <c r="B85" i="401"/>
  <c r="A86" i="401"/>
  <c r="B84" i="400"/>
  <c r="A85" i="400"/>
  <c r="A74" i="191"/>
  <c r="B84" i="403"/>
  <c r="A85" i="403"/>
  <c r="B85" i="403" l="1"/>
  <c r="A86" i="403"/>
  <c r="B85" i="400"/>
  <c r="A86" i="400"/>
  <c r="B86" i="399"/>
  <c r="A87" i="399"/>
  <c r="A75" i="191"/>
  <c r="B86" i="401"/>
  <c r="A87" i="401"/>
  <c r="B85" i="402"/>
  <c r="A86" i="402"/>
  <c r="B86" i="402" l="1"/>
  <c r="A87" i="402"/>
  <c r="A76" i="191"/>
  <c r="B86" i="400"/>
  <c r="A87" i="400"/>
  <c r="B87" i="401"/>
  <c r="A88" i="401"/>
  <c r="B87" i="399"/>
  <c r="A88" i="399"/>
  <c r="B86" i="403"/>
  <c r="A87" i="403"/>
  <c r="B87" i="403" l="1"/>
  <c r="A88" i="403"/>
  <c r="B88" i="401"/>
  <c r="A89" i="401"/>
  <c r="A77" i="191"/>
  <c r="B88" i="399"/>
  <c r="A89" i="399"/>
  <c r="B87" i="400"/>
  <c r="A88" i="400"/>
  <c r="B87" i="402"/>
  <c r="A88" i="402"/>
  <c r="B88" i="402" l="1"/>
  <c r="A89" i="402"/>
  <c r="B89" i="399"/>
  <c r="A90" i="399"/>
  <c r="B89" i="401"/>
  <c r="A90" i="401"/>
  <c r="B88" i="400"/>
  <c r="A89" i="400"/>
  <c r="A78" i="191"/>
  <c r="B88" i="403"/>
  <c r="A89" i="403"/>
  <c r="B89" i="403" l="1"/>
  <c r="A90" i="403"/>
  <c r="B89" i="400"/>
  <c r="A90" i="400"/>
  <c r="B90" i="399"/>
  <c r="A91" i="399"/>
  <c r="A79" i="191"/>
  <c r="B90" i="401"/>
  <c r="A91" i="401"/>
  <c r="B89" i="402"/>
  <c r="A90" i="402"/>
  <c r="B90" i="402" l="1"/>
  <c r="A91" i="402"/>
  <c r="A80" i="191"/>
  <c r="B90" i="400"/>
  <c r="A91" i="400"/>
  <c r="B91" i="401"/>
  <c r="A92" i="401"/>
  <c r="B91" i="399"/>
  <c r="A92" i="399"/>
  <c r="B90" i="403"/>
  <c r="A91" i="403"/>
  <c r="B91" i="403" l="1"/>
  <c r="A92" i="403"/>
  <c r="B92" i="401"/>
  <c r="A93" i="401"/>
  <c r="A81" i="191"/>
  <c r="B92" i="399"/>
  <c r="A93" i="399"/>
  <c r="B91" i="400"/>
  <c r="A92" i="400"/>
  <c r="B91" i="402"/>
  <c r="A92" i="402"/>
  <c r="B92" i="402" l="1"/>
  <c r="A93" i="402"/>
  <c r="B92" i="400"/>
  <c r="A93" i="400"/>
  <c r="A82" i="191"/>
  <c r="B92" i="403"/>
  <c r="A93" i="403"/>
  <c r="B93" i="399"/>
  <c r="A94" i="399"/>
  <c r="B93" i="401"/>
  <c r="A94" i="401"/>
  <c r="B94" i="401" l="1"/>
  <c r="A95" i="401"/>
  <c r="B93" i="403"/>
  <c r="A94" i="403"/>
  <c r="B93" i="400"/>
  <c r="A94" i="400"/>
  <c r="B94" i="399"/>
  <c r="A95" i="399"/>
  <c r="A83" i="191"/>
  <c r="B93" i="402"/>
  <c r="A94" i="402"/>
  <c r="B94" i="402" l="1"/>
  <c r="A95" i="402"/>
  <c r="B95" i="399"/>
  <c r="A96" i="399"/>
  <c r="B94" i="403"/>
  <c r="A95" i="403"/>
  <c r="A84" i="191"/>
  <c r="B94" i="400"/>
  <c r="A95" i="400"/>
  <c r="B95" i="401"/>
  <c r="A96" i="401"/>
  <c r="B96" i="401" l="1"/>
  <c r="A97" i="401"/>
  <c r="A85" i="191"/>
  <c r="B96" i="399"/>
  <c r="A97" i="399"/>
  <c r="B95" i="400"/>
  <c r="A96" i="400"/>
  <c r="B95" i="403"/>
  <c r="A96" i="403"/>
  <c r="B95" i="402"/>
  <c r="A96" i="402"/>
  <c r="B96" i="402" l="1"/>
  <c r="A97" i="402"/>
  <c r="B96" i="400"/>
  <c r="A97" i="400"/>
  <c r="A86" i="191"/>
  <c r="B96" i="403"/>
  <c r="A97" i="403"/>
  <c r="B97" i="399"/>
  <c r="A98" i="399"/>
  <c r="B97" i="401"/>
  <c r="A98" i="401"/>
  <c r="B97" i="403" l="1"/>
  <c r="A98" i="403"/>
  <c r="B97" i="400"/>
  <c r="A98" i="400"/>
  <c r="B98" i="401"/>
  <c r="A99" i="401"/>
  <c r="B98" i="399"/>
  <c r="A99" i="399"/>
  <c r="A87" i="191"/>
  <c r="B97" i="402"/>
  <c r="A98" i="402"/>
  <c r="B98" i="402" l="1"/>
  <c r="A99" i="402"/>
  <c r="B99" i="399"/>
  <c r="A100" i="399"/>
  <c r="B98" i="400"/>
  <c r="A99" i="400"/>
  <c r="A88" i="191"/>
  <c r="B99" i="401"/>
  <c r="A100" i="401"/>
  <c r="B98" i="403"/>
  <c r="A99" i="403"/>
  <c r="B99" i="403" l="1"/>
  <c r="A100" i="403"/>
  <c r="A89" i="191"/>
  <c r="B100" i="399"/>
  <c r="A101" i="399"/>
  <c r="B100" i="401"/>
  <c r="A101" i="401"/>
  <c r="B101" i="401" s="1"/>
  <c r="B99" i="400"/>
  <c r="A100" i="400"/>
  <c r="B99" i="402"/>
  <c r="A100" i="402"/>
  <c r="B100" i="402" l="1"/>
  <c r="A101" i="402"/>
  <c r="B100" i="400"/>
  <c r="A101" i="400"/>
  <c r="B101" i="399"/>
  <c r="A102" i="399"/>
  <c r="B100" i="403"/>
  <c r="A101" i="403"/>
  <c r="A90" i="191"/>
  <c r="B101" i="403" l="1"/>
  <c r="A102" i="403"/>
  <c r="B101" i="400"/>
  <c r="A102" i="400"/>
  <c r="A91" i="191"/>
  <c r="B102" i="399"/>
  <c r="A103" i="399"/>
  <c r="B101" i="402"/>
  <c r="A102" i="402"/>
  <c r="B103" i="399" l="1"/>
  <c r="A104" i="399"/>
  <c r="B102" i="400"/>
  <c r="A103" i="400"/>
  <c r="B102" i="402"/>
  <c r="A103" i="402"/>
  <c r="A92" i="191"/>
  <c r="B102" i="403"/>
  <c r="A103" i="403"/>
  <c r="A93" i="191" l="1"/>
  <c r="A104" i="400"/>
  <c r="B103" i="400"/>
  <c r="B103" i="403"/>
  <c r="A104" i="403"/>
  <c r="B103" i="402"/>
  <c r="A104" i="402"/>
  <c r="B104" i="399"/>
  <c r="A105" i="399"/>
  <c r="B104" i="402" l="1"/>
  <c r="A105" i="402"/>
  <c r="B104" i="400"/>
  <c r="A105" i="400"/>
  <c r="B105" i="399"/>
  <c r="A106" i="399"/>
  <c r="B104" i="403"/>
  <c r="A105" i="403"/>
  <c r="A94" i="191"/>
  <c r="B105" i="403" l="1"/>
  <c r="A106" i="403"/>
  <c r="B105" i="400"/>
  <c r="A106" i="400"/>
  <c r="A95" i="191"/>
  <c r="B106" i="399"/>
  <c r="A107" i="399"/>
  <c r="B105" i="402"/>
  <c r="A106" i="402"/>
  <c r="B107" i="399" l="1"/>
  <c r="A108" i="399"/>
  <c r="B106" i="400"/>
  <c r="A107" i="400"/>
  <c r="B106" i="402"/>
  <c r="A107" i="402"/>
  <c r="A96" i="191"/>
  <c r="B106" i="403"/>
  <c r="A107" i="403"/>
  <c r="A97" i="191" l="1"/>
  <c r="B107" i="400"/>
  <c r="A108" i="400"/>
  <c r="B107" i="403"/>
  <c r="A108" i="403"/>
  <c r="B107" i="402"/>
  <c r="A108" i="402"/>
  <c r="B108" i="399"/>
  <c r="A109" i="399"/>
  <c r="B108" i="402" l="1"/>
  <c r="A109" i="402"/>
  <c r="B108" i="400"/>
  <c r="A109" i="400"/>
  <c r="B109" i="399"/>
  <c r="A110" i="399"/>
  <c r="B108" i="403"/>
  <c r="A109" i="403"/>
  <c r="A98" i="191"/>
  <c r="B109" i="400" l="1"/>
  <c r="A110" i="400"/>
  <c r="A99" i="191"/>
  <c r="B110" i="399"/>
  <c r="A111" i="399"/>
  <c r="B109" i="402"/>
  <c r="A110" i="402"/>
  <c r="B109" i="403"/>
  <c r="A110" i="403"/>
  <c r="B110" i="402" l="1"/>
  <c r="A111" i="402"/>
  <c r="A100" i="191"/>
  <c r="B110" i="403"/>
  <c r="A111" i="403"/>
  <c r="B111" i="399"/>
  <c r="A112" i="399"/>
  <c r="A111" i="400"/>
  <c r="B110" i="400"/>
  <c r="B112" i="399" l="1"/>
  <c r="A113" i="399"/>
  <c r="B111" i="403"/>
  <c r="A112" i="403"/>
  <c r="B111" i="402"/>
  <c r="A112" i="402"/>
  <c r="A101" i="191"/>
  <c r="B111" i="400"/>
  <c r="A112" i="400"/>
  <c r="A102" i="191" l="1"/>
  <c r="B112" i="403"/>
  <c r="A113" i="403"/>
  <c r="B112" i="400"/>
  <c r="A113" i="400"/>
  <c r="B112" i="402"/>
  <c r="A113" i="402"/>
  <c r="B113" i="399"/>
  <c r="A114" i="399"/>
  <c r="B113" i="402" l="1"/>
  <c r="A114" i="402"/>
  <c r="B113" i="403"/>
  <c r="A114" i="403"/>
  <c r="B114" i="399"/>
  <c r="A115" i="399"/>
  <c r="B113" i="400"/>
  <c r="A114" i="400"/>
  <c r="A103" i="191"/>
  <c r="B114" i="400" l="1"/>
  <c r="A115" i="400"/>
  <c r="B114" i="403"/>
  <c r="A115" i="403"/>
  <c r="A104" i="191"/>
  <c r="B115" i="399"/>
  <c r="A116" i="399"/>
  <c r="B114" i="402"/>
  <c r="A115" i="402"/>
  <c r="B116" i="399" l="1"/>
  <c r="A117" i="399"/>
  <c r="B115" i="403"/>
  <c r="A116" i="403"/>
  <c r="B115" i="402"/>
  <c r="A116" i="402"/>
  <c r="A105" i="191"/>
  <c r="A116" i="400"/>
  <c r="B115" i="400"/>
  <c r="A106" i="191" l="1"/>
  <c r="B116" i="403"/>
  <c r="A117" i="403"/>
  <c r="B116" i="402"/>
  <c r="A117" i="402"/>
  <c r="B117" i="399"/>
  <c r="A118" i="399"/>
  <c r="A117" i="400"/>
  <c r="B116" i="400"/>
  <c r="B118" i="399" l="1"/>
  <c r="A119" i="399"/>
  <c r="B117" i="403"/>
  <c r="A118" i="403"/>
  <c r="B117" i="402"/>
  <c r="A118" i="402"/>
  <c r="A107" i="191"/>
  <c r="A118" i="400"/>
  <c r="B117" i="400"/>
  <c r="A119" i="400" l="1"/>
  <c r="B118" i="400"/>
  <c r="A108" i="191"/>
  <c r="B118" i="403"/>
  <c r="A119" i="403"/>
  <c r="B118" i="402"/>
  <c r="A119" i="402"/>
  <c r="B119" i="399"/>
  <c r="A120" i="399"/>
  <c r="B120" i="399" l="1"/>
  <c r="A121" i="399"/>
  <c r="B119" i="403"/>
  <c r="A120" i="403"/>
  <c r="B119" i="402"/>
  <c r="A120" i="402"/>
  <c r="A109" i="191"/>
  <c r="B119" i="400"/>
  <c r="A120" i="400"/>
  <c r="A110" i="191" l="1"/>
  <c r="B120" i="403"/>
  <c r="A121" i="403"/>
  <c r="B120" i="400"/>
  <c r="A121" i="400"/>
  <c r="B120" i="402"/>
  <c r="A121" i="402"/>
  <c r="B121" i="399"/>
  <c r="A122" i="399"/>
  <c r="B122" i="399" l="1"/>
  <c r="A123" i="399"/>
  <c r="B121" i="400"/>
  <c r="A122" i="400"/>
  <c r="A111" i="191"/>
  <c r="B121" i="402"/>
  <c r="A122" i="402"/>
  <c r="B121" i="403"/>
  <c r="A122" i="403"/>
  <c r="B122" i="402" l="1"/>
  <c r="A123" i="402"/>
  <c r="B122" i="400"/>
  <c r="A123" i="400"/>
  <c r="B122" i="403"/>
  <c r="A123" i="403"/>
  <c r="A112" i="191"/>
  <c r="B123" i="399"/>
  <c r="A124" i="399"/>
  <c r="A113" i="191" l="1"/>
  <c r="B123" i="400"/>
  <c r="A124" i="400"/>
  <c r="B124" i="399"/>
  <c r="A125" i="399"/>
  <c r="B123" i="403"/>
  <c r="A124" i="403"/>
  <c r="B123" i="402"/>
  <c r="A124" i="402"/>
  <c r="B124" i="403" l="1"/>
  <c r="A125" i="403"/>
  <c r="B124" i="400"/>
  <c r="A125" i="400"/>
  <c r="B124" i="402"/>
  <c r="A125" i="402"/>
  <c r="B125" i="399"/>
  <c r="A126" i="399"/>
  <c r="A114" i="191"/>
  <c r="B126" i="399" l="1"/>
  <c r="A127" i="399"/>
  <c r="B125" i="400"/>
  <c r="A126" i="400"/>
  <c r="A115" i="191"/>
  <c r="B125" i="402"/>
  <c r="A126" i="402"/>
  <c r="B125" i="403"/>
  <c r="A126" i="403"/>
  <c r="B126" i="402" l="1"/>
  <c r="A127" i="402"/>
  <c r="B126" i="400"/>
  <c r="A127" i="400"/>
  <c r="B126" i="403"/>
  <c r="A127" i="403"/>
  <c r="A116" i="191"/>
  <c r="B127" i="399"/>
  <c r="A128" i="399"/>
  <c r="A117" i="191" l="1"/>
  <c r="B127" i="400"/>
  <c r="A128" i="400"/>
  <c r="B128" i="399"/>
  <c r="A129" i="399"/>
  <c r="B127" i="403"/>
  <c r="A128" i="403"/>
  <c r="A128" i="402"/>
  <c r="B127" i="402"/>
  <c r="B129" i="399" l="1"/>
  <c r="A130" i="399"/>
  <c r="A118" i="191"/>
  <c r="B128" i="403"/>
  <c r="A129" i="403"/>
  <c r="B128" i="400"/>
  <c r="A129" i="400"/>
  <c r="A129" i="402"/>
  <c r="B128" i="402"/>
  <c r="B129" i="403" l="1"/>
  <c r="A130" i="403"/>
  <c r="B130" i="399"/>
  <c r="A131" i="399"/>
  <c r="B129" i="400"/>
  <c r="A130" i="400"/>
  <c r="A119" i="191"/>
  <c r="A130" i="402"/>
  <c r="B129" i="402"/>
  <c r="B130" i="400" l="1"/>
  <c r="A131" i="400"/>
  <c r="B130" i="403"/>
  <c r="A131" i="403"/>
  <c r="A120" i="191"/>
  <c r="B131" i="399"/>
  <c r="A132" i="399"/>
  <c r="B130" i="402"/>
  <c r="A131" i="402"/>
  <c r="B132" i="399" l="1"/>
  <c r="A133" i="399"/>
  <c r="B131" i="402"/>
  <c r="A132" i="402"/>
  <c r="A121" i="191"/>
  <c r="B131" i="400"/>
  <c r="A132" i="400"/>
  <c r="B131" i="403"/>
  <c r="A132" i="403"/>
  <c r="B132" i="403" l="1"/>
  <c r="A133" i="403"/>
  <c r="B133" i="399"/>
  <c r="A134" i="399"/>
  <c r="B132" i="400"/>
  <c r="A133" i="400"/>
  <c r="B132" i="402"/>
  <c r="A133" i="402"/>
  <c r="A122" i="191"/>
  <c r="B133" i="402" l="1"/>
  <c r="A134" i="402"/>
  <c r="B134" i="399"/>
  <c r="A135" i="399"/>
  <c r="A123" i="191"/>
  <c r="B133" i="400"/>
  <c r="A134" i="400"/>
  <c r="B133" i="403"/>
  <c r="A134" i="403"/>
  <c r="B134" i="400" l="1"/>
  <c r="A135" i="400"/>
  <c r="B135" i="399"/>
  <c r="A136" i="399"/>
  <c r="B134" i="403"/>
  <c r="A135" i="403"/>
  <c r="A124" i="191"/>
  <c r="B134" i="402"/>
  <c r="A135" i="402"/>
  <c r="A125" i="191" l="1"/>
  <c r="B136" i="399"/>
  <c r="A137" i="399"/>
  <c r="B135" i="402"/>
  <c r="A136" i="402"/>
  <c r="B135" i="403"/>
  <c r="A136" i="403"/>
  <c r="B135" i="400"/>
  <c r="A136" i="400"/>
  <c r="B136" i="403" l="1"/>
  <c r="A137" i="403"/>
  <c r="B137" i="399"/>
  <c r="A138" i="399"/>
  <c r="B136" i="400"/>
  <c r="A137" i="400"/>
  <c r="B136" i="402"/>
  <c r="A137" i="402"/>
  <c r="A126" i="191"/>
  <c r="A138" i="402" l="1"/>
  <c r="B137" i="402"/>
  <c r="B138" i="399"/>
  <c r="A139" i="399"/>
  <c r="A127" i="191"/>
  <c r="B137" i="400"/>
  <c r="A138" i="400"/>
  <c r="B137" i="403"/>
  <c r="A138" i="403"/>
  <c r="B138" i="400" l="1"/>
  <c r="A139" i="400"/>
  <c r="B139" i="399"/>
  <c r="A140" i="399"/>
  <c r="B138" i="403"/>
  <c r="A139" i="403"/>
  <c r="A128" i="191"/>
  <c r="A139" i="402"/>
  <c r="B138" i="402"/>
  <c r="A140" i="402" l="1"/>
  <c r="B139" i="402"/>
  <c r="A129" i="191"/>
  <c r="B140" i="399"/>
  <c r="A141" i="399"/>
  <c r="B139" i="403"/>
  <c r="A140" i="403"/>
  <c r="B139" i="400"/>
  <c r="A140" i="400"/>
  <c r="B140" i="400" l="1"/>
  <c r="A141" i="400"/>
  <c r="B140" i="403"/>
  <c r="A141" i="403"/>
  <c r="A130" i="191"/>
  <c r="B141" i="399"/>
  <c r="A142" i="399"/>
  <c r="B140" i="402"/>
  <c r="A141" i="402"/>
  <c r="B142" i="399" l="1"/>
  <c r="A143" i="399"/>
  <c r="B141" i="403"/>
  <c r="A142" i="403"/>
  <c r="B141" i="402"/>
  <c r="A142" i="402"/>
  <c r="A131" i="191"/>
  <c r="B141" i="400"/>
  <c r="A142" i="400"/>
  <c r="A132" i="191" l="1"/>
  <c r="B142" i="403"/>
  <c r="A143" i="403"/>
  <c r="B142" i="400"/>
  <c r="A143" i="400"/>
  <c r="B142" i="402"/>
  <c r="A143" i="402"/>
  <c r="B143" i="399"/>
  <c r="A144" i="399"/>
  <c r="B143" i="402" l="1"/>
  <c r="A144" i="402"/>
  <c r="B143" i="403"/>
  <c r="A144" i="403"/>
  <c r="B144" i="399"/>
  <c r="A145" i="399"/>
  <c r="B143" i="400"/>
  <c r="A144" i="400"/>
  <c r="A133" i="191"/>
  <c r="B144" i="400" l="1"/>
  <c r="A145" i="400"/>
  <c r="B144" i="403"/>
  <c r="A145" i="403"/>
  <c r="A134" i="191"/>
  <c r="B145" i="399"/>
  <c r="A146" i="399"/>
  <c r="B144" i="402"/>
  <c r="A145" i="402"/>
  <c r="B146" i="399" l="1"/>
  <c r="A147" i="399"/>
  <c r="B145" i="403"/>
  <c r="A146" i="403"/>
  <c r="B145" i="402"/>
  <c r="A146" i="402"/>
  <c r="A135" i="191"/>
  <c r="B145" i="400"/>
  <c r="A146" i="400"/>
  <c r="A136" i="191" l="1"/>
  <c r="B146" i="403"/>
  <c r="A147" i="403"/>
  <c r="B146" i="400"/>
  <c r="A147" i="400"/>
  <c r="B146" i="402"/>
  <c r="A147" i="402"/>
  <c r="B147" i="399"/>
  <c r="A148" i="399"/>
  <c r="B147" i="402" l="1"/>
  <c r="A148" i="402"/>
  <c r="B147" i="403"/>
  <c r="A148" i="403"/>
  <c r="B148" i="399"/>
  <c r="A149" i="399"/>
  <c r="B147" i="400"/>
  <c r="A148" i="400"/>
  <c r="A137" i="191"/>
  <c r="B148" i="400" l="1"/>
  <c r="A149" i="400"/>
  <c r="B148" i="403"/>
  <c r="A149" i="403"/>
  <c r="A138" i="191"/>
  <c r="B149" i="399"/>
  <c r="A150" i="399"/>
  <c r="B148" i="402"/>
  <c r="A149" i="402"/>
  <c r="B150" i="399" l="1"/>
  <c r="A151" i="399"/>
  <c r="B149" i="403"/>
  <c r="A150" i="403"/>
  <c r="B149" i="402"/>
  <c r="A150" i="402"/>
  <c r="A139" i="191"/>
  <c r="B149" i="400"/>
  <c r="A150" i="400"/>
  <c r="A140" i="191" l="1"/>
  <c r="B150" i="403"/>
  <c r="A151" i="403"/>
  <c r="B150" i="400"/>
  <c r="A151" i="400"/>
  <c r="B150" i="402"/>
  <c r="A151" i="402"/>
  <c r="B151" i="399"/>
  <c r="A152" i="399"/>
  <c r="B151" i="402" l="1"/>
  <c r="A152" i="402"/>
  <c r="B151" i="403"/>
  <c r="A152" i="403"/>
  <c r="B152" i="399"/>
  <c r="A153" i="399"/>
  <c r="B151" i="400"/>
  <c r="A152" i="400"/>
  <c r="A141" i="191"/>
  <c r="B152" i="400" l="1"/>
  <c r="A153" i="400"/>
  <c r="B152" i="403"/>
  <c r="A153" i="403"/>
  <c r="A142" i="191"/>
  <c r="B153" i="399"/>
  <c r="A154" i="399"/>
  <c r="B152" i="402"/>
  <c r="A153" i="402"/>
  <c r="B154" i="399" l="1"/>
  <c r="A155" i="399"/>
  <c r="B153" i="403"/>
  <c r="A154" i="403"/>
  <c r="B153" i="402"/>
  <c r="A154" i="402"/>
  <c r="A143" i="191"/>
  <c r="B153" i="400"/>
  <c r="A154" i="400"/>
  <c r="A144" i="191" l="1"/>
  <c r="B154" i="403"/>
  <c r="A155" i="403"/>
  <c r="B154" i="400"/>
  <c r="A155" i="400"/>
  <c r="B154" i="402"/>
  <c r="A155" i="402"/>
  <c r="B155" i="399"/>
  <c r="A156" i="399"/>
  <c r="B155" i="402" l="1"/>
  <c r="A156" i="402"/>
  <c r="B155" i="403"/>
  <c r="A156" i="403"/>
  <c r="B156" i="399"/>
  <c r="A157" i="399"/>
  <c r="B155" i="400"/>
  <c r="A156" i="400"/>
  <c r="A145" i="191"/>
  <c r="B156" i="400" l="1"/>
  <c r="A157" i="400"/>
  <c r="B156" i="403"/>
  <c r="A157" i="403"/>
  <c r="A146" i="191"/>
  <c r="B157" i="399"/>
  <c r="A158" i="399"/>
  <c r="A157" i="402"/>
  <c r="B156" i="402"/>
  <c r="B158" i="399" l="1"/>
  <c r="A159" i="399"/>
  <c r="B157" i="403"/>
  <c r="A158" i="403"/>
  <c r="A147" i="191"/>
  <c r="B147" i="191" s="1"/>
  <c r="B157" i="400"/>
  <c r="A158" i="400"/>
  <c r="B157" i="402"/>
  <c r="A158" i="402"/>
  <c r="B158" i="400" l="1"/>
  <c r="A159" i="400"/>
  <c r="B158" i="403"/>
  <c r="A159" i="403"/>
  <c r="B158" i="402"/>
  <c r="A159" i="402"/>
  <c r="A148" i="191"/>
  <c r="B148" i="191" s="1"/>
  <c r="B159" i="399"/>
  <c r="A160" i="399"/>
  <c r="A149" i="191" l="1"/>
  <c r="B149" i="191" s="1"/>
  <c r="B159" i="403"/>
  <c r="A160" i="403"/>
  <c r="B160" i="399"/>
  <c r="A161" i="399"/>
  <c r="B159" i="402"/>
  <c r="A160" i="402"/>
  <c r="B159" i="400"/>
  <c r="A160" i="400"/>
  <c r="B160" i="402" l="1"/>
  <c r="A161" i="402"/>
  <c r="B160" i="403"/>
  <c r="A161" i="403"/>
  <c r="B160" i="400"/>
  <c r="A161" i="400"/>
  <c r="B161" i="399"/>
  <c r="A162" i="399"/>
  <c r="A150" i="191"/>
  <c r="B150" i="191" s="1"/>
  <c r="B162" i="399" l="1"/>
  <c r="A163" i="399"/>
  <c r="B161" i="403"/>
  <c r="A162" i="403"/>
  <c r="A151" i="191"/>
  <c r="B151" i="191" s="1"/>
  <c r="B161" i="400"/>
  <c r="A162" i="400"/>
  <c r="B161" i="402"/>
  <c r="A162" i="402"/>
  <c r="B162" i="400" l="1"/>
  <c r="A163" i="400"/>
  <c r="B162" i="403"/>
  <c r="A163" i="403"/>
  <c r="B162" i="402"/>
  <c r="A163" i="402"/>
  <c r="A152" i="191"/>
  <c r="B152" i="191" s="1"/>
  <c r="B163" i="399"/>
  <c r="A164" i="399"/>
  <c r="A153" i="191" l="1"/>
  <c r="B153" i="191" s="1"/>
  <c r="B163" i="403"/>
  <c r="A164" i="403"/>
  <c r="B164" i="399"/>
  <c r="A165" i="399"/>
  <c r="B163" i="402"/>
  <c r="A164" i="402"/>
  <c r="B163" i="400"/>
  <c r="A164" i="400"/>
  <c r="A165" i="402" l="1"/>
  <c r="B164" i="402"/>
  <c r="B164" i="403"/>
  <c r="A165" i="403"/>
  <c r="B164" i="400"/>
  <c r="A165" i="400"/>
  <c r="B165" i="399"/>
  <c r="A166" i="399"/>
  <c r="A154" i="191"/>
  <c r="B154" i="191" s="1"/>
  <c r="B166" i="399" l="1"/>
  <c r="A167" i="399"/>
  <c r="B165" i="403"/>
  <c r="A166" i="403"/>
  <c r="A155" i="191"/>
  <c r="B155" i="191" s="1"/>
  <c r="B165" i="400"/>
  <c r="A166" i="400"/>
  <c r="A166" i="402"/>
  <c r="B165" i="402"/>
  <c r="A167" i="402" l="1"/>
  <c r="B166" i="402"/>
  <c r="B166" i="400"/>
  <c r="A167" i="400"/>
  <c r="B166" i="403"/>
  <c r="A167" i="403"/>
  <c r="A156" i="191"/>
  <c r="B156" i="191" s="1"/>
  <c r="B167" i="399"/>
  <c r="A168" i="399"/>
  <c r="A157" i="191" l="1"/>
  <c r="B157" i="191" s="1"/>
  <c r="B167" i="400"/>
  <c r="A168" i="400"/>
  <c r="B168" i="399"/>
  <c r="A169" i="399"/>
  <c r="B167" i="403"/>
  <c r="A168" i="403"/>
  <c r="B167" i="402"/>
  <c r="A168" i="402"/>
  <c r="B168" i="403" l="1"/>
  <c r="A169" i="403"/>
  <c r="B168" i="400"/>
  <c r="A169" i="400"/>
  <c r="B168" i="402"/>
  <c r="A169" i="402"/>
  <c r="B169" i="399"/>
  <c r="A170" i="399"/>
  <c r="A158" i="191"/>
  <c r="B158" i="191" s="1"/>
  <c r="B170" i="399" l="1"/>
  <c r="A171" i="399"/>
  <c r="B169" i="400"/>
  <c r="A170" i="400"/>
  <c r="A159" i="191"/>
  <c r="B159" i="191" s="1"/>
  <c r="B169" i="402"/>
  <c r="A170" i="402"/>
  <c r="B169" i="403"/>
  <c r="A170" i="403"/>
  <c r="A171" i="402" l="1"/>
  <c r="B170" i="402"/>
  <c r="B170" i="400"/>
  <c r="A171" i="400"/>
  <c r="B170" i="403"/>
  <c r="A171" i="403"/>
  <c r="A160" i="191"/>
  <c r="B160" i="191" s="1"/>
  <c r="B171" i="399"/>
  <c r="A172" i="399"/>
  <c r="B171" i="400" l="1"/>
  <c r="A172" i="400"/>
  <c r="B172" i="399"/>
  <c r="A173" i="399"/>
  <c r="B171" i="403"/>
  <c r="A172" i="403"/>
  <c r="A161" i="191"/>
  <c r="B161" i="191" s="1"/>
  <c r="B171" i="402"/>
  <c r="A172" i="402"/>
  <c r="A162" i="191" l="1"/>
  <c r="B162" i="191" s="1"/>
  <c r="B173" i="399"/>
  <c r="A174" i="399"/>
  <c r="B172" i="402"/>
  <c r="A173" i="402"/>
  <c r="B172" i="403"/>
  <c r="A173" i="403"/>
  <c r="B172" i="400"/>
  <c r="A173" i="400"/>
  <c r="B174" i="399" l="1"/>
  <c r="A175" i="399"/>
  <c r="B173" i="403"/>
  <c r="A174" i="403"/>
  <c r="B173" i="400"/>
  <c r="A174" i="400"/>
  <c r="B173" i="402"/>
  <c r="A174" i="402"/>
  <c r="A163" i="191"/>
  <c r="B163" i="191" s="1"/>
  <c r="B174" i="402" l="1"/>
  <c r="A175" i="402"/>
  <c r="B174" i="403"/>
  <c r="A175" i="403"/>
  <c r="A164" i="191"/>
  <c r="B164" i="191" s="1"/>
  <c r="B174" i="400"/>
  <c r="A175" i="400"/>
  <c r="B175" i="399"/>
  <c r="A176" i="399"/>
  <c r="B175" i="400" l="1"/>
  <c r="A176" i="400"/>
  <c r="B175" i="403"/>
  <c r="A176" i="403"/>
  <c r="B176" i="399"/>
  <c r="A177" i="399"/>
  <c r="A165" i="191"/>
  <c r="B165" i="191" s="1"/>
  <c r="B175" i="402"/>
  <c r="A176" i="402"/>
  <c r="A166" i="191" l="1"/>
  <c r="B166" i="191" s="1"/>
  <c r="B176" i="403"/>
  <c r="A177" i="403"/>
  <c r="B176" i="402"/>
  <c r="A177" i="402"/>
  <c r="B177" i="399"/>
  <c r="A178" i="399"/>
  <c r="B176" i="400"/>
  <c r="A177" i="400"/>
  <c r="B178" i="399" l="1"/>
  <c r="A179" i="399"/>
  <c r="B177" i="403"/>
  <c r="A178" i="403"/>
  <c r="B177" i="400"/>
  <c r="A178" i="400"/>
  <c r="B177" i="402"/>
  <c r="A178" i="402"/>
  <c r="A167" i="191"/>
  <c r="B167" i="191" s="1"/>
  <c r="B178" i="402" l="1"/>
  <c r="A179" i="402"/>
  <c r="B178" i="403"/>
  <c r="A179" i="403"/>
  <c r="A168" i="191"/>
  <c r="B168" i="191" s="1"/>
  <c r="B178" i="400"/>
  <c r="A179" i="400"/>
  <c r="B179" i="399"/>
  <c r="A180" i="399"/>
  <c r="B179" i="403" l="1"/>
  <c r="A180" i="403"/>
  <c r="B179" i="400"/>
  <c r="A180" i="400"/>
  <c r="B180" i="399"/>
  <c r="A181" i="399"/>
  <c r="A169" i="191"/>
  <c r="B169" i="191" s="1"/>
  <c r="B179" i="402"/>
  <c r="A180" i="402"/>
  <c r="A170" i="191" l="1"/>
  <c r="B170" i="191" s="1"/>
  <c r="B180" i="400"/>
  <c r="A181" i="400"/>
  <c r="B180" i="402"/>
  <c r="A181" i="402"/>
  <c r="B181" i="399"/>
  <c r="A182" i="399"/>
  <c r="B180" i="403"/>
  <c r="A181" i="403"/>
  <c r="B182" i="399" l="1"/>
  <c r="A183" i="399"/>
  <c r="B181" i="400"/>
  <c r="A182" i="400"/>
  <c r="B181" i="403"/>
  <c r="A182" i="403"/>
  <c r="B181" i="402"/>
  <c r="A182" i="402"/>
  <c r="A171" i="191"/>
  <c r="B171" i="191" s="1"/>
  <c r="B182" i="402" l="1"/>
  <c r="A183" i="402"/>
  <c r="B182" i="400"/>
  <c r="A183" i="400"/>
  <c r="A172" i="191"/>
  <c r="B172" i="191" s="1"/>
  <c r="B182" i="403"/>
  <c r="A183" i="403"/>
  <c r="B183" i="399"/>
  <c r="A184" i="399"/>
  <c r="B183" i="400" l="1"/>
  <c r="A184" i="400"/>
  <c r="B183" i="403"/>
  <c r="A184" i="403"/>
  <c r="B184" i="399"/>
  <c r="A185" i="399"/>
  <c r="A173" i="191"/>
  <c r="B173" i="191" s="1"/>
  <c r="B183" i="402"/>
  <c r="A184" i="402"/>
  <c r="B184" i="403" l="1"/>
  <c r="A185" i="403"/>
  <c r="A174" i="191"/>
  <c r="B174" i="191" s="1"/>
  <c r="B184" i="402"/>
  <c r="A185" i="402"/>
  <c r="B185" i="399"/>
  <c r="A186" i="399"/>
  <c r="B184" i="400"/>
  <c r="A185" i="400"/>
  <c r="B186" i="399" l="1"/>
  <c r="A187" i="399"/>
  <c r="A175" i="191"/>
  <c r="B175" i="191" s="1"/>
  <c r="B185" i="400"/>
  <c r="A186" i="400"/>
  <c r="B185" i="402"/>
  <c r="A186" i="402"/>
  <c r="B185" i="403"/>
  <c r="A186" i="403"/>
  <c r="B186" i="402" l="1"/>
  <c r="A187" i="402"/>
  <c r="A176" i="191"/>
  <c r="B176" i="191" s="1"/>
  <c r="B186" i="403"/>
  <c r="A187" i="403"/>
  <c r="B186" i="400"/>
  <c r="A187" i="400"/>
  <c r="B187" i="399"/>
  <c r="A188" i="399"/>
  <c r="B187" i="400" l="1"/>
  <c r="A188" i="400"/>
  <c r="A177" i="191"/>
  <c r="B177" i="191" s="1"/>
  <c r="B188" i="399"/>
  <c r="A189" i="399"/>
  <c r="B187" i="403"/>
  <c r="A188" i="403"/>
  <c r="B187" i="402"/>
  <c r="A188" i="402"/>
  <c r="B188" i="403" l="1"/>
  <c r="A189" i="403"/>
  <c r="A178" i="191"/>
  <c r="B178" i="191" s="1"/>
  <c r="B188" i="402"/>
  <c r="A189" i="402"/>
  <c r="B189" i="399"/>
  <c r="A190" i="399"/>
  <c r="B188" i="400"/>
  <c r="A189" i="400"/>
  <c r="B190" i="399" l="1"/>
  <c r="A191" i="399"/>
  <c r="A179" i="191"/>
  <c r="B179" i="191" s="1"/>
  <c r="B189" i="400"/>
  <c r="A190" i="400"/>
  <c r="B189" i="402"/>
  <c r="A190" i="402"/>
  <c r="B189" i="403"/>
  <c r="A190" i="403"/>
  <c r="B190" i="402" l="1"/>
  <c r="A191" i="402"/>
  <c r="A180" i="191"/>
  <c r="B180" i="191" s="1"/>
  <c r="B190" i="403"/>
  <c r="A191" i="403"/>
  <c r="B190" i="400"/>
  <c r="A191" i="400"/>
  <c r="B191" i="399"/>
  <c r="A192" i="399"/>
  <c r="A181" i="191" l="1"/>
  <c r="B181" i="191" s="1"/>
  <c r="B191" i="400"/>
  <c r="A192" i="400"/>
  <c r="B192" i="399"/>
  <c r="A193" i="399"/>
  <c r="B191" i="403"/>
  <c r="A192" i="403"/>
  <c r="B191" i="402"/>
  <c r="A192" i="402"/>
  <c r="B192" i="403" l="1"/>
  <c r="A193" i="403"/>
  <c r="B192" i="400"/>
  <c r="A193" i="400"/>
  <c r="B192" i="402"/>
  <c r="A193" i="402"/>
  <c r="B193" i="399"/>
  <c r="A194" i="399"/>
  <c r="A182" i="191"/>
  <c r="B182" i="191" s="1"/>
  <c r="B194" i="399" l="1"/>
  <c r="A195" i="399"/>
  <c r="B193" i="400"/>
  <c r="A194" i="400"/>
  <c r="A183" i="191"/>
  <c r="B183" i="191" s="1"/>
  <c r="B193" i="402"/>
  <c r="A194" i="402"/>
  <c r="B193" i="403"/>
  <c r="A194" i="403"/>
  <c r="B194" i="402" l="1"/>
  <c r="A195" i="402"/>
  <c r="B194" i="400"/>
  <c r="A195" i="400"/>
  <c r="B194" i="403"/>
  <c r="A195" i="403"/>
  <c r="A184" i="191"/>
  <c r="B184" i="191" s="1"/>
  <c r="B195" i="399"/>
  <c r="A196" i="399"/>
  <c r="A185" i="191" l="1"/>
  <c r="B185" i="191" s="1"/>
  <c r="B195" i="400"/>
  <c r="A196" i="400"/>
  <c r="B196" i="399"/>
  <c r="A197" i="399"/>
  <c r="B195" i="403"/>
  <c r="A196" i="403"/>
  <c r="B195" i="402"/>
  <c r="A196" i="402"/>
  <c r="B196" i="403" l="1"/>
  <c r="A197" i="403"/>
  <c r="B196" i="400"/>
  <c r="A197" i="400"/>
  <c r="B196" i="402"/>
  <c r="A197" i="402"/>
  <c r="B197" i="399"/>
  <c r="A198" i="399"/>
  <c r="A186" i="191"/>
  <c r="B186" i="191" s="1"/>
  <c r="B198" i="399" l="1"/>
  <c r="A199" i="399"/>
  <c r="B197" i="400"/>
  <c r="A198" i="400"/>
  <c r="A187" i="191"/>
  <c r="B187" i="191" s="1"/>
  <c r="B197" i="402"/>
  <c r="A198" i="402"/>
  <c r="B197" i="403"/>
  <c r="A198" i="403"/>
  <c r="B198" i="400" l="1"/>
  <c r="A199" i="400"/>
  <c r="B198" i="402"/>
  <c r="A199" i="402"/>
  <c r="B198" i="403"/>
  <c r="A199" i="403"/>
  <c r="A188" i="191"/>
  <c r="B188" i="191" s="1"/>
  <c r="B199" i="399"/>
  <c r="A200" i="399"/>
  <c r="A189" i="191" l="1"/>
  <c r="B189" i="191" s="1"/>
  <c r="B199" i="402"/>
  <c r="A200" i="402"/>
  <c r="B200" i="399"/>
  <c r="A201" i="399"/>
  <c r="B199" i="403"/>
  <c r="A200" i="403"/>
  <c r="B199" i="400"/>
  <c r="A200" i="400"/>
  <c r="B200" i="403" l="1"/>
  <c r="A201" i="403"/>
  <c r="B201" i="403" s="1"/>
  <c r="B200" i="402"/>
  <c r="A201" i="402"/>
  <c r="B201" i="402" s="1"/>
  <c r="B200" i="400"/>
  <c r="A201" i="400"/>
  <c r="B201" i="400" s="1"/>
  <c r="B201" i="399"/>
  <c r="A202" i="399"/>
  <c r="A190" i="191"/>
  <c r="B190" i="191" s="1"/>
  <c r="B202" i="399" l="1"/>
  <c r="A203" i="399"/>
  <c r="A191" i="191"/>
  <c r="B191" i="191" l="1"/>
  <c r="A192" i="191"/>
  <c r="B203" i="399"/>
  <c r="A204" i="399"/>
  <c r="B204" i="399" l="1"/>
  <c r="A205" i="399"/>
  <c r="B192" i="191"/>
  <c r="A193" i="191"/>
  <c r="B193" i="191" l="1"/>
  <c r="A194" i="191"/>
  <c r="B205" i="399"/>
  <c r="A206" i="399"/>
  <c r="B206" i="399" l="1"/>
  <c r="A207" i="399"/>
  <c r="B194" i="191"/>
  <c r="A195" i="191"/>
  <c r="B195" i="191" l="1"/>
  <c r="A196" i="191"/>
  <c r="B207" i="399"/>
  <c r="A208" i="399"/>
  <c r="B208" i="399" l="1"/>
  <c r="A209" i="399"/>
  <c r="B196" i="191"/>
  <c r="A197" i="191"/>
  <c r="B197" i="191" l="1"/>
  <c r="A198" i="191"/>
  <c r="B209" i="399"/>
  <c r="A210" i="399"/>
  <c r="B210" i="399" l="1"/>
  <c r="A211" i="399"/>
  <c r="B198" i="191"/>
  <c r="A199" i="191"/>
  <c r="B199" i="191" l="1"/>
  <c r="A200" i="191"/>
  <c r="B211" i="399"/>
  <c r="A212" i="399"/>
  <c r="B212" i="399" l="1"/>
  <c r="A213" i="399"/>
  <c r="B200" i="191"/>
  <c r="A201" i="191"/>
  <c r="B201" i="191" l="1"/>
  <c r="A202" i="191"/>
  <c r="B213" i="399"/>
  <c r="A214" i="399"/>
  <c r="B214" i="399" l="1"/>
  <c r="A215" i="399"/>
  <c r="B202" i="191"/>
  <c r="A203" i="191"/>
  <c r="B203" i="191" l="1"/>
  <c r="A204" i="191"/>
  <c r="B215" i="399"/>
  <c r="A216" i="399"/>
  <c r="B216" i="399" l="1"/>
  <c r="A217" i="399"/>
  <c r="B204" i="191"/>
  <c r="A205" i="191"/>
  <c r="B205" i="191" l="1"/>
  <c r="A206" i="191"/>
  <c r="B217" i="399"/>
  <c r="A218" i="399"/>
  <c r="B218" i="399" l="1"/>
  <c r="A219" i="399"/>
  <c r="B206" i="191"/>
  <c r="A207" i="191"/>
  <c r="B207" i="191" l="1"/>
  <c r="A208" i="191"/>
  <c r="B219" i="399"/>
  <c r="A220" i="399"/>
  <c r="B220" i="399" l="1"/>
  <c r="A221" i="399"/>
  <c r="B208" i="191"/>
  <c r="A209" i="191"/>
  <c r="B209" i="191" l="1"/>
  <c r="A210" i="191"/>
  <c r="B221" i="399"/>
  <c r="A222" i="399"/>
  <c r="B222" i="399" l="1"/>
  <c r="A223" i="399"/>
  <c r="B210" i="191"/>
  <c r="A211" i="191"/>
  <c r="B211" i="191" l="1"/>
  <c r="A212" i="191"/>
  <c r="B223" i="399"/>
  <c r="A224" i="399"/>
  <c r="B224" i="399" l="1"/>
  <c r="A225" i="399"/>
  <c r="B212" i="191"/>
  <c r="A213" i="191"/>
  <c r="B213" i="191" l="1"/>
  <c r="A214" i="191"/>
  <c r="B225" i="399"/>
  <c r="A226" i="399"/>
  <c r="B226" i="399" l="1"/>
  <c r="A227" i="399"/>
  <c r="B214" i="191"/>
  <c r="A215" i="191"/>
  <c r="B215" i="191" l="1"/>
  <c r="A216" i="191"/>
  <c r="B227" i="399"/>
  <c r="A228" i="399"/>
  <c r="B228" i="399" l="1"/>
  <c r="A229" i="399"/>
  <c r="B216" i="191"/>
  <c r="A217" i="191"/>
  <c r="B217" i="191" l="1"/>
  <c r="A218" i="191"/>
  <c r="B229" i="399"/>
  <c r="A230" i="399"/>
  <c r="B218" i="191" l="1"/>
  <c r="A219" i="191"/>
  <c r="B230" i="399"/>
  <c r="A231" i="399"/>
  <c r="B231" i="399" l="1"/>
  <c r="A232" i="399"/>
  <c r="B219" i="191"/>
  <c r="A220" i="191"/>
  <c r="B220" i="191" l="1"/>
  <c r="A221" i="191"/>
  <c r="B221" i="191" s="1"/>
  <c r="B232" i="399"/>
  <c r="A233" i="399"/>
  <c r="B233" i="399" l="1"/>
  <c r="A234" i="399"/>
  <c r="B234" i="399" l="1"/>
  <c r="A235" i="399"/>
  <c r="B235" i="399" l="1"/>
  <c r="A236" i="399"/>
  <c r="B236" i="399" l="1"/>
  <c r="A237" i="399"/>
  <c r="B237" i="399" l="1"/>
  <c r="A238" i="399"/>
  <c r="B238" i="399" l="1"/>
  <c r="A239" i="399"/>
  <c r="B239" i="399" l="1"/>
  <c r="A240" i="399"/>
  <c r="B240" i="399" l="1"/>
  <c r="A241" i="399"/>
  <c r="B241" i="399" l="1"/>
  <c r="A242" i="399"/>
  <c r="B242" i="399" l="1"/>
  <c r="A243" i="399"/>
  <c r="B243" i="399" l="1"/>
  <c r="A244" i="399"/>
  <c r="B244" i="399" l="1"/>
  <c r="A245" i="399"/>
  <c r="B245" i="399" l="1"/>
  <c r="A246" i="399"/>
  <c r="B246" i="399" l="1"/>
  <c r="A247" i="399"/>
  <c r="B247" i="399" l="1"/>
  <c r="A248" i="399"/>
  <c r="B248" i="399" l="1"/>
  <c r="A249" i="399"/>
  <c r="B249" i="399" l="1"/>
  <c r="A250" i="399"/>
  <c r="B250" i="399" l="1"/>
  <c r="A251" i="399"/>
  <c r="B251" i="399" l="1"/>
  <c r="A252" i="399"/>
  <c r="B252" i="399" l="1"/>
  <c r="A253" i="399"/>
  <c r="B253" i="399" s="1"/>
</calcChain>
</file>

<file path=xl/comments1.xml><?xml version="1.0" encoding="utf-8"?>
<comments xmlns="http://schemas.openxmlformats.org/spreadsheetml/2006/main">
  <authors>
    <author>Author</author>
    <author>Phan, Khoi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program in ICT, so move from program flash to data flash.
HellaProductionData block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program in ICT, so move from program flash to data flash
HellaProductionData block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program in ICT, so move from program flash to data flash
HellaProductionData block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write in ICT, so move from program flash to data flash
ICTData block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write in EOL, so move from program flash to data flash
EOLData block</t>
        </r>
      </text>
    </comment>
    <comment ref="A12" authorId="1" shapeId="0">
      <text>
        <r>
          <rPr>
            <b/>
            <sz val="9"/>
            <color indexed="81"/>
            <rFont val="Tahoma"/>
            <family val="2"/>
          </rPr>
          <t>Phan, Khoi:</t>
        </r>
        <r>
          <rPr>
            <sz val="9"/>
            <color indexed="81"/>
            <rFont val="Tahoma"/>
            <family val="2"/>
          </rPr>
          <t xml:space="preserve">
HellaProductionData block</t>
        </r>
      </text>
    </comment>
  </commentList>
</comments>
</file>

<file path=xl/comments2.xml><?xml version="1.0" encoding="utf-8"?>
<comments xmlns="http://schemas.openxmlformats.org/spreadsheetml/2006/main">
  <authors>
    <author>Mao, Herry</author>
    <author>Phan, Khoi</author>
  </authors>
  <commentList>
    <comment ref="F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must be the multiple of 4.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Generate defualt value or not.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Contain when generate hex file or not.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Generate Minimum and Maximum for Byte Map.
Usually it is used for parameters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The file name will be:
"Eep_Nvm"+Map File Name +"DefsGen.inc";
Default Value file Name :
"Eep_Nvm"+Map File Name +"ConstGen.inc";</t>
        </r>
      </text>
    </comment>
    <comment ref="M1" authorId="1" shapeId="0">
      <text>
        <r>
          <rPr>
            <b/>
            <sz val="9"/>
            <color indexed="81"/>
            <rFont val="Tahoma"/>
            <family val="2"/>
          </rPr>
          <t>Phan, Khoi:</t>
        </r>
        <r>
          <rPr>
            <sz val="9"/>
            <color indexed="81"/>
            <rFont val="Tahoma"/>
            <family val="2"/>
          </rPr>
          <t xml:space="preserve">
Generate excel format to import to HPM or not</t>
        </r>
      </text>
    </comment>
  </commentList>
</comments>
</file>

<file path=xl/comments3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4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5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6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Mao, Herry:
Set the start vitual logical address. </t>
        </r>
      </text>
    </comment>
  </commentList>
</comments>
</file>

<file path=xl/comments7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Mao, Herry:
Set the start vitual logical address. </t>
        </r>
      </text>
    </comment>
  </commentList>
</comments>
</file>

<file path=xl/comments8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Mao, Herry:
Set the start vitual logical address. </t>
        </r>
      </text>
    </comment>
  </commentList>
</comments>
</file>

<file path=xl/comments9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10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11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12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Mao, Herry:
Set the start vitual logical address. </t>
        </r>
      </text>
    </comment>
  </commentList>
</comments>
</file>

<file path=xl/comments13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14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15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16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17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18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19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0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1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2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3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4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5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6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7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8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29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30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Mao, Herry:
Set the start vitual logical address. </t>
        </r>
      </text>
    </comment>
  </commentList>
</comments>
</file>

<file path=xl/comments31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32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33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34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comments35.xml><?xml version="1.0" encoding="utf-8"?>
<comments xmlns="http://schemas.openxmlformats.org/spreadsheetml/2006/main">
  <authors>
    <author>Mao, Herry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program flash.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Mao, Herry:</t>
        </r>
        <r>
          <rPr>
            <sz val="8"/>
            <color indexed="81"/>
            <rFont val="Tahoma"/>
            <family val="2"/>
          </rPr>
          <t xml:space="preserve">
This value is in data flash.
It will generate as a hex file to flash into data falsh</t>
        </r>
      </text>
    </comment>
  </commentList>
</comments>
</file>

<file path=xl/sharedStrings.xml><?xml version="1.0" encoding="utf-8"?>
<sst xmlns="http://schemas.openxmlformats.org/spreadsheetml/2006/main" count="10408" uniqueCount="3329">
  <si>
    <t>Change description</t>
  </si>
  <si>
    <t>Date</t>
  </si>
  <si>
    <t>Author</t>
  </si>
  <si>
    <t>Unit</t>
  </si>
  <si>
    <t>Virtual Address</t>
  </si>
  <si>
    <t>Version:</t>
  </si>
  <si>
    <t>Stand:</t>
  </si>
  <si>
    <t>0x80</t>
  </si>
  <si>
    <t>0x40</t>
  </si>
  <si>
    <t>Version</t>
  </si>
  <si>
    <t>0x20</t>
  </si>
  <si>
    <t>0x10</t>
  </si>
  <si>
    <t>0x08</t>
  </si>
  <si>
    <t>0x04</t>
  </si>
  <si>
    <t>0x02</t>
  </si>
  <si>
    <t>0x01</t>
  </si>
  <si>
    <t>Bitmaske</t>
  </si>
  <si>
    <t>Initial Revision.</t>
  </si>
  <si>
    <t>HSE</t>
  </si>
  <si>
    <t>Size (Byte)</t>
  </si>
  <si>
    <t>Byte Number</t>
  </si>
  <si>
    <t>Description</t>
  </si>
  <si>
    <t>0xFF</t>
  </si>
  <si>
    <t>Default
Value</t>
  </si>
  <si>
    <t>Add description of bit 0</t>
  </si>
  <si>
    <t>Add description of bit 1</t>
  </si>
  <si>
    <t>Add description of bit 2</t>
  </si>
  <si>
    <t>Add description of bit 3</t>
  </si>
  <si>
    <t>Add description of bit 4</t>
  </si>
  <si>
    <t>Add description of bit 5</t>
  </si>
  <si>
    <t>Add description of bit 6</t>
  </si>
  <si>
    <t>NVM Data Dictionary Generation</t>
  </si>
  <si>
    <t>BSW Low-End Platform</t>
  </si>
  <si>
    <t>This bit must be never used, default value is 0 which different with Dataflash default 0xFF.</t>
  </si>
  <si>
    <t>Default
Const Value</t>
  </si>
  <si>
    <t>Default
Dataflash
Value</t>
  </si>
  <si>
    <t>Logical
Address</t>
  </si>
  <si>
    <t>SKC</t>
  </si>
  <si>
    <t>Sector 
ID</t>
  </si>
  <si>
    <t>Sector 
Size</t>
  </si>
  <si>
    <t>Block 
ID</t>
  </si>
  <si>
    <t>Block 
Name</t>
  </si>
  <si>
    <t>SC</t>
  </si>
  <si>
    <t>ECU_State</t>
  </si>
  <si>
    <t>HellaProductionData</t>
  </si>
  <si>
    <t>UIDTransmitterID</t>
  </si>
  <si>
    <t>EOLData</t>
  </si>
  <si>
    <t>HellaConfigData</t>
  </si>
  <si>
    <t>RandomPool</t>
  </si>
  <si>
    <t>ResetCounter</t>
  </si>
  <si>
    <t>Map Type</t>
  </si>
  <si>
    <t>Byte Map</t>
  </si>
  <si>
    <t>Dataflash
Hex</t>
  </si>
  <si>
    <t>Map File Name</t>
  </si>
  <si>
    <t>No</t>
  </si>
  <si>
    <t>Yes</t>
  </si>
  <si>
    <t>App</t>
  </si>
  <si>
    <t>MaxMin</t>
  </si>
  <si>
    <t>Parameter
Description</t>
  </si>
  <si>
    <t>Add description of Byte</t>
  </si>
  <si>
    <t xml:space="preserve">Min Value </t>
  </si>
  <si>
    <t xml:space="preserve">Max Value </t>
  </si>
  <si>
    <t xml:space="preserve">Resolution </t>
  </si>
  <si>
    <t>ByteName</t>
  </si>
  <si>
    <t>BitName</t>
  </si>
  <si>
    <t>DTC</t>
  </si>
  <si>
    <t>E01</t>
  </si>
  <si>
    <t>Working
RAM</t>
  </si>
  <si>
    <t>No Map</t>
  </si>
  <si>
    <t>ASILAParameter</t>
  </si>
  <si>
    <t>ASILBParameter</t>
  </si>
  <si>
    <t>KDTCCalibrationByte0</t>
  </si>
  <si>
    <t>HWConfig</t>
  </si>
  <si>
    <t>CDLStatus</t>
  </si>
  <si>
    <t>ATWSStatus</t>
  </si>
  <si>
    <t>ILStatus</t>
  </si>
  <si>
    <t>PMStatus</t>
  </si>
  <si>
    <t>ELStatus</t>
  </si>
  <si>
    <t>CrashInfoStatus</t>
  </si>
  <si>
    <t>DisableUIDInfor</t>
  </si>
  <si>
    <t>UIDSYNCCounter</t>
  </si>
  <si>
    <t>DiagDTCsStatusBytes0</t>
  </si>
  <si>
    <t>DiagDTCsUnlearnCounters0</t>
  </si>
  <si>
    <t>CDLStack</t>
  </si>
  <si>
    <t>PWStack</t>
  </si>
  <si>
    <t>ReminderStack</t>
  </si>
  <si>
    <t>ResetHistory</t>
  </si>
  <si>
    <t>Bit Map</t>
  </si>
  <si>
    <t>Cod</t>
  </si>
  <si>
    <t>Par</t>
  </si>
  <si>
    <t>A01</t>
  </si>
  <si>
    <t>B01</t>
  </si>
  <si>
    <t>NVM_ECU_LEARNING_STATE</t>
  </si>
  <si>
    <t>NVM_VEHICLE_MODE</t>
  </si>
  <si>
    <t>The ECU's Learning state, learnt or not learnet.</t>
  </si>
  <si>
    <t>p_t_Airbag_Active_Ignition_Off</t>
  </si>
  <si>
    <t>p_t_Hardware_Crash_Normal_On_Time</t>
  </si>
  <si>
    <t>p_t_Hardware_Crash_Normal_Off_Time</t>
  </si>
  <si>
    <t>p_t_Hardware_Crash_Active_On_Time</t>
  </si>
  <si>
    <t>p_t_Hardware_Crash_Active_Off_Time</t>
  </si>
  <si>
    <t>p_t_Output_Motor_Short_Diag</t>
  </si>
  <si>
    <t>p_t_WW_Wiper_Motor_Blocked</t>
  </si>
  <si>
    <t>p_t_WW_Front_Park_Detect</t>
  </si>
  <si>
    <t>p_t_EL_Turnlight_Flashing_Ontime</t>
  </si>
  <si>
    <t>p_t_EL_Turnlight_Flashing_Offtime</t>
  </si>
  <si>
    <t>p_t_EL_Highbeam_Light_Processing_Qualification_Interval</t>
  </si>
  <si>
    <t>s(Second)</t>
  </si>
  <si>
    <t>ms(Milli-Second)</t>
  </si>
  <si>
    <t>n/a</t>
  </si>
  <si>
    <t>A(Amp)</t>
  </si>
  <si>
    <t>p_t_Airbag_Active_Ignition_Off: The duration after IGN OFF that Airbag still able to sent reliable signal out.</t>
  </si>
  <si>
    <t>p_t_Hardware_Crash_Normal_On_Time: normal on time of hardware crash signal.</t>
  </si>
  <si>
    <t>p_t_Hardware_Crash_Normal_Off_Time: normal off time of hardware crash signal.</t>
  </si>
  <si>
    <t>p_t_Hardware_Crash_Active_On_Time: active on time of hardware crash signal.</t>
  </si>
  <si>
    <t>p_t_Hardware_Crash_Active_Off_Time: active off time of hardware crash signal.</t>
  </si>
  <si>
    <t>p_t_Output_Motor_Short_Diag: Motor Short-Ciucuit Diagnostics Duration for mature</t>
  </si>
  <si>
    <t>p_t_EL_Turnlight_Flashing_Ontime: The turn light bright time</t>
  </si>
  <si>
    <t>p_t_EL_Turnlight_Flashing_Offtime: The turn light dark time</t>
  </si>
  <si>
    <t>p_t_EL_Highbeam_Light_Processing_Qualification_Interval: time duration for qualifying this fault</t>
  </si>
  <si>
    <t>c_Airbag_ECU_Mounted</t>
  </si>
  <si>
    <t>c_WW_Auto_Wiper_Enabled</t>
  </si>
  <si>
    <t>c_WW_Front_Wiper_Switch_Type</t>
  </si>
  <si>
    <t>c_Power_Moding_Inputs_Detection_Type</t>
  </si>
  <si>
    <t>c_EL_Exterior_Light_Switch_Type</t>
  </si>
  <si>
    <t>c_EL_Turn_Light_Switch_Type</t>
  </si>
  <si>
    <t>c_EL_High_Beam_Light_Switch_Type</t>
  </si>
  <si>
    <t>c_EL_Automatic_Headlamp_Enabled</t>
  </si>
  <si>
    <t>c_EL_Highbeam_Lamp_Type</t>
  </si>
  <si>
    <t>p_n_VBAT_Working_Volt_2_Lo</t>
  </si>
  <si>
    <t>p_n_VBAT_Working_Volt_2_Hi</t>
  </si>
  <si>
    <t>p_n_VBAT_Diag_Volt_Lo</t>
  </si>
  <si>
    <t>p_n_VBAT_Diag_Volt_Hi</t>
  </si>
  <si>
    <t>p_t_VBAT_Under_Volt_Fault_Time</t>
  </si>
  <si>
    <t>p_t_VBAT_Over_Volt_Fault_Time</t>
  </si>
  <si>
    <t>p_t_EL_Brake_Light_Processing_Qualification_Interval</t>
  </si>
  <si>
    <t>p_t_EL_Lowbeam_Light_Processing_Qualification_Interval</t>
  </si>
  <si>
    <t>p_n_PMM_Vehicle_Speed_Hi</t>
  </si>
  <si>
    <t>p_t_PMM_Input_Implausible_Qualification_Time</t>
  </si>
  <si>
    <t>v(Volt)</t>
  </si>
  <si>
    <t>km/h(KiloMter per hour)</t>
  </si>
  <si>
    <t>p_t_Generic_LED_Short_Diag</t>
  </si>
  <si>
    <t>p_t_Generic_LED_Open_Diag</t>
  </si>
  <si>
    <t>p_t_Generic_Mosfet_Open_Diag</t>
  </si>
  <si>
    <t>p_t_Generic_Mosfet_Short_Diag</t>
  </si>
  <si>
    <t>p_t_CDL_Sleep_At_No_Closed</t>
  </si>
  <si>
    <t>p_t_Internal_UnLock_External_Lock</t>
  </si>
  <si>
    <t>p_t_CDL_Motor_Act_9V</t>
  </si>
  <si>
    <t>p_t_CDL_Motor_Act_12V</t>
  </si>
  <si>
    <t>p_t_CDL_Motor_Act_14V</t>
  </si>
  <si>
    <t>p_t_CDL_Motor_Calm_Down</t>
  </si>
  <si>
    <t>p_t_CDL_Lock_Blockade</t>
  </si>
  <si>
    <t>p_n_CDL_Ext_Trigger_Threshold</t>
  </si>
  <si>
    <t>p_t_Debounce_Door_Contact</t>
  </si>
  <si>
    <t>p_n_CDL_Protection_Motor_ON</t>
  </si>
  <si>
    <t>p_t_CDL_Remote_After_KeyInout_Change</t>
  </si>
  <si>
    <t>p_t_Tailgate_Release_Switch</t>
  </si>
  <si>
    <t>p_t_Tailgate_Release_Act_9V</t>
  </si>
  <si>
    <t>p_t_Tailgate_Release_Act_12V</t>
  </si>
  <si>
    <t>p_t_Tailgate_Release_Act_14V</t>
  </si>
  <si>
    <t>p_t_Tailgate_Remote_Delay</t>
  </si>
  <si>
    <t>p_n_Tailgate_Speed_Threshold</t>
  </si>
  <si>
    <t>p_t_Tailgate_Release_After_Close</t>
  </si>
  <si>
    <t>p_t_WW_Frontwashing_Wiping_Delay</t>
  </si>
  <si>
    <t>p_n_WW_Washer_Wiper_Extra</t>
  </si>
  <si>
    <t>p_t_WW_Wash_Pumpe_Switch_Implausible</t>
  </si>
  <si>
    <t>p_t_Key_Resync_Double_Press_Delay_Time</t>
  </si>
  <si>
    <t>p_n_Active_RF_Header</t>
  </si>
  <si>
    <t>p_t_EL_Turnlight_Overswing</t>
  </si>
  <si>
    <t>p_n_EL_Direction_Light_Comfort_Flash_Cycle</t>
  </si>
  <si>
    <t>p_t_EL_Direction_Light_Comfort_Request</t>
  </si>
  <si>
    <t>p_t_EL_HazardWarning_With_IGN_OnTime_1</t>
  </si>
  <si>
    <t>p_t_EL_HazardWarning_With_IGN_OffTime_1</t>
  </si>
  <si>
    <t>p_t_EL_HazardWarning_With_IGN_OnTime_2</t>
  </si>
  <si>
    <t>p_t_EL_HazardWarning_With_IGN_OffTime_2</t>
  </si>
  <si>
    <t>p_t_EL_HazardWarning_Without_IGN_OnTime_1</t>
  </si>
  <si>
    <t>p_t_EL_HazardWarning_Without_IGN_OffTime_1</t>
  </si>
  <si>
    <t>p_t_EL_HazardWarning_Without_IGN_OnTime_2</t>
  </si>
  <si>
    <t>p_t_EL_HazardWarning_Without_IGN_OffTime_2</t>
  </si>
  <si>
    <t>p_t_EL_Crash_Flashing_Ontime</t>
  </si>
  <si>
    <t>p_t_EL_Crash_Flashing_Offtime</t>
  </si>
  <si>
    <t>p_t_EL_cdl_Confirm_Flashing_Ontime</t>
  </si>
  <si>
    <t>p_t_EL_cdl_Confirm_Flashing_Offtime</t>
  </si>
  <si>
    <t>p_t_EL_Emergency_Brake_Flashing_Ontime</t>
  </si>
  <si>
    <t>p_t_EL_Emergency_Brake_Flashing_Offtime</t>
  </si>
  <si>
    <t>p_n_EL_CDL_Lock_Flashing_Cycle</t>
  </si>
  <si>
    <t>p_n_EL_CDL_Unlock_Flashing_Cycle</t>
  </si>
  <si>
    <t>p_n_EL_Vehicle_Seek_Flashing_Cycle</t>
  </si>
  <si>
    <t>p_t_EL_Vehicle_Seek_Flashing_Ontime</t>
  </si>
  <si>
    <t>p_t_EL_Vehicle_Seek_Flashing_Offtime</t>
  </si>
  <si>
    <t>p_n_EL_UID_Learnt_Flashing_Cycle</t>
  </si>
  <si>
    <t>p_t_EL_UID_Learn_Flashing_Ontime</t>
  </si>
  <si>
    <t>p_t_EL_UID_Learn_Flashing_Offtime</t>
  </si>
  <si>
    <t>p_t_EL_High_Beam_Output_Short2Batt</t>
  </si>
  <si>
    <t>p_t_EL_Exit_Coming_Home_Light</t>
  </si>
  <si>
    <t>p_t_EL_Coming_Home_Ligh_Factory</t>
  </si>
  <si>
    <t>p_t_EL_Coming_Home_Light</t>
  </si>
  <si>
    <t>p_n_PWL_Working_Volt_Lo</t>
  </si>
  <si>
    <t>p_n_PWL_Working_Volt_Hi</t>
  </si>
  <si>
    <t>p_t_Front_Window_Max_Movement_Time</t>
  </si>
  <si>
    <t>p_t_Rear_Window_Max_Movement_Time</t>
  </si>
  <si>
    <t>p_t_CDL_Confirmation_ON_Time</t>
  </si>
  <si>
    <t>p_t_CDL_Confirmation_OFF_Time</t>
  </si>
  <si>
    <t>p_t_Vehicle_Seeking_ON_Time</t>
  </si>
  <si>
    <t>p_t_Vehicle_Seeking_OFF_Time</t>
  </si>
  <si>
    <t>p_n_Acoustic_Vehicle_Seek_Counter</t>
  </si>
  <si>
    <t>p_t_Roof_Light_Dim_In</t>
  </si>
  <si>
    <t>p_t_Roof_Light_Short</t>
  </si>
  <si>
    <t>p_t_Roof_Light_Long</t>
  </si>
  <si>
    <t>p_t_Battery_Saver</t>
  </si>
  <si>
    <t>p_n_Roof_Light_Frequency</t>
  </si>
  <si>
    <t>min(Minute)</t>
  </si>
  <si>
    <t>Hz</t>
  </si>
  <si>
    <t>p_t_Generic_LED_Short_Diag: Duration for LED Output Short Circuit Generic Diagnose</t>
  </si>
  <si>
    <t>p_t_Generic_LED_Open_Diag: Duration for LED Output Open Load Generic Diagnose</t>
  </si>
  <si>
    <t>p_t_CDL_Sleep_At_No_Closed: how soon BCM can sleep in case not closed or not locked</t>
  </si>
  <si>
    <t>p_t_CDL_Motor_Act_9V: The Motro Activation time for CDL lock unlock at volts 9V--11.5V</t>
  </si>
  <si>
    <t>p_t_CDL_Motor_Act_12V: The Motro Activation time for CDL lock unlock at volts 11.5V--14V</t>
  </si>
  <si>
    <t>p_t_CDL_Motor_Act_14V: The Motro Activation time for CDL lock unlock at volts 14V--16V</t>
  </si>
  <si>
    <t>p_t_CDL_Motor_Calm_Down: Waitting time for CDL Motors cool down, and signaling</t>
  </si>
  <si>
    <t>p_t_CDL_Lock_Blockade: The interval time for lock/unlock by Door Lock Status[default 150; 0..254; res.: 10ms]</t>
  </si>
  <si>
    <t>p_n_CDL_Ext_Trigger_Threshold: The vehicle speed threshold for lock/unlock by external trigger</t>
  </si>
  <si>
    <t>p_t_Debounce_Door_Contact: additional debounce time for door lock status change</t>
  </si>
  <si>
    <t>p_n_CDL_Protection_Motor_ON: The count upper limit for Lock Motor protection</t>
  </si>
  <si>
    <t>p_t_Tailgate_Remote_Delay: The hold time for release tailgate.</t>
  </si>
  <si>
    <t>p_t_Tailgate_Release_After_Close: time allow to open tailgate by release switch, after close.</t>
  </si>
  <si>
    <t>p_t_EL_Turnlight_Overswing: Turn light switch over swing time</t>
  </si>
  <si>
    <t>p_n_EL_Direction_Light_Comfort_Flash_Cycle: Comfort flash cycle</t>
  </si>
  <si>
    <t>p_t_EL_Direction_Light_Comfort_Request: Comfort request time</t>
  </si>
  <si>
    <t>p_t_EL_HazardWarning_With_IGN_OnTime_1: Hazard warning light flashing bright time</t>
  </si>
  <si>
    <t>p_t_EL_HazardWarning_With_IGN_OffTime_1: Hazard warning light flashing dark time</t>
  </si>
  <si>
    <t>p_t_EL_HazardWarning_With_IGN_OnTime_2: Hazard warning light flashing bright time</t>
  </si>
  <si>
    <t>p_t_EL_HazardWarning_With_IGN_OffTime_2: Hazard warning light flashing dark time</t>
  </si>
  <si>
    <t>p_t_EL_HazardWarning_Without_IGN_OnTime_1: Hazard warning light flashing bright time</t>
  </si>
  <si>
    <t>p_t_EL_HazardWarning_Without_IGN_OffTime_1: Hazard warning light flashing dark time</t>
  </si>
  <si>
    <t>p_t_EL_HazardWarning_Without_IGN_OnTime_2: Hazard warning light flashing bright time</t>
  </si>
  <si>
    <t>p_t_EL_HazardWarning_Without_IGN_OffTime_2: Hazard warning light flashing dark time</t>
  </si>
  <si>
    <t>p_t_EL_Crash_Flashing_Ontime: Crash warning light flashing bright time</t>
  </si>
  <si>
    <t>p_t_EL_Emergency_Brake_Flashing_Ontime: Emergency brake flashing bright time</t>
  </si>
  <si>
    <t>p_n_EL_CDL_Lock_Flashing_Cycle: CDL confirmation flashing times</t>
  </si>
  <si>
    <t>p_n_EL_CDL_Unlock_Flashing_Cycle: CDL confirmation flashing times</t>
  </si>
  <si>
    <t>p_t_EL_High_Beam_Output_Short2Batt: time duration for short to battery fault</t>
  </si>
  <si>
    <t>p_t_EL_Exit_Coming_Home_Light: The coming home light turn on time.</t>
  </si>
  <si>
    <t>p_t_EL_Coming_Home_Ligh_Factory: Vehicle in factory factory mode,Coming home function active time.</t>
  </si>
  <si>
    <t>p_t_EL_Coming_Home_Light: Coming home light function</t>
  </si>
  <si>
    <t>p_t_CDL_Confirmation_ON_Time: time of horn STATE_ON for CDL confirmation</t>
  </si>
  <si>
    <t>p_t_CDL_Confirmation_OFF_Time: time of horn STATE_OFF for CDL confirmation</t>
  </si>
  <si>
    <t>p_t_Vehicle_Seeking_ON_Time: time of horn STATE_ON for vehicle seeking</t>
  </si>
  <si>
    <t>p_t_Vehicle_Seeking_OFF_Time: time of horn STATE_OFF for vehicle seeking</t>
  </si>
  <si>
    <t>p_n_Acoustic_Vehicle_Seek_Counter: Config the vehicle seek acoustic effect cycles</t>
  </si>
  <si>
    <t>p_t_Roof_Light_Short: The short activation time roof light</t>
  </si>
  <si>
    <t>p_t_Roof_Light_Long: The long activation time roof light</t>
  </si>
  <si>
    <t>p_t_Battery_Saver: The activate time of battery saver before BCM deep sleep</t>
  </si>
  <si>
    <t>p_n_Roof_Light_Frequency: The Frequency of Roof Light Dimming</t>
  </si>
  <si>
    <t>p_t_Prearm_Delay_Time</t>
  </si>
  <si>
    <t>p_t_Alarm_IMMO_Auth_Fail_Delay</t>
  </si>
  <si>
    <t>p_t_Alarming_Cycle_Time</t>
  </si>
  <si>
    <t>p_t_Acoustical_Alarm_Time</t>
  </si>
  <si>
    <t>p_t_Security_LED_Quick_Flash_ON</t>
  </si>
  <si>
    <t>p_t_Security_LED_Quick_Flash_OFF</t>
  </si>
  <si>
    <t>p_t_Security_LED_Slow_Flash_ON</t>
  </si>
  <si>
    <t>p_t_Security_LED_Slow_Flash_OFF</t>
  </si>
  <si>
    <t>p_t_Start_Switch_Stuck_Time</t>
  </si>
  <si>
    <t>p_n_Mirror_Unfold_Vehicle_Speed_Threshold</t>
  </si>
  <si>
    <t>p_t_Mirror_Output</t>
  </si>
  <si>
    <t>p_t_RD_Heat_Maximum_Time</t>
  </si>
  <si>
    <t>p_t_Roof_Light_Dim_Out</t>
  </si>
  <si>
    <t>p_n_Acoustic_Reverse_Unlock_Counter</t>
  </si>
  <si>
    <t>p_t_Acoustic_Reverse_Unlock_Cycle</t>
  </si>
  <si>
    <t>p_t_Remind_Delay_Time</t>
  </si>
  <si>
    <t>p_t_Wiper_Move_Central_Position</t>
  </si>
  <si>
    <t>p_t_Prearm_Delay_Time: Indicate the time atws stay in pre armed time. ATWS can go to Armed state if this time is out.</t>
  </si>
  <si>
    <t>p_t_Alarm_IMMO_Auth_Fail_Delay: The delay time to alarm while the key is input the immo key slot.</t>
  </si>
  <si>
    <t>p_t_Alarming_Cycle_Time: The alarm cycle time when an alarm trig is received.</t>
  </si>
  <si>
    <t>p_t_Acoustical_Alarm_Time: The time of the horn alarming time during a alarming cycle.</t>
  </si>
  <si>
    <t>p_t_Security_LED_Quick_Flash_ON: The LED on time when the ATWS indicator is quick flash</t>
  </si>
  <si>
    <t>p_t_Security_LED_Slow_Flash_ON: The LED on time when the ATWS indicator is slow flash</t>
  </si>
  <si>
    <t>p_t_Acoustic_Reverse_Unlock_Cycle: The time of a cycle of reverse unlock acousitic</t>
  </si>
  <si>
    <t>HPM</t>
  </si>
  <si>
    <t>Tmp</t>
  </si>
  <si>
    <t>c_Reverse_Gear_Input_Type</t>
  </si>
  <si>
    <t>c_Central_Lock_Switch_Type</t>
  </si>
  <si>
    <t>c_Central_Lock_Switch_Input_Type</t>
  </si>
  <si>
    <t>c_Auto_Relock_Enabled</t>
  </si>
  <si>
    <t>c_Auto_Lock_Enabled</t>
  </si>
  <si>
    <t>c_Auto_Unlock_Enabled</t>
  </si>
  <si>
    <t>c_CDL_Ignore_Remote_Enabled</t>
  </si>
  <si>
    <t>c_Mechanical_Lock_Enabled</t>
  </si>
  <si>
    <t>c_CDL_Selective_Unlock_Enabled</t>
  </si>
  <si>
    <t>c_With_Other_Unlock_Control</t>
  </si>
  <si>
    <t>c_cdl_Anti_Lock</t>
  </si>
  <si>
    <t>c_Passenger_Lock_Feedback_Enabled</t>
  </si>
  <si>
    <t>c_External_Lock_Enabled</t>
  </si>
  <si>
    <t>c_Tailgate_Output_Type</t>
  </si>
  <si>
    <t>c_Remote_At_Ignition_Enable</t>
  </si>
  <si>
    <t>c_Tailgate_Part_Of_CDL</t>
  </si>
  <si>
    <t>c_Tailgate_Direct_Release</t>
  </si>
  <si>
    <t>c_Tailgate_Release_Remote</t>
  </si>
  <si>
    <t>c_Tailgate_Release_Switch_Enabled</t>
  </si>
  <si>
    <t>c_Tailgate_Internal_Button_Enabled</t>
  </si>
  <si>
    <t>c_Tailgate_Release_After_External_Lock</t>
  </si>
  <si>
    <t>c_Tailgate_Security_Lock_Enabled</t>
  </si>
  <si>
    <t>c_CDL_Indicator_Output_Enabled</t>
  </si>
  <si>
    <t>c_Tailgate_Release_Switch_Input</t>
  </si>
  <si>
    <t>c_Reverse_Unlock_Enabled</t>
  </si>
  <si>
    <t>c_WW_Washer_Nozzle_On_Engine_Hood</t>
  </si>
  <si>
    <t>c_WW_Washer_Control</t>
  </si>
  <si>
    <t>c_WW_Wiper_Power_Supply</t>
  </si>
  <si>
    <t>c_Rear_Wiper_Enabled</t>
  </si>
  <si>
    <t>c_WW_Int_Wiper_Enabled</t>
  </si>
  <si>
    <t>c_Rear_Washer_Enabled</t>
  </si>
  <si>
    <t>c_RF_In_BCM</t>
  </si>
  <si>
    <t>c_RF_Enable_In_Transport</t>
  </si>
  <si>
    <t>c_Passive_Function_Enabled</t>
  </si>
  <si>
    <t>c_Double_Press_RKE_Resync_Enabled</t>
  </si>
  <si>
    <t>c_Vehicle_Seek_Enabled</t>
  </si>
  <si>
    <t>c_UID_Low_Bat_Warning_Enabled</t>
  </si>
  <si>
    <t>c_Rooflight_With_Tailgate</t>
  </si>
  <si>
    <t>c_Roof_Light_Dim_IC_Set_Enable</t>
  </si>
  <si>
    <t>c_Roof_Light_By_Battery_Saver</t>
  </si>
  <si>
    <t>c_Battery_Saver_Wake_Enabled</t>
  </si>
  <si>
    <t>c_Battery_Saver_For_Engine_Hood</t>
  </si>
  <si>
    <t>c_Roof_Light_For_Transport_Mode</t>
  </si>
  <si>
    <t>c_Horn_Output_Relay_Type</t>
  </si>
  <si>
    <t>c_Acoustic_Reverse_Unlock_Enable</t>
  </si>
  <si>
    <t>c_KRM_Horn_Indication_Enabled</t>
  </si>
  <si>
    <t>c_EL_DRL_Driver_Type</t>
  </si>
  <si>
    <t>c_EL_Direction_Light_Comfort_Enabled</t>
  </si>
  <si>
    <t>c_EL_CDL_Flash_Enabled</t>
  </si>
  <si>
    <t>c_EL_Vehicle_Seek_Flash_Enabled</t>
  </si>
  <si>
    <t>c_EL_Panic_Flash_Enabled</t>
  </si>
  <si>
    <t>c_EL_UID_Learn_Flash_Enabled</t>
  </si>
  <si>
    <t>c_EL_Daytime_Running_Light_Enabled: Configration for DRL function (FALSE = 0; TRUE = 1)</t>
  </si>
  <si>
    <t>c_EL_Emergency_Brake_Flash_Enabled</t>
  </si>
  <si>
    <t>c_EL_Leaving_Home_Light_Enabled</t>
  </si>
  <si>
    <t>c_EL_Coming_Home_Light_Manual</t>
  </si>
  <si>
    <t>c_EL_Coming_Home_Light_Auto</t>
  </si>
  <si>
    <t>c_EL_Daytime_Running_Light_Enabled</t>
  </si>
  <si>
    <t>c_EL_Rear_Fog_Switch_Type</t>
  </si>
  <si>
    <t>c_EL_ATWS_Flash_Enabled</t>
  </si>
  <si>
    <t>c_EL_Hazard_Switch_Type</t>
  </si>
  <si>
    <t>c_EL_Front_Fog_Enabled</t>
  </si>
  <si>
    <t>c_Power_Window_Post_Carriage_Enabled</t>
  </si>
  <si>
    <t>c_PWL_Global_Open_Via_RKE_Enabled</t>
  </si>
  <si>
    <t>c_PWL_Global_Close_Via_RKE_Enabled</t>
  </si>
  <si>
    <t>c_PWL_Enabled</t>
  </si>
  <si>
    <t>c_Power_Window_Two_Stage_Down_Switch_Enabled</t>
  </si>
  <si>
    <t>c_ATWS_Warning_Enabled</t>
  </si>
  <si>
    <t>c_Security_Indicator_Enabled</t>
  </si>
  <si>
    <t>c_Mirror_FoldUnfold_Enabled</t>
  </si>
  <si>
    <t>c_Mirror_IgnOn_Unfold_Enabled</t>
  </si>
  <si>
    <t>c_Mirror_External_FldUfld_Enabled</t>
  </si>
  <si>
    <t>c_Rear_Window_Heat_Time_Restrict</t>
  </si>
  <si>
    <t>c_EL_Daytime_Running_Light_Controled_By_Turn_Light</t>
  </si>
  <si>
    <t>F01</t>
  </si>
  <si>
    <t>ActiveLevel_KeyInOutSwitch</t>
  </si>
  <si>
    <t>ActiveLevel_StartSwitch</t>
  </si>
  <si>
    <t>ActiveLevel_BrakeSwitch</t>
  </si>
  <si>
    <t>ActiveLevel_WiperFrontIntAutoSwitch</t>
  </si>
  <si>
    <t>ActiveLevel_RearWasherSwitch</t>
  </si>
  <si>
    <t>ActiveLevel_RearWiperSwitch</t>
  </si>
  <si>
    <t>ActiveLevel_WiperFrontHighSwitch</t>
  </si>
  <si>
    <t>ActiveLevel_WiperFrontLowSwitch</t>
  </si>
  <si>
    <t>IC710_Over_Voltage_Lock_Out</t>
  </si>
  <si>
    <t>ActiveLevel_IC710_1_FrontFogLeft</t>
  </si>
  <si>
    <t>ActiveLevel_IC710_2_RearDefogger</t>
  </si>
  <si>
    <t>ActiveLevel_IC710_3_Frontwasher</t>
  </si>
  <si>
    <t>ActiveLevel_IC710_4_RearWiper</t>
  </si>
  <si>
    <t>ActiveLevel_IC710_5_RearWasher</t>
  </si>
  <si>
    <t>ActiveLevel_IC710_6_IMMOIndicator</t>
  </si>
  <si>
    <t>NCV7728_Under_load_Detection_Shutdown_Control</t>
  </si>
  <si>
    <t>IC710_Over_Voltage_Lock_Out: Keep 1</t>
  </si>
  <si>
    <t>NCV7728_Under_load_Detection_Shutdown_Control: 1: Enable 0: Disable</t>
  </si>
  <si>
    <t>1: KeyInOutSwitch low active, 0: KeyInOutSwitch high active</t>
  </si>
  <si>
    <t>1: StartSwitch low active, 0: StartSwitch high active</t>
  </si>
  <si>
    <t>1: BrakeSwitch low active, 0: BrakeSwitch high active</t>
  </si>
  <si>
    <t>1: WiperFrontIntAutoSwitch low active, 0: WiperFrontIntAutoSwitch high active</t>
  </si>
  <si>
    <t>1: RearWasherSwitch low active, 0: RearWasherSwitch high active</t>
  </si>
  <si>
    <t>1: RearWiperSwitch low active, 0: RearWiperSwitch high active</t>
  </si>
  <si>
    <t>1: WiperFrontHighSwitch low active, 0: WiperFrontHighSwitch high active</t>
  </si>
  <si>
    <t>1: WiperFrontLowSwitch low active, 0: WiperFrontLowSwitch high active</t>
  </si>
  <si>
    <t>1: FrontFogLeft high active, 0: FrontFogLeft low active</t>
  </si>
  <si>
    <t>1: RearDefogger high active, 0: RearDefogger low active</t>
  </si>
  <si>
    <t>1: Frontwasher high active, 0: Frontwasher low active</t>
  </si>
  <si>
    <t>1: RearWiper high active, 0: RearWiper low active</t>
  </si>
  <si>
    <t>1: RearWasher high active, 0: RearWasher low active</t>
  </si>
  <si>
    <t>1: IMMOIndicator high active, 0: IMMOIndicator low active</t>
  </si>
  <si>
    <t>End of ECU_State</t>
  </si>
  <si>
    <t>2FF</t>
  </si>
  <si>
    <t>End of ASILAParameter</t>
  </si>
  <si>
    <t>p_n_VBAT_Diag_Volt_Lo: low threshold of diagnostic volatge.</t>
  </si>
  <si>
    <t>p_n_VBAT_Diag_Volt_Hi: high threshold of diagnostic voltage.</t>
  </si>
  <si>
    <t>p_t_VBAT_Under_Volt_Fault_Time: detection time for out of range fault of system volatge.</t>
  </si>
  <si>
    <t>p_t_VBAT_Over_Volt_Fault_Time: detection time for out of range fault of system volatge.</t>
  </si>
  <si>
    <t>p_t_EL_Brake_Light_Processing_Qualification_Interval: The time for brake light process error qualification.</t>
  </si>
  <si>
    <t>p_t_EL_Lowbeam_Light_Processing_Qualification_Interval: time duration to qualify this fault.</t>
  </si>
  <si>
    <t>p_t_PMM_Input_Implausible_Qualification_Time: time duration for qualifying this fault</t>
  </si>
  <si>
    <t>0202</t>
  </si>
  <si>
    <t>NvBlockId_UIDSYNCCounter_1</t>
  </si>
  <si>
    <t>NvBlockId_UIDSYNCCounter_2</t>
  </si>
  <si>
    <t>NvBlockId_UIDSYNCCounter_3</t>
  </si>
  <si>
    <t>NvBlockId_UIDSYNCCounter_4</t>
  </si>
  <si>
    <t>NvBlockId_UIDSYNCCounter_5</t>
  </si>
  <si>
    <t>NvBlockId_UIDSYNCCounter_6</t>
  </si>
  <si>
    <t>NvBlockId_UIDSYNCCounter_7</t>
  </si>
  <si>
    <t>NvBlockId_UIDSYNCCounter_8</t>
  </si>
  <si>
    <t>NvBlockId_UIDSYNCCounter_9</t>
  </si>
  <si>
    <t>NvBlockId_UIDSYNCCounter_10</t>
  </si>
  <si>
    <t>NvBlockId_UIDSYNCCounter_11</t>
  </si>
  <si>
    <t>NvBlockId_UIDSYNCCounter_12</t>
  </si>
  <si>
    <t>NvBlockId_UIDSYNCCounter_13</t>
  </si>
  <si>
    <t>NvBlockId_UIDSYNCCounter_14</t>
  </si>
  <si>
    <t>NvBlockId_UIDSYNCCounter_15</t>
  </si>
  <si>
    <t>NvBlockId_UIDSYNCCounter_16</t>
  </si>
  <si>
    <t>NvBlockId_UIDSYNCCounter_17</t>
  </si>
  <si>
    <t>NvBlockId_UIDSYNCCounter_18</t>
  </si>
  <si>
    <t>NvBlockId_UIDSYNCCounter_19</t>
  </si>
  <si>
    <t>NvBlockId_UIDSYNCCounter_20</t>
  </si>
  <si>
    <t>NvBlockId_UIDTransmitterID_1</t>
  </si>
  <si>
    <t>NvBlockId_UIDTransmitterID_2</t>
  </si>
  <si>
    <t>NvBlockId_UIDTransmitterID_3</t>
  </si>
  <si>
    <t>NvBlockId_UIDTransmitterID_4</t>
  </si>
  <si>
    <t>NvBlockId_UIDTransmitterID_5</t>
  </si>
  <si>
    <t>NvBlockId_UIDTransmitterID_6</t>
  </si>
  <si>
    <t>NvBlockId_UIDTransmitterID_7</t>
  </si>
  <si>
    <t>NvBlockId_UIDTransmitterID_8</t>
  </si>
  <si>
    <t>NvBlockId_UIDTransmitterID_9</t>
  </si>
  <si>
    <t>NvBlockId_UIDTransmitterID_10</t>
  </si>
  <si>
    <t>NvBlockId_UIDTransmitterID_11</t>
  </si>
  <si>
    <t>NvBlockId_UIDTransmitterID_12</t>
  </si>
  <si>
    <t>NvBlockId_UIDTransmitterID_13</t>
  </si>
  <si>
    <t>NvBlockId_UIDTransmitterID_14</t>
  </si>
  <si>
    <t>NvBlockId_UIDTransmitterID_15</t>
  </si>
  <si>
    <t>NvBlockId_UIDTransmitterID_16</t>
  </si>
  <si>
    <t>NvBlockId_UIDTransmitterID_17</t>
  </si>
  <si>
    <t>NvBlockId_UIDTransmitterID_18</t>
  </si>
  <si>
    <t>NvBlockId_UIDTransmitterID_19</t>
  </si>
  <si>
    <t>NvBlockId_UIDTransmitterID_20</t>
  </si>
  <si>
    <t>NvBlockId_SKC_1</t>
  </si>
  <si>
    <t>NvBlockId_SKC_2</t>
  </si>
  <si>
    <t>NvBlockId_SKC_3</t>
  </si>
  <si>
    <t>NvBlockId_SKC_4</t>
  </si>
  <si>
    <t>NvBlockId_SKC_5</t>
  </si>
  <si>
    <t>NvBlockId_SKC_6</t>
  </si>
  <si>
    <t>NvBlockId_SKC_7</t>
  </si>
  <si>
    <t>NvBlockId_SKC_8</t>
  </si>
  <si>
    <t>NvBlockId_SKC_9</t>
  </si>
  <si>
    <t>NvBlockId_SKC_10</t>
  </si>
  <si>
    <t>NvBlockId_SKC_11</t>
  </si>
  <si>
    <t>NvBlockId_SKC_12</t>
  </si>
  <si>
    <t>NvBlockId_SKC_13</t>
  </si>
  <si>
    <t>NvBlockId_SKC_14</t>
  </si>
  <si>
    <t>NvBlockId_SKC_15</t>
  </si>
  <si>
    <t>NvBlockId_SKC_16</t>
  </si>
  <si>
    <t>NvBlockId_SC_1</t>
  </si>
  <si>
    <t>NvBlockId_SC_2</t>
  </si>
  <si>
    <t>NvBlockId_SC_3</t>
  </si>
  <si>
    <t>NvBlockId_SC_4</t>
  </si>
  <si>
    <t>0002</t>
  </si>
  <si>
    <t>0003</t>
  </si>
  <si>
    <t>0004</t>
  </si>
  <si>
    <t>0005</t>
  </si>
  <si>
    <t>0006</t>
  </si>
  <si>
    <t>0007</t>
  </si>
  <si>
    <t>0008</t>
  </si>
  <si>
    <t>0009</t>
  </si>
  <si>
    <t>000A</t>
  </si>
  <si>
    <t>000B</t>
  </si>
  <si>
    <t>000C</t>
  </si>
  <si>
    <t>000D</t>
  </si>
  <si>
    <t>000E</t>
  </si>
  <si>
    <t>000F</t>
  </si>
  <si>
    <t>0010</t>
  </si>
  <si>
    <t>End of SKC</t>
  </si>
  <si>
    <t>0FF</t>
  </si>
  <si>
    <t>0102</t>
  </si>
  <si>
    <t>0103</t>
  </si>
  <si>
    <t>0104</t>
  </si>
  <si>
    <t>End of SC</t>
  </si>
  <si>
    <t>1FF</t>
  </si>
  <si>
    <t>0402</t>
  </si>
  <si>
    <t>0403</t>
  </si>
  <si>
    <t>0404</t>
  </si>
  <si>
    <t>0405</t>
  </si>
  <si>
    <t>0406</t>
  </si>
  <si>
    <t>0407</t>
  </si>
  <si>
    <t>0408</t>
  </si>
  <si>
    <t>0409</t>
  </si>
  <si>
    <t>040A</t>
  </si>
  <si>
    <t>040B</t>
  </si>
  <si>
    <t>040C</t>
  </si>
  <si>
    <t>040D</t>
  </si>
  <si>
    <t>040E</t>
  </si>
  <si>
    <t>040F</t>
  </si>
  <si>
    <t>0410</t>
  </si>
  <si>
    <t>0411</t>
  </si>
  <si>
    <t>0412</t>
  </si>
  <si>
    <t>0413</t>
  </si>
  <si>
    <t>0414</t>
  </si>
  <si>
    <t>End of UIDTransmitterID</t>
  </si>
  <si>
    <t>4FF</t>
  </si>
  <si>
    <t>End of ASILBParameter</t>
  </si>
  <si>
    <t>Byte0 Name</t>
  </si>
  <si>
    <t>Byte1 Name</t>
  </si>
  <si>
    <t>Byte2 Name</t>
  </si>
  <si>
    <t>Byte3 Name</t>
  </si>
  <si>
    <t>Byte4 Name</t>
  </si>
  <si>
    <t>Byte5 Name</t>
  </si>
  <si>
    <t>Byte6 Name</t>
  </si>
  <si>
    <t>Byte7 Name</t>
  </si>
  <si>
    <t>End of UIDSYNCCounter</t>
  </si>
  <si>
    <t>NonASILParameter</t>
  </si>
  <si>
    <t>CodingHella</t>
  </si>
  <si>
    <t>CodingGeely</t>
  </si>
  <si>
    <t>C01</t>
  </si>
  <si>
    <t>CodingUser</t>
  </si>
  <si>
    <t xml:space="preserve">p_t_WW_Wiper_Motor_Blocked: </t>
  </si>
  <si>
    <t xml:space="preserve">p_t_WW_Front_Park_Detect: </t>
  </si>
  <si>
    <t>p_n_VBAT_Working_Volt_Over</t>
  </si>
  <si>
    <t>p_n_PMM_Vehicle_Speed_Lo</t>
  </si>
  <si>
    <t>p_n_VBAT_Working_Volt_2_Lo: low threshold value of system voltage 1.</t>
  </si>
  <si>
    <t>p_n_VBAT_Working_Volt_2_Hi: high threshold value of system voltage 1.</t>
  </si>
  <si>
    <t>p_n_VBAT_Working_Volt_Over: high threshold value of system voltage 1.</t>
  </si>
  <si>
    <t>p_n_PMM_Vehicle_Speed_Lo: The lowest vehicle speed request for the power mode is IGN_ON or CRANK.</t>
  </si>
  <si>
    <t>p_n_PMM_Vehicle_Speed_Hi: The highest for the vehicle speed.</t>
  </si>
  <si>
    <t>p_t_Crash_Startup: The Start time of HW Crash signal</t>
  </si>
  <si>
    <t xml:space="preserve">p_t_Generic_Mosfet_Open_Diag: </t>
  </si>
  <si>
    <t xml:space="preserve">p_t_Generic_Mosfet_Short_Diag: </t>
  </si>
  <si>
    <t>p_t_EL_cdl_Confirm_Flashing_Ontime: CDL Unlock confirmation flashing bright time</t>
  </si>
  <si>
    <t>p_t_EL_cdl_Confirm_Flashing_Offtime: CDL Unlock confirmation flashing dark time</t>
  </si>
  <si>
    <t>p_t_EL_cdl_Lock_Flashing_Ontime: CDL lock confirmation flashing bright time</t>
  </si>
  <si>
    <t>p_t_EL_cdl_Lock_Flashing_Offtime: CDL Lock confirmation flashing dark time</t>
  </si>
  <si>
    <t>p_t_Footwell_Light_Open: The long activation time Footwell lamp</t>
  </si>
  <si>
    <t>p_t_Footwell_Light_Close: The short activation time roof light</t>
  </si>
  <si>
    <t>p_t_Roof_Light_Dim_In: The fading On time of roof light</t>
  </si>
  <si>
    <t>p_t_Roof_Light_Dim_Out: The fading OFF time of roof light</t>
  </si>
  <si>
    <t xml:space="preserve">p_n_Mirror_Unfold_Vehicle_Speed_Threshold: </t>
  </si>
  <si>
    <t xml:space="preserve">p_t_Mirror_Output: </t>
  </si>
  <si>
    <t xml:space="preserve">p_t_WW_Frontwashing_Wiping_Delay: </t>
  </si>
  <si>
    <t xml:space="preserve">p_n_WW_Washer_Wiper_Extra: </t>
  </si>
  <si>
    <t xml:space="preserve">p_t_WW_Wash_Pumpe_Switch_Implausible: </t>
  </si>
  <si>
    <t xml:space="preserve">p_t_Wiper_Move_Central_Position: </t>
  </si>
  <si>
    <t xml:space="preserve">p_t_Rear_Wiper_By_Washer_Additional: </t>
  </si>
  <si>
    <t xml:space="preserve">p_t_Rear_Wiper_Int_Idle: </t>
  </si>
  <si>
    <t xml:space="preserve">p_t_Rear_Wiper_by_Reverse_Gear_Wait: </t>
  </si>
  <si>
    <t xml:space="preserve">p_t_Rear_Wiper_Tailgate_Close_Delay: </t>
  </si>
  <si>
    <t xml:space="preserve">p_t_RD_Heat_Maximum_Time: </t>
  </si>
  <si>
    <t>p_t_Start_Switch_Stuck_Time: The maximum time of start switch active</t>
  </si>
  <si>
    <t>p_n_PWL_Working_Volt_Lo: The low voltage Power window shall work normal.</t>
  </si>
  <si>
    <t>p_n_PWL_Working_Volt_Hi: The high voltage Power window shall work normal.</t>
  </si>
  <si>
    <t>p_t_Front_Window_Max_Movement_Time: The front window maximum move up or down time.</t>
  </si>
  <si>
    <t>p_t_Rear_Window_Max_Movement_Time: The rear window maximum move up or down time.</t>
  </si>
  <si>
    <t>p_t_Window_Max_Auto_Move_Down_Time: Maximum windows auto down time.</t>
  </si>
  <si>
    <t>p_t_Key_Resync_Double_Press_Delay_Time: Intervel time of Double press for the RKE Resynchronization</t>
  </si>
  <si>
    <t>p_n_Active_RF_Header: The header of the active message</t>
  </si>
  <si>
    <t>p_t_Lock_CMD_Delay: The lock action delay time after lock command from RKE</t>
  </si>
  <si>
    <t>p_t_Mute_Alarm: The RKE press time on the Tailgate release button to active the tailgate release</t>
  </si>
  <si>
    <t>p_n_Maxmimum_RKE_Learning_Number: The maximum learnt RKE number</t>
  </si>
  <si>
    <t>p_t_Acoustic_Reminder_Cycle: The whole time of a cycle horn output required by reminder.</t>
  </si>
  <si>
    <t>p_t_Reminder_ON_Time: The horn output time a counter.</t>
  </si>
  <si>
    <t>p_t_Reminder_OFF_Time: The horn OFF time in a coutner</t>
  </si>
  <si>
    <t>p_t_Crash_Startup</t>
  </si>
  <si>
    <t>p_t_EL_cdl_Lock_Flashing_Ontime</t>
  </si>
  <si>
    <t>p_t_EL_cdl_Lock_Flashing_Offtime</t>
  </si>
  <si>
    <t>p_t_Footwell_Light_Open</t>
  </si>
  <si>
    <t>p_t_Footwell_Light_Close</t>
  </si>
  <si>
    <t>p_t_Rear_Wiper_By_Washer_Additional</t>
  </si>
  <si>
    <t>p_t_Rear_Wiper_Int_Idle</t>
  </si>
  <si>
    <t>p_t_Rear_Wiper_by_Reverse_Gear_Wait</t>
  </si>
  <si>
    <t>p_t_Rear_Wiper_Tailgate_Close_Delay</t>
  </si>
  <si>
    <t>p_t_Window_Max_Auto_Move_Down_Time</t>
  </si>
  <si>
    <t>p_t_Window_Motor_Start_Currnt_Delay</t>
  </si>
  <si>
    <t>p_t_Lock_CMD_Delay</t>
  </si>
  <si>
    <t>p_t_Remote_Tailgate_Active</t>
  </si>
  <si>
    <t>p_t_RKE_Learning_Max_Time</t>
  </si>
  <si>
    <t>p_n_RKE_Customer_ID</t>
  </si>
  <si>
    <t>p_t_Mute_Alarm</t>
  </si>
  <si>
    <t>p_n_Maxmimum_RKE_Learning_Number</t>
  </si>
  <si>
    <t>p_n_Acoustic_Reminder_Counter</t>
  </si>
  <si>
    <t>p_t_Acoustic_Reminder_Cycle</t>
  </si>
  <si>
    <t>p_t_Reminder_ON_Time</t>
  </si>
  <si>
    <t>p_t_Reminder_OFF_Time</t>
  </si>
  <si>
    <t>c_ESS_Enabled</t>
  </si>
  <si>
    <t>c_PWL_Drv_Switch_Request_From_LIN</t>
  </si>
  <si>
    <t>c_PWL_CoDrv_Switch_Request_From_LIN</t>
  </si>
  <si>
    <t>c_PWL_RL_Switch_Request_From_LIN</t>
  </si>
  <si>
    <t>c_PWL_RR_Switch_Request_From_LIN</t>
  </si>
  <si>
    <t>c_PWL_Drv_Window_Controlled_Via_BCM</t>
  </si>
  <si>
    <t>c_PWL_CoDrv_Window_Controlled_Via_BCM</t>
  </si>
  <si>
    <t>c_PWL_RL_Window_Controlled_Via_BCM</t>
  </si>
  <si>
    <t>c_PWL_RR_Window_Controlled_Via_BCM</t>
  </si>
  <si>
    <t>c_Cruise_Interface_Enabled</t>
  </si>
  <si>
    <t>c_Adaptive_Cruise_Interface_Enabled</t>
  </si>
  <si>
    <t>c_Acoustic_Reminder_Enable</t>
  </si>
  <si>
    <t>c_Key_RF_Learning_Enable</t>
  </si>
  <si>
    <t>c_Footwell_Lamp_Enabled</t>
  </si>
  <si>
    <t>c_Sunroof_LIN_Control_Enable</t>
  </si>
  <si>
    <t>c_EPB_Indicator_Control_Enabled</t>
  </si>
  <si>
    <t>c_ECO_Mode_Enabled</t>
  </si>
  <si>
    <t>c_SPORT_Mode_Enabled</t>
  </si>
  <si>
    <t>c_ATWS_Horn_Enabled</t>
  </si>
  <si>
    <t>c_ATWS_Horn_Enabled: Configurate if the horn is on for ATWS Alarm (FALSE = 0; TRUE = 1)</t>
  </si>
  <si>
    <t>c_Mirror_External_FldUfld_Enabled:  (UNCODED = 0; CODED = 1)</t>
  </si>
  <si>
    <t>dummy_b_16</t>
  </si>
  <si>
    <t>dummy_b_17</t>
  </si>
  <si>
    <t>dummy_b_18</t>
  </si>
  <si>
    <t>dummy_b_19</t>
  </si>
  <si>
    <t>dummy_b_20</t>
  </si>
  <si>
    <t>dummy_b_21</t>
  </si>
  <si>
    <t>dummy_b_22</t>
  </si>
  <si>
    <t>dummy_b_23</t>
  </si>
  <si>
    <t>dummy_b_24</t>
  </si>
  <si>
    <t>dummy_b_25</t>
  </si>
  <si>
    <t>Byte8 Name</t>
  </si>
  <si>
    <t>Byte9 Name</t>
  </si>
  <si>
    <t>Byte10 Name</t>
  </si>
  <si>
    <t>Byte11 Name</t>
  </si>
  <si>
    <t>Byte12 Name</t>
  </si>
  <si>
    <t>Byte13 Name</t>
  </si>
  <si>
    <t>Byte14 Name</t>
  </si>
  <si>
    <t>Byte15 Name</t>
  </si>
  <si>
    <t>End of NonASILParameter</t>
  </si>
  <si>
    <t>DynamicDataGroup1</t>
  </si>
  <si>
    <t>NVM_EMS_AUTH_FAILED_COUNT</t>
  </si>
  <si>
    <t>NVM_UID_IN_CAR</t>
  </si>
  <si>
    <t>NVM_UIDL_SC_INHIBIT</t>
  </si>
  <si>
    <t>NVM_DIAGNOSTIC_INHIBIT</t>
  </si>
  <si>
    <t>NVM_ECUL_SC_INHIBIT</t>
  </si>
  <si>
    <t>NVM_ECUL_STAT_CHANGE_LOCK</t>
  </si>
  <si>
    <t>NVM_FREE_START_COUNT</t>
  </si>
  <si>
    <t>The failure count of EMS Authentication</t>
  </si>
  <si>
    <t>Quantity of UID which in the car</t>
  </si>
  <si>
    <t>SC check is forbidden</t>
  </si>
  <si>
    <t>Diagnostic service security check is forbidden</t>
  </si>
  <si>
    <t>Relearning SC check is forbidden</t>
  </si>
  <si>
    <t>Learning status change of SC check is forbidden</t>
  </si>
  <si>
    <t>The free start count.</t>
  </si>
  <si>
    <t>End of DynamicDataGroup1</t>
  </si>
  <si>
    <t>ActiveLevel_FrontWasherSwitch</t>
  </si>
  <si>
    <t>ActiveLevel_RearWiperIntSwitch</t>
  </si>
  <si>
    <t>1: FrontWasherSwitch low active, 0: FrontWasherSwitch high active</t>
  </si>
  <si>
    <t>1: RearWiperIntSwitch low active, 0: RearWiperIntSwitch high active</t>
  </si>
  <si>
    <t>c_PWL_Block_Warning_Enabled</t>
  </si>
  <si>
    <t>c_PWL_Block_Warning_Enabled: (FALSE=0; TRUE=1)</t>
  </si>
  <si>
    <t>c_Key_In_Reminder_Enabled</t>
  </si>
  <si>
    <t>c_Key_In_Reminder_Type</t>
  </si>
  <si>
    <t>c_WW_Front_Wiper_Wash_Switch_Type</t>
  </si>
  <si>
    <t>c_WW_Rear_Wiper_Wash_Switch_Type</t>
  </si>
  <si>
    <t>p_t_EL_Leaving_Home_Light_Factory</t>
  </si>
  <si>
    <t>p_t_EL_Leaving_Home_Light_Factory: The Leaveing home funciton timer in factory</t>
  </si>
  <si>
    <t>p_n_Hardware_Crash_Active_Cycles</t>
  </si>
  <si>
    <t>p_t_Repeat_Crash_Unlock</t>
  </si>
  <si>
    <t>p_n_Repeat_Crash_Unlock</t>
  </si>
  <si>
    <t>p_n_Hardware_Crash_Active_Cycles: active cycles of hardware crash signal.</t>
  </si>
  <si>
    <t>p_t_Repeat_Crash_Unlock: Interval time for repeat Crash Unlock</t>
  </si>
  <si>
    <t>p_n_Repeat_Crash_Unlock: Repeat times for Crash unlock</t>
  </si>
  <si>
    <t>p_t_Alarm_ON_Time</t>
  </si>
  <si>
    <t>p_t_Disarming_Delay</t>
  </si>
  <si>
    <t>p_n_CDL_Autolock_Threshold</t>
  </si>
  <si>
    <t>p_t_EL_Position_Light_Warning</t>
  </si>
  <si>
    <t>p_t_RM_Keyin_Warning</t>
  </si>
  <si>
    <t>p_t_EL_ATWS_Shift_Flashing_Ontime</t>
  </si>
  <si>
    <t>p_t_EL_ATWS_Shift_Flashing_Offtime</t>
  </si>
  <si>
    <t>p_n_EL_ATWS_Shift_Flashing_Cycle</t>
  </si>
  <si>
    <t>p_t_EL_Remind_Flashing_Ontime</t>
  </si>
  <si>
    <t>p_t_EL_Remind_Flashing_Offtime</t>
  </si>
  <si>
    <t>p_t_EL_Position_Light_For_Vehicle_Seek</t>
  </si>
  <si>
    <t>p_t_EL_Leaving_Home_Light_Additional</t>
  </si>
  <si>
    <t>p_t_EL_Leaving_Home_Light</t>
  </si>
  <si>
    <t>p_t_Rear_Washer_Switch_Stuck_Time</t>
  </si>
  <si>
    <t>p_t_Alarm_OFF_Time : The alarming On time</t>
  </si>
  <si>
    <t>p_t_Alarm_ON_Time: The Alarm Offtime</t>
  </si>
  <si>
    <t>p_t_Security_LED_Quick_Flash_OFF: The LED off  time when the ATWS indicator is quick flash</t>
  </si>
  <si>
    <t>p_t_Security_LED_Slow_Flash_OFF: The LED off  time when the ATWS indicator is slow flash</t>
  </si>
  <si>
    <t>p_t_Internal_UnLock_External_Lock: Maximum interval time  allowed to unlock car from internal after external lock, otherwise not allowed.</t>
  </si>
  <si>
    <t>p_t_CDL_Remote_After_KeyInout_Change: The remote function inhabit time after power mode change or  Key_In_Out Change</t>
  </si>
  <si>
    <t>p_t_Tailgate_Release_Switch: The time allow to release tailgate from release switch in certain condition.</t>
  </si>
  <si>
    <t>p_t_Tailgate_Release_Act_9V: The Motr Activation time for Tailgate release at volts 9V--11.5V</t>
  </si>
  <si>
    <t>p_t_Tailgate_Release_Act_12V: The Motr Activation time for Tailgate release at volts 11.5V--14V</t>
  </si>
  <si>
    <t>p_t_Tailgate_Release_Act_14V: The Motr Activation time for Tailgate release at volts 14V--16V</t>
  </si>
  <si>
    <t>p_n_Tailgate_Speed_Threshold: The speed limits for allow  release tailgate.</t>
  </si>
  <si>
    <t>p_t_Remind_Delay_Time: Indicate the time atws stay in Rermind time. ATWS can go to Partially Armed state if this time is out.
p_t_Remind_Delay_Time must &gt;=(p_t_EL_Remind_Flashing_Ontime+p_t_EL_Remind_Flashing_Offtime) * p_n_EL_Remind_Flashing_Cycle,  ;</t>
  </si>
  <si>
    <t>p_t_Disarming_Delay: Indicate the time System will auto relock the vehicle if this time is out.</t>
  </si>
  <si>
    <t>p_n_CDL_Autolock_Threshold: the speed for speed lock</t>
  </si>
  <si>
    <t>p_t_EL_Position_Light_Warning: Warning time for position light forget to turn off</t>
  </si>
  <si>
    <t>p_t_RM_Keyin_Warning: Warning time for key not unplugged</t>
  </si>
  <si>
    <t>p_t_EL_Crash_Flashing_Offtime: Crash  warning light flashing dark time</t>
  </si>
  <si>
    <t>p_t_EL_Emergency_Brake_Flashing_Offtime: Emergency brake flashing  dark time</t>
  </si>
  <si>
    <t xml:space="preserve">p_n_EL_Vehicle_Seek_Flashing_Cycle: Vehicle Seek  flashing cycle </t>
  </si>
  <si>
    <t>p_t_EL_Vehicle_Seek_Flashing_Ontime: Vehicle Seek  flashing bright time</t>
  </si>
  <si>
    <t>p_t_EL_Vehicle_Seek_Flashing_Offtime: Vehicle Seek  flashing dark time</t>
  </si>
  <si>
    <t>p_t_EL_ATWS_Shift_Flashing_Ontime: ATWS Mute/Not Mute Acknowledge flashing bright time</t>
  </si>
  <si>
    <t>p_t_EL_ATWS_Shift_Flashing_Offtime: ATWS Mute/Not Mute Acknowledge  dark time</t>
  </si>
  <si>
    <t xml:space="preserve">p_n_EL_ATWS_Shift_Flashing_Cycle: ATWS Mute/Not Mute Acknowledge  cycle </t>
  </si>
  <si>
    <t>p_t_EL_Remind_Flashing_Ontime: the Remind/reverse unlock flashing bright time.</t>
  </si>
  <si>
    <t>p_t_EL_Remind_Flashing_Offtime: the Remind/reverse unlock flashing dark time.</t>
  </si>
  <si>
    <t xml:space="preserve"> p_n_EL_Remind_Flashing_Cycle: the Remind/reverse unlock flashing cycle counts</t>
  </si>
  <si>
    <t xml:space="preserve">p_n_EL_UID_Learnt_Flashing_Cycle: UID Learnt  flashing cycle </t>
  </si>
  <si>
    <t>p_t_EL_UID_Learn_Flashing_Ontime: UID Learn  flashing bright time</t>
  </si>
  <si>
    <t>p_t_EL_UID_Learn_Flashing_Offtime: UID Learn   flashing dark time</t>
  </si>
  <si>
    <t>p_t_EL_Position_Light_For_Vehicle_Seek: Positioin light Time for Vehicle Seek</t>
  </si>
  <si>
    <t>p_t_EL_Leaving_Home_Light_Additional: The Reload time for Leaveing home funciton, before the Leaving home timer expired.</t>
  </si>
  <si>
    <t>p_t_EL_Leaving_Home_Light: The Leaveing home funciton timer</t>
  </si>
  <si>
    <t xml:space="preserve"> p_t_WW_Front_Washer_Maximum: </t>
  </si>
  <si>
    <t xml:space="preserve">p_t_Rear_Washer_Switch_Stuck_Time: </t>
  </si>
  <si>
    <t xml:space="preserve">p_t_Rear_Wiper_Int_Drive time : </t>
  </si>
  <si>
    <t>p_t_Window_Motor_Start_Currnt_Delay : The start current measurement time of the window motor.</t>
  </si>
  <si>
    <t xml:space="preserve"> p_t_Window_Motor_Stall_Confirm: The confirmation time of the window statll.</t>
  </si>
  <si>
    <t xml:space="preserve">p_t_Remote_Tailgate_Active: The RKE press time on the Tailgate release button to active the tailgate release </t>
  </si>
  <si>
    <t>p_t_RKE_Learning_Max_Time : The maximum time of the RKE learning mode.</t>
  </si>
  <si>
    <t>p_n_RKE_Customer_ID: The RKE customer ID to indicate which customer is .
bit 6-7: 1 for geely, bit 5: 1=FSK;
bit 4:1=434Mhz, Bit 0-4: FE-6: 0110, FE-9: 1001;</t>
  </si>
  <si>
    <t>p_n_Acoustic_Reverse_Unlock_Counter : Config how many acousitic output time in one cycle.</t>
  </si>
  <si>
    <t>p_n_Acoustic_Reminder_Counter : The horn output time in reminder cycle.</t>
  </si>
  <si>
    <t>p_t_Alarm_OFF_Time</t>
  </si>
  <si>
    <t>HWParameter</t>
  </si>
  <si>
    <t>D01</t>
  </si>
  <si>
    <t>Diagnostic internal fault history bits byte 1</t>
  </si>
  <si>
    <t>Diagnostic internal fault history bits byte 2</t>
  </si>
  <si>
    <t>Diagnostic internal fault history bits byte 3</t>
  </si>
  <si>
    <t>NVM_DIAGNOSTIC_FAULT_HISTORY_1</t>
  </si>
  <si>
    <t>NVM_DIAGNOSTIC_FAULT_HISTORY_2</t>
  </si>
  <si>
    <t>NVM_DIAGNOSTIC_FAULT_HISTORY_3</t>
  </si>
  <si>
    <t>#define NvMBlockLength_SKC    EEP_SKC_BYTE_NUMBER</t>
  </si>
  <si>
    <t>#define NvMBlockLength_SC    EEP_SC_BYTE_NUMBER</t>
  </si>
  <si>
    <t>#define NvMBlockLength_ECU_State    EEP_ECU_STATE_BYTE_NUMBER</t>
  </si>
  <si>
    <t>#define NvMBlockLength_HellaProductionData    EEP_HELLAPRODUCTIONDATA_BYTE_NUMBER</t>
  </si>
  <si>
    <t>#define NvMBlockLength_UIDTransmitterID    EEP_UIDTRANSMITTERID_BYTE_NUMBER</t>
  </si>
  <si>
    <t>#define NvMBlockLength_EOLData    EEP_EOLDATA_BYTE_NUMBER</t>
  </si>
  <si>
    <t>#define NvMBlockLength_CodingHella    EEP_CODINGHELLA_BYTE_NUMBER</t>
  </si>
  <si>
    <t>#define NvMBlockLength_CodingGeely    EEP_CODINGGEELY_BYTE_NUMBER</t>
  </si>
  <si>
    <t>#define NvMBlockLength_CodingUser    EEP_CODINGUSER_BYTE_NUMBER</t>
  </si>
  <si>
    <t>#define NvMBlockLength_ASILAParameter    EEP_ASILAPARAMETER_BYTE_NUMBER</t>
  </si>
  <si>
    <t>#define NvMBlockLength_ASILBParameter    EEP_ASILBPARAMETER_BYTE_NUMBER</t>
  </si>
  <si>
    <t>#define NvMBlockLength_NonASILParameter    EEP_NONASILPARAMETER_BYTE_NUMBER</t>
  </si>
  <si>
    <t>#define NvMBlockLength_HWParameter    EEP_HWPARAMETER_BYTE_NUMBER</t>
  </si>
  <si>
    <t>#define NvMBlockLength_HellaConfigData    EEP_HELLACONFIGDATA_BYTE_NUMBER</t>
  </si>
  <si>
    <t>#define NvMBlockLength_KDTCCalibrationByte0    EEP_KDTCCALIBRATIONBYTE0_BYTE_NUMBER</t>
  </si>
  <si>
    <t>#define NvMBlockLength_HWConfig    EEP_HWCONFIG_BYTE_NUMBER</t>
  </si>
  <si>
    <t>#define NvMBlockLength_CDLStatus    EEP_CDLSTATUS_BYTE_NUMBER</t>
  </si>
  <si>
    <t>#define NvMBlockLength_ATWSStatus    EEP_ATWSSTATUS_BYTE_NUMBER</t>
  </si>
  <si>
    <t>#define NvMBlockLength_ILStatus    EEP_ILSTATUS_BYTE_NUMBER</t>
  </si>
  <si>
    <t>#define NvMBlockLength_PMStatus    EEP_PMSTATUS_BYTE_NUMBER</t>
  </si>
  <si>
    <t>#define NvMBlockLength_ELStatus    EEP_ELSTATUS_BYTE_NUMBER</t>
  </si>
  <si>
    <t>#define NvMBlockLength_CrashInfoStatus    EEP_CRASHINFOSTATUS_BYTE_NUMBER</t>
  </si>
  <si>
    <t>#define NvMBlockLength_DisableUIDInfor    EEP_DISABLEUIDINFOR_BYTE_NUMBER</t>
  </si>
  <si>
    <t>#define NvMBlockLength_UIDSYNCCounter    EEP_UIDSYNCCOUNTER_BYTE_NUMBER</t>
  </si>
  <si>
    <t>#define NvMBlockLength_DiagDTCsStatusBytes0    EEP_DIAGDTCSSTATUSBYTES0_BYTE_NUMBER</t>
  </si>
  <si>
    <t>#define NvMBlockLength_DiagDTCsUnlearnCounters0    EEP_DIAGDTCSUNLEARNCOUNTERS0_BYTE_NUMBER</t>
  </si>
  <si>
    <t>#define NvMBlockLength_CDLStack    EEP_CDLSTACK_BYTE_NUMBER</t>
  </si>
  <si>
    <t>#define NvMBlockLength_PWStack    EEP_PWSTACK_BYTE_NUMBER</t>
  </si>
  <si>
    <t>#define NvMBlockLength_ReminderStack    EEP_REMINDERSTACK_BYTE_NUMBER</t>
  </si>
  <si>
    <t>#define NvMBlockLength_RandomPool    EEP_RANDOMPOOL_BYTE_NUMBER</t>
  </si>
  <si>
    <t>#define NvMBlockLength_ResetCounter    EEP_RESETCOUNTER_BYTE_NUMBER</t>
  </si>
  <si>
    <t>#define NvMBlockLength_ResetHistory    EEP_RESETHISTORY_BYTE_NUMBER</t>
  </si>
  <si>
    <t>#define NvMBlockLength_DynamicDataGroup1    EEP_DYNAMICDATAGROUP1_BYTE_NUMBER</t>
  </si>
  <si>
    <t>NvMirror</t>
  </si>
  <si>
    <t>Block ID</t>
  </si>
  <si>
    <t>Block signature</t>
  </si>
  <si>
    <t>Block Length define</t>
  </si>
  <si>
    <t>Block Length table</t>
  </si>
  <si>
    <t>Config table</t>
  </si>
  <si>
    <t>13FF</t>
  </si>
  <si>
    <t>End of HWParameter</t>
  </si>
  <si>
    <t>p_t_Window_Motor_Stall_Confirm</t>
  </si>
  <si>
    <t>0.1</t>
  </si>
  <si>
    <t>10</t>
  </si>
  <si>
    <t>1</t>
  </si>
  <si>
    <t>p_n_EL_Remind_Flashing_Cycle</t>
  </si>
  <si>
    <t>p_t_WW_Front_Washer_Maximum</t>
  </si>
  <si>
    <t>100</t>
  </si>
  <si>
    <t>20</t>
  </si>
  <si>
    <t>2</t>
  </si>
  <si>
    <t>40</t>
  </si>
  <si>
    <t>0.5</t>
  </si>
  <si>
    <t>5</t>
  </si>
  <si>
    <t>50</t>
  </si>
  <si>
    <t>25</t>
  </si>
  <si>
    <t>p_n_Dbatt1_9v</t>
  </si>
  <si>
    <t>p_n_Dbatt1_16v</t>
  </si>
  <si>
    <t>p_n_Dbatt2_9v</t>
  </si>
  <si>
    <t>p_n_Dbatt2_16v</t>
  </si>
  <si>
    <t>p_n_Dbatt3_9v</t>
  </si>
  <si>
    <t>p_n_Dbatt3_16v</t>
  </si>
  <si>
    <t>p_n_ACC_Distance_Control_Plus_Hi</t>
  </si>
  <si>
    <t>p_n_ACC_Distance_Control_Plus_Lo</t>
  </si>
  <si>
    <t>p_n_ACC_Distance_Control_Minus_Hi</t>
  </si>
  <si>
    <t>p_n_ACC_Distance_Control_Minus_Lo</t>
  </si>
  <si>
    <t>p_n_ACC_Distance_Control_Idle_Hi</t>
  </si>
  <si>
    <t>p_n_ACC_Distance_Control_Idle_Lo</t>
  </si>
  <si>
    <t>p_n_Cruise_Control_Main_Hi</t>
  </si>
  <si>
    <t>p_n_Cruise_Control_Cancel_Hi</t>
  </si>
  <si>
    <t>p_n_Cruise_Control_Set_Hi</t>
  </si>
  <si>
    <t>p_n_Cruise_Control_Res_Hi</t>
  </si>
  <si>
    <t>p_n_Cruise_Control_Idle_Hi</t>
  </si>
  <si>
    <t>p_n_Wiper_Front_Potentiometer_S2B_Hi</t>
  </si>
  <si>
    <t>p_n_Wiper_Front_Potentiometer_OFF_Hi</t>
  </si>
  <si>
    <t>p_n_Wiper_Front_Potentiometer_OFF_Lo</t>
  </si>
  <si>
    <t>p_n_Wiper_Front_Potentiometer_Level4_Hi</t>
  </si>
  <si>
    <t>p_n_Wiper_Front_Potentiometer_Level4_Lo</t>
  </si>
  <si>
    <t>p_n_Wiper_Front_Potentiometer_Level3_Hi</t>
  </si>
  <si>
    <t>p_n_Wiper_Front_Potentiometer_Level3_Lo</t>
  </si>
  <si>
    <t>p_n_Wiper_Front_Potentiometer_Level2_Hi</t>
  </si>
  <si>
    <t>p_n_Wiper_Front_Potentiometer_Level2_Lo</t>
  </si>
  <si>
    <t>p_n_Wiper_Front_Potentiometer_Level1_Hi</t>
  </si>
  <si>
    <t>p_n_Wiper_Front_Potentiometer_Level1_Lo</t>
  </si>
  <si>
    <t>p_n_Drv_Window_AutoUp_Hi</t>
  </si>
  <si>
    <t>p_n_Drv_Window_AutoUp_Lo</t>
  </si>
  <si>
    <t>p_n_Drv_Window_ManualUp_Hi</t>
  </si>
  <si>
    <t>p_n_Drv_Window_ManualUp_Lo</t>
  </si>
  <si>
    <t>p_n_Drv_Window_ManualDown_Hi</t>
  </si>
  <si>
    <t>p_n_Drv_Window_ManualDown_Lo</t>
  </si>
  <si>
    <t>p_n_Drv_Window_AutoDown_Hi</t>
  </si>
  <si>
    <t>p_n_Drv_Window_AutoDown_Lo</t>
  </si>
  <si>
    <t>p_n_Drv_Pass_Window_AutoUp_Hi</t>
  </si>
  <si>
    <t>p_n_Drv_Pass_Window_AutoUp_Lo</t>
  </si>
  <si>
    <t>p_n_Drv_Pass_Window_ManualUp_Hi</t>
  </si>
  <si>
    <t>p_n_Drv_Pass_Window_ManualUp_Lo</t>
  </si>
  <si>
    <t>p_n_Drv_Pass_Window_ManualDown_Hi</t>
  </si>
  <si>
    <t>p_n_Drv_Pass_Window_ManualDown_Lo</t>
  </si>
  <si>
    <t>p_n_Drv_Pass_Window_AutoDown_Hi</t>
  </si>
  <si>
    <t>p_n_Drv_Pass_Window_AutoDown_Lo</t>
  </si>
  <si>
    <t>p_n_Drv_RL_Window_AutoUp_Hi</t>
  </si>
  <si>
    <t>p_n_Drv_RL_Window_AutoUp_Lo</t>
  </si>
  <si>
    <t>p_n_Drv_RL_Window_ManualUp_Hi</t>
  </si>
  <si>
    <t>p_n_Drv_RL_Window_ManualUp_Lo</t>
  </si>
  <si>
    <t>p_n_Drv_RL_Window_ManualDown_Hi</t>
  </si>
  <si>
    <t>p_n_Drv_RL_Window_ManualDown_Lo</t>
  </si>
  <si>
    <t>p_n_Drv_RL_Window_AutoDown_Hi</t>
  </si>
  <si>
    <t>p_n_Drv_RL_Window_AutoDown_Lo</t>
  </si>
  <si>
    <t>p_n_Drv_RR_Window_AutoUp_Hi</t>
  </si>
  <si>
    <t>p_n_Drv_RR_Window_AutoUp_Lo</t>
  </si>
  <si>
    <t>p_n_Drv_RR_Window_ManualUp_Hi</t>
  </si>
  <si>
    <t>p_n_Drv_RR_Window_ManualUp_Lo</t>
  </si>
  <si>
    <t>p_n_Drv_RR_Window_ManualDown_Hi</t>
  </si>
  <si>
    <t>p_n_Drv_RR_Window_ManualDown_Lo</t>
  </si>
  <si>
    <t>p_n_Drv_RR_Window_AutoDown_Hi</t>
  </si>
  <si>
    <t>p_n_Drv_RR_Window_AutoDown_Lo</t>
  </si>
  <si>
    <t>p_n_Pass_Window_AutoUp_Hi</t>
  </si>
  <si>
    <t>p_n_Pass_Window_AutoUp_Lo</t>
  </si>
  <si>
    <t>p_n_Pass_Window_ManualUp_Hi</t>
  </si>
  <si>
    <t>p_n_Pass_Window_ManualUp_Lo</t>
  </si>
  <si>
    <t>p_n_Pass_Window_ManualDown_Hi</t>
  </si>
  <si>
    <t>p_n_Pass_Window_ManualDown_Lo</t>
  </si>
  <si>
    <t>p_n_Pass_Window_AutoDown_Hi</t>
  </si>
  <si>
    <t>p_n_Pass_Window_AutoDown_Lo</t>
  </si>
  <si>
    <t>p_n_RL_Window_AutoUp_Hi</t>
  </si>
  <si>
    <t>p_n_RL_Window_AutoUp_Lo</t>
  </si>
  <si>
    <t>p_n_RL_Window_ManualUp_Hi</t>
  </si>
  <si>
    <t>p_n_RL_Window_ManualUp_Lo</t>
  </si>
  <si>
    <t>p_n_RL_Window_ManualDown_Hi</t>
  </si>
  <si>
    <t>p_n_RL_Window_ManualDown_Lo</t>
  </si>
  <si>
    <t>p_n_RL_Window_AutoDown_Hi</t>
  </si>
  <si>
    <t>p_n_RL_Window_AutoDown_Lo</t>
  </si>
  <si>
    <t>p_n_RR_Window_AutoUp_Hi</t>
  </si>
  <si>
    <t>p_n_RR_Window_AutoUp_Lo</t>
  </si>
  <si>
    <t>p_n_RR_Window_ManualUp_Hi</t>
  </si>
  <si>
    <t>p_n_RR_Window_ManualUp_Lo</t>
  </si>
  <si>
    <t>p_n_RR_Window_ManualDown_Hi</t>
  </si>
  <si>
    <t>p_n_RR_Window_ManualDown_Lo</t>
  </si>
  <si>
    <t>p_n_RR_Window_AutoDown_Hi</t>
  </si>
  <si>
    <t>p_n_RR_Window_AutoDown_Lo</t>
  </si>
  <si>
    <t>p_n_Central_Lock_Hi</t>
  </si>
  <si>
    <t>p_n_Central_Lock_Lo</t>
  </si>
  <si>
    <t>p_n_Central_Unlock_Hi</t>
  </si>
  <si>
    <t>p_n_Central_Unlock_Lo</t>
  </si>
  <si>
    <t>p_n_Turn_Left_Control_S2B_M</t>
  </si>
  <si>
    <t>p_n_Turn_Left_Control_S2B_DM</t>
  </si>
  <si>
    <t>p_n_Turn_Left_Control_S2G_M</t>
  </si>
  <si>
    <t>p_n_Turn_Left_Control_S2G_DM</t>
  </si>
  <si>
    <t>p_n_Turn_Left_Control_open</t>
  </si>
  <si>
    <t>p_n_Hazard_Indicator_S2G_M</t>
  </si>
  <si>
    <t>p_n_Hazard_Indicator_S2G_DM</t>
  </si>
  <si>
    <t>p_n_Turn_Right_Control_S2B_M</t>
  </si>
  <si>
    <t>p_n_Turn_Right_Control_S2B_DM</t>
  </si>
  <si>
    <t>p_n_Turn_Right_Control_S2G_M</t>
  </si>
  <si>
    <t>p_n_Turn_Right_Control_S2G_DM</t>
  </si>
  <si>
    <t>p_n_Turn_Right_Control_open</t>
  </si>
  <si>
    <t>p_n_Reverse_Lamp_S2B_M</t>
  </si>
  <si>
    <t>p_n_Reverse_Lamp_S2B_DM</t>
  </si>
  <si>
    <t>p_n_Reverse_Lamp_S2G_M</t>
  </si>
  <si>
    <t>p_n_Reverse_Lamp_S2G_DM</t>
  </si>
  <si>
    <t>p_n_Reverse_Lamp_Open_M</t>
  </si>
  <si>
    <t>p_n_Reverse_Lamp_Open_DM</t>
  </si>
  <si>
    <t>p_n_DRL_Left_Control_S2B_M</t>
  </si>
  <si>
    <t>p_n_DRL_Left_Control_S2B_DM</t>
  </si>
  <si>
    <t>p_n_DRL_Left_Control_S2G_M</t>
  </si>
  <si>
    <t>p_n_DRL_Left_Control_S2G_DM</t>
  </si>
  <si>
    <t>p_n_DRL_Right_Control_S2B_M</t>
  </si>
  <si>
    <t>p_n_DRL_Right_Control_S2B_DM</t>
  </si>
  <si>
    <t>p_n_DRL_Right_Control_S2G_M</t>
  </si>
  <si>
    <t>p_n_DRL_Right_Control_S2G_DM</t>
  </si>
  <si>
    <t>p_n_Brake_Lamp_Control_S2B_M</t>
  </si>
  <si>
    <t>p_n_Brake_Lamp_Control_S2B_DM</t>
  </si>
  <si>
    <t>p_n_Brake_Lamp_Control_S2G_M</t>
  </si>
  <si>
    <t>p_n_Brake_Lamp_Control_S2G_DM</t>
  </si>
  <si>
    <t>p_n_Brake_Lamp_Control_Open_M</t>
  </si>
  <si>
    <t>p_n_Brake_Lamp_Control_Open_DM</t>
  </si>
  <si>
    <t>p_n_Rear_Fog_Lamp_Control_S2B_M</t>
  </si>
  <si>
    <t>p_n_Rear_Fog_Lamp_Control_S2B_DM</t>
  </si>
  <si>
    <t>p_n_Rear_Fog_Lamp_Control_S2G_M</t>
  </si>
  <si>
    <t>p_n_Rear_Fog_Lamp_Control_S2G_DM</t>
  </si>
  <si>
    <t>p_n_Rear_Fog_Lamp_Control_Open_M</t>
  </si>
  <si>
    <t>p_n_Rear_Fog_Lamp_Control_Open_DM</t>
  </si>
  <si>
    <t>p_n_Battery_Savor_Control_S2B_M</t>
  </si>
  <si>
    <t>p_n_Battery_Savor_Control_S2B_DM</t>
  </si>
  <si>
    <t>p_n_Battery_Savor_Control_S2G_M</t>
  </si>
  <si>
    <t>p_n_Battery_Savor_Control_S2G_DM</t>
  </si>
  <si>
    <t>p_n_CDL_Indicator_Overload_M</t>
  </si>
  <si>
    <t>p_n_CDL_Indicator_Overload_DM</t>
  </si>
  <si>
    <t>p_n_Footwell_Lamp_S2G_M</t>
  </si>
  <si>
    <t>p_n_Footwell_Lamp_S2G_DM</t>
  </si>
  <si>
    <t>p_n_Footwell_Lamp_S2B_M</t>
  </si>
  <si>
    <t>p_n_Footwell_Lamp_S2B_DM</t>
  </si>
  <si>
    <t>p_n_Footwell_Lamp_Open_M</t>
  </si>
  <si>
    <t>p_n_Footwell_Lamp_Open_DM</t>
  </si>
  <si>
    <t>p_n_ATWS_S2G_M</t>
  </si>
  <si>
    <t>p_n_ATWS_S2G_DM</t>
  </si>
  <si>
    <t>p_n_EPB_Indicator_S2G_M</t>
  </si>
  <si>
    <t>p_n_CHMSL_S2B_M</t>
  </si>
  <si>
    <t>p_n_CHMSL_S2B_DM</t>
  </si>
  <si>
    <t>p_n_CHMSL_S2G_M</t>
  </si>
  <si>
    <t>p_n_CHMSL_S2G_DM</t>
  </si>
  <si>
    <t>p_n_Dbatt1_9v: the ADC sample value of turn light power when the calibration voltage is 9v.</t>
  </si>
  <si>
    <t>p_n_Dbatt1_16v: the ADC sample value of turn light power when the calibration voltage is 16v.</t>
  </si>
  <si>
    <t>p_n_Dbatt2_9v: the ADC sample vlue of light power2 when the calibration voltage is 9v.</t>
  </si>
  <si>
    <t>p_n_Dbatt2_16v: the ADC sample vlue of light power2 when the calibration voltage is 16v.</t>
  </si>
  <si>
    <t>p_n_Dbatt3_9v: the ADC sample value of light power1 when the calibrate voltage is 9v.</t>
  </si>
  <si>
    <t>p_n_Dbatt3_16v: the ADC sample value of light power1 when the calibrate voltage is 16v.</t>
  </si>
  <si>
    <t xml:space="preserve">p_n_ACC_Distance_Control_Plus_Hi: the high threshold of  Plus level </t>
  </si>
  <si>
    <t xml:space="preserve">p_n_ACC_Distance_Control_Plus_Lo: the low threshold of  Plus level </t>
  </si>
  <si>
    <t xml:space="preserve">p_n_ACC_Distance_Control_Minus_Hi: the high threshold of Minus level
</t>
  </si>
  <si>
    <t>p_n_ACC_Distance_Control_Minus_Lo: the low threshold of Minus level</t>
  </si>
  <si>
    <t>p_n_ACC_Distance_Control_Idle_Hi: the high threshold fo Idle level</t>
  </si>
  <si>
    <t>p_n_ACC_Distance_Control_Idle_Lo: the low threshold of Idle level</t>
  </si>
  <si>
    <t>p_n_Cruise_Control_Main_Hi: the high threshold fo Main level</t>
  </si>
  <si>
    <t>p_n_Cruise_Control_Main _Lo: the low threshold of Main level</t>
  </si>
  <si>
    <t>p_n_Cruise_Control_Cancel_Hi: the high threshold of Cancel levle</t>
  </si>
  <si>
    <t>p_n_Cruise_Control_Cancel _Lo: the low threshold of Cancel level</t>
  </si>
  <si>
    <t>p_n_Cruise_Control_Set_Hi: the high threshold fo Set level</t>
  </si>
  <si>
    <t>p_n_Cruise_Control_Set _Lo: the low threshold of Set level</t>
  </si>
  <si>
    <t>p_n_Cruise_Control_Res_Hi: the high threshold of Res level</t>
  </si>
  <si>
    <t>p_n_Cruise_Control_Res _Lo: the low threshold of Res level</t>
  </si>
  <si>
    <t>p_n_Cruise_Control_Idle_Hi: the high threshold of Idle level</t>
  </si>
  <si>
    <t>p_n_Cruise_Control_Idle _Lo: the low threshold of Idle level</t>
  </si>
  <si>
    <t xml:space="preserve">p_n_Wiper_Front_Potentiometer_S2B_Hi: the high threshold of short to battery </t>
  </si>
  <si>
    <t>p_n_Wiper_Front_Potentiometer_OFF_Hi: the high threshold of 3s level</t>
  </si>
  <si>
    <t>p_n_Wiper_Front_Potentiometer_OFF_Lo: the low threshold of 3s level</t>
  </si>
  <si>
    <t>p_n_Wiper_Front_Potentiometer_Level4_Hi: the high threshold of 15s level</t>
  </si>
  <si>
    <t>p_n_Wiper_Front_Potentiometer_Level4_Lo: the low threshold of 15s level</t>
  </si>
  <si>
    <t>p_n_Wiper_Front_Potentiometer_Level3_Hi: the high threshold of 12s level</t>
  </si>
  <si>
    <t>p_n_Wiper_Front_Potentiometer_Level3_Lo: the low threshold of 12s level</t>
  </si>
  <si>
    <t>p_n_Wiper_Front_Potentiometer_Level2_Hi: the high threshold of 9s level</t>
  </si>
  <si>
    <t>p_n_Wiper_Front_Potentiometer_Level2_Lo: the low threshold of 9s level</t>
  </si>
  <si>
    <t>p_n_Wiper_Front_Potentiometer_Level1_Hi: the high threshold of 6s level</t>
  </si>
  <si>
    <t>p_n_Wiper_Front_Potentiometer_Level1_Lo: the low threshold of 6s level</t>
  </si>
  <si>
    <t>p_n_Drv_Window_AutoUp_Hi: the high threshold of autoup</t>
  </si>
  <si>
    <t>p_n_Drv_Window_AutoUp_Lo: the low threshold of auto up</t>
  </si>
  <si>
    <t>p_n_Drv_Window_ManualUp_Hi: the high threshold of manual up</t>
  </si>
  <si>
    <t>p_n_Drv_Window_ManualUp_Lo: the low threshold of manual up</t>
  </si>
  <si>
    <t>p_n_Drv_Window_ManualDown_Hi: the high threshold of manual down</t>
  </si>
  <si>
    <t>p_n_Drv_Window_ManualDown_Lo: the low threshold of manual down</t>
  </si>
  <si>
    <t>p_n_Drv_Window_AutoDown_Hi: the high threshold of auto down</t>
  </si>
  <si>
    <t>p_n_Drv_Window_AutoDown_Lo: the low threshold of auto down</t>
  </si>
  <si>
    <t>p_n_Drv_Pass_Window_AutoUp_Hi: the high threshold of auto up</t>
  </si>
  <si>
    <t>p_n_Drv_Pass_Window_AutoUp_Lo: the low threshold of auto up</t>
  </si>
  <si>
    <t>p_n_Drv_Pass_Window_ManualUp_Hi: the high threshold of manual up</t>
  </si>
  <si>
    <t>p_n_Drv_Pass_Window_ManualUp_Lo: the low threshold of manual up</t>
  </si>
  <si>
    <t>p_n_Drv_Pass_Window_ManualDown_Hi: the high threshold of manual down</t>
  </si>
  <si>
    <t>p_n_Drv_Pass_Window_ManualDown_Lo: the low threshold of manual down</t>
  </si>
  <si>
    <t>p_n_Drv_Pass_Window_AutoDown_Hi: the high threshold of auto down</t>
  </si>
  <si>
    <t>p_n_Drv_Pass_Window_AutoDown_Lo: the low threshold of auto down</t>
  </si>
  <si>
    <t>p_n_Drv_RL_Window_AutoUp_Hi: the high threshold of auto up</t>
  </si>
  <si>
    <t>p_n_Drv_RL_Window_AutoUp_Lo: the low threshold of auto up</t>
  </si>
  <si>
    <t>p_n_Drv_RL_Window_ManualUp_Hi: the high threshold of manual up</t>
  </si>
  <si>
    <t>p_n_Drv_RL_Window_ManualUp_Lo: the low threshold of manual up</t>
  </si>
  <si>
    <t>p_n_Drv_RL_Window_ManualDown_Hi: the high threshold of manual down</t>
  </si>
  <si>
    <t>p_n_Drv_RL_Window_ManualDown_Lo: the low threshold of manual down</t>
  </si>
  <si>
    <t>p_n_Drv_RL_Window_AutoDown_Hi: the high threshold of auto down</t>
  </si>
  <si>
    <t>p_n_Drv_RL_Window_AutoDown_Lo: the low threshold of auto down</t>
  </si>
  <si>
    <t>p_n_Drv_RR_Window_AutoUp_Hi: the high threshold of auto up</t>
  </si>
  <si>
    <t>p_n_Drv_RR_Window_AutoUp_Lo: the low threshold of autoup</t>
  </si>
  <si>
    <t xml:space="preserve">p_n_Drv_RR_Window_ManualUp_Hi: the high threshold of manual up
</t>
  </si>
  <si>
    <t>p_n_Drv_RR_Window_ManualUp_Lo: the low threshold of manual up</t>
  </si>
  <si>
    <t>p_n_Drv_RR_Window_ManualDown_Hi: the high threshold of manual down</t>
  </si>
  <si>
    <t>p_n_Drv_RR_Window_ManualDown_Lo: the low threshold of manual down</t>
  </si>
  <si>
    <t>p_n_Drv_RR_Window_AutoDown_Hi: the high threshold of auto down</t>
  </si>
  <si>
    <t>p_n_Drv_RR_Window_AutoDown_Lo: the low threshold of auto down</t>
  </si>
  <si>
    <t>p_n_Pass_Window_AutoUp_Hi: the high threshold of auto up</t>
  </si>
  <si>
    <t>p_n_Pass_Window_AutoUp_Lo: the low threshold of autoup</t>
  </si>
  <si>
    <t>p_n_Pass_Window_ManualUp_Hi: the high threshold of manual up</t>
  </si>
  <si>
    <t>p_n_Pass_Window_ManualUp_Lo: the low threshold of manual up</t>
  </si>
  <si>
    <t>p_n_Pass_Window_ManualDown_Hi: the high threshold of manual down</t>
  </si>
  <si>
    <t>p_n_Pass_Window_ManualDown_Lo: the low threshold of manual down</t>
  </si>
  <si>
    <t>p_n_Pass_Window_AutoDown_Hi: the high threshold of auto up</t>
  </si>
  <si>
    <t>p_n_Pass_Window_AutoDown_Lo: the low threshold of autoup</t>
  </si>
  <si>
    <t>p_n_RL_Window_AutoUp_Hi: the high threshold of auto up</t>
  </si>
  <si>
    <t>p_n_RL_Window_AutoUp_Lo: the low threshold of autoup</t>
  </si>
  <si>
    <t>p_n_RL_Window_ManualUp_Hi: the high threshold of manual up</t>
  </si>
  <si>
    <t>p_n_RL_Window_ManualUp_Lo: the low threshold of manual up</t>
  </si>
  <si>
    <t>p_n_RL_Window_ManualDown_Hi: the high threshold of manual down</t>
  </si>
  <si>
    <t>p_n_RL_Window_ManualDown_Lo: the low threshold of manual down</t>
  </si>
  <si>
    <t>p_n_RL_Window_AutoDown_Hi: the high threshold of auto up</t>
  </si>
  <si>
    <t>p_n_RL_Window_AutoDown_Lo: the low threshold of autoup</t>
  </si>
  <si>
    <t>p_n_RR_Window_AutoUp_Hi: the high threshold of auto up</t>
  </si>
  <si>
    <t>p_n_RR_Window_AutoUp_Lo: the low threshold of autoup</t>
  </si>
  <si>
    <t>p_n_RR_Window_ManualUp_Hi: the high threshold of manual up</t>
  </si>
  <si>
    <t>p_n_RR_Window_ManualUp_Lo: the low threshold of manual up</t>
  </si>
  <si>
    <t>p_n_RR_Window_ManualDown_Hi: the high threshold of manual down</t>
  </si>
  <si>
    <t>p_n_RR_Window_ManualDown_Lo: the low threshold of manual down</t>
  </si>
  <si>
    <t>p_n_RR_Window_AutoDown_Hi: the high threshold of auto up</t>
  </si>
  <si>
    <t>p_n_RR_Window_AutoDown_Lo: the low threshold of autoup</t>
  </si>
  <si>
    <t xml:space="preserve">p_n_Central_Lock_Hi: the high threshold of lock </t>
  </si>
  <si>
    <t>p_n_Central_Lock_Lo: the low threshold of lock</t>
  </si>
  <si>
    <t>p_n_Central_Unlock_Hi: the high threshold of unlock</t>
  </si>
  <si>
    <t>p_n_Central_Unlock_Lo: the low threshold of unlock</t>
  </si>
  <si>
    <t>p_n_Turn_Left_Control_S2B_M: the mature thershold of short to battery</t>
  </si>
  <si>
    <t>p_n_Turn_Left_Control_S2B_DM: the demature threshold of short to battery</t>
  </si>
  <si>
    <t>p_n_Turn_Left_Control_S2G_M: the mature threshold of short to GND</t>
  </si>
  <si>
    <t>p_n_Turn_Left_Control_S2G_DM: the demature threshold of short to GND</t>
  </si>
  <si>
    <t>p_n_Turn_Left_Control_open: the threshold of open load</t>
  </si>
  <si>
    <t>p_n_Hazard_Indicator_S2G_M: the mature threshold of short to GND</t>
  </si>
  <si>
    <t>p_n_Hazard_Indicator_S2G_DM: the demature threshold of short to GND</t>
  </si>
  <si>
    <t>p_n_Turn_Right_Control_S2B_M: the mature threshold of short to battery</t>
  </si>
  <si>
    <t>p_n_Turn_Right_Control_S2B_DM: the demature threshold of short to battery</t>
  </si>
  <si>
    <t>p_n_Turn_Right_Control_S2G_M: the threshold of short to GND mature</t>
  </si>
  <si>
    <t>p_n_Turn_Right_Control_S2G_DM: the threshold of short to GND demature</t>
  </si>
  <si>
    <t>p_n_Turn_Right_Control_open: the threshold of open load</t>
  </si>
  <si>
    <t>p_n_Reverse_Lamp_S2B_M: the threshold of  short to battery mature</t>
  </si>
  <si>
    <t>p_n_Reverse_Lamp_S2B_DM: the threshold of short to battery demature</t>
  </si>
  <si>
    <t>p_n_Reverse_Lamp_S2G_M: the threshold of short to GND mature</t>
  </si>
  <si>
    <t>p_n_Reverse_Lamp_S2G_DM: the threshold of short to GND demature</t>
  </si>
  <si>
    <t>p_n_Reverse_Lamp_Open_M: the threshold of open load mature</t>
  </si>
  <si>
    <t>p_n_Reverse_Lamp_Open_DM: the threshold of open load demature</t>
  </si>
  <si>
    <t>p_n_DRL_Left_Control_S2B_M: the threshold of short to battery mature</t>
  </si>
  <si>
    <t>p_n_DRL_Left_Control_S2B_DM: the threshold of short to battery demature</t>
  </si>
  <si>
    <t>p_n_DRL_Left_Control_S2G_M: the threshold of short to GND mature</t>
  </si>
  <si>
    <t>p_n_DRL_Left_Control_S2G_DM: the threshold of short to GND demature</t>
  </si>
  <si>
    <t>p_n_DRL_Right_Control_S2B_M: the threshold of short to battery mature</t>
  </si>
  <si>
    <t>p_n_DRL_Right_Control_S2B_DM: the threshold of short to battery demature</t>
  </si>
  <si>
    <t>p_n_DRL_Right_Control_S2G_M: the threshold of short to GND mature</t>
  </si>
  <si>
    <t>p_n_DRL_Right_Control_S2G_DM: the threshold of short to GND demature</t>
  </si>
  <si>
    <t>p_n_Brake_Lamp_Control_S2B_M: the threshold of short to battery mature</t>
  </si>
  <si>
    <t>p_n_Brake_Lamp_Control_S2B_DM: the threshold of short to battery demature</t>
  </si>
  <si>
    <t>p_n_Brake_Lamp_Control_S2G_M: the threshold of short to GND mature</t>
  </si>
  <si>
    <t>p_n_Brake_Lamp_Control_S2G_DM: the threshold of short to GND demature</t>
  </si>
  <si>
    <t>p_n_Brake_Lamp_Control_Open_M: the threshold of open load mature</t>
  </si>
  <si>
    <t>p_n_Brake_Lamp_Control_Open_DM: the threshold of open load demature</t>
  </si>
  <si>
    <t>p_n_Rear_Fog_Lamp_Control_S2B_M: the threshold of short to battery mature</t>
  </si>
  <si>
    <t>p_n_Rear_Fog_Lamp_Control_S2B_DM: the threshold of short to battery demature</t>
  </si>
  <si>
    <t>p_n_Rear_Fog_Lamp_Control_S2G_M: the threshold of short to GND mature</t>
  </si>
  <si>
    <t>p_n_Rear_Fog_Lamp_Control_S2G_DM: the threshold of short to GND demature</t>
  </si>
  <si>
    <t>p_n_Rear_Fog_Lamp_Control_Open_M: the threshold of open load mature</t>
  </si>
  <si>
    <t>p_n_Rear_Fog_Lamp_Control_Open_DM: the threshold of open load demature</t>
  </si>
  <si>
    <t>p_n_Battery_Savor_Control_S2B_M: the threshold of short to battery mature</t>
  </si>
  <si>
    <t>p_n_Battery_Savor_Control_S2B_DM: the threshold of short to battery demature</t>
  </si>
  <si>
    <t>p_n_Battery_Savor_Control_S2G_M: the threshold of short to GND mature</t>
  </si>
  <si>
    <t>p_n_Battery_Savor_Control_S2G_DM: the threshold of short to GND demature</t>
  </si>
  <si>
    <t>p_n_CDL_Indicator_Overload_M: the threshold of over load mature</t>
  </si>
  <si>
    <t>p_n_CDL_Indicator_Overload_DM: the threshold of over load demature</t>
  </si>
  <si>
    <t>p_n_Footwell_Lamp_S2G_M: the threshold of short to GND mature</t>
  </si>
  <si>
    <t>p_n_Footwell_Lamp_S2G_DM: the threshold of short to GND demature</t>
  </si>
  <si>
    <t>p_n_Footwell_Lamp_S2B_M: the threshold of short to battery mature</t>
  </si>
  <si>
    <t>p_n_Footwell_Lamp_S2B_DM: the threshold of short to battery demature</t>
  </si>
  <si>
    <t>p_n_Footwell_Lamp_Open_M: the threshold of open load mature</t>
  </si>
  <si>
    <t>p_n_Footwell_Lamp_Open_DM: the threshold of open laod demature</t>
  </si>
  <si>
    <t>p_n_ATWS_S2G_M: the threshold of short to GND mature</t>
  </si>
  <si>
    <t>p_n_ATWS_S2G_DM: the threshold of short to GND demature</t>
  </si>
  <si>
    <t>p_n_EPB_Indicator_S2G_M: the threshold of short to GND mature</t>
  </si>
  <si>
    <t>p_n_EPB_Indicator _S2G_DM: the threshold of short to GND demature</t>
  </si>
  <si>
    <t>p_n_CHMSL_S2B_M: the threshold of short to battery mature</t>
  </si>
  <si>
    <t>p_n_CHMSL_S2B_DM: the threshold of short to battery demature</t>
  </si>
  <si>
    <t>p_n_CHMSL_S2G_M: the threshold of short to GND mature</t>
  </si>
  <si>
    <t>p_n_CHMSL_S2G_DM: the threshold of short to GND demature.</t>
  </si>
  <si>
    <t>4</t>
  </si>
  <si>
    <t>0.6</t>
  </si>
  <si>
    <t>%</t>
  </si>
  <si>
    <t>p_t_Rear_Wiper_Int_Drive_time</t>
  </si>
  <si>
    <t>p_n_Cruise_Control_Main_Lo</t>
  </si>
  <si>
    <t>p_n_Cruise_Control_Cancel_Lo</t>
  </si>
  <si>
    <t>p_n_Cruise_Control_Set_Lo</t>
  </si>
  <si>
    <t>p_n_Cruise_Control_Res_Lo</t>
  </si>
  <si>
    <t>p_n_Cruise_Control_Idle_Lo</t>
  </si>
  <si>
    <t>p_n_EPB_Indicator_S2G_DM</t>
  </si>
  <si>
    <t>p_t_Power_Window_Post_Carriage_Time_Lo</t>
  </si>
  <si>
    <t>p_t_Power_Window_Post_Carriage_Time_Hi</t>
  </si>
  <si>
    <t>The ECU vehicle mode, Normal (1), Factory (2),  or Transport (3).</t>
  </si>
  <si>
    <t>10|1</t>
  </si>
  <si>
    <t>1|1</t>
  </si>
  <si>
    <t>1|2</t>
  </si>
  <si>
    <t>5|1</t>
  </si>
  <si>
    <t>1|10</t>
  </si>
  <si>
    <t>2|1</t>
  </si>
  <si>
    <t>4|1</t>
  </si>
  <si>
    <t>3|5</t>
  </si>
  <si>
    <t>DTMS_SystemState</t>
  </si>
  <si>
    <t>DTMS_WuState</t>
  </si>
  <si>
    <t>DTMS_SystemDiagnostic</t>
  </si>
  <si>
    <t>DTMS_WuDiagnostic</t>
  </si>
  <si>
    <t>DTMS_WarnEvent</t>
  </si>
  <si>
    <t>#define NvMBlockLength_DTMS_SystemState    EEP_DTMS_SYSTEMSTATE_BYTE_NUMBER</t>
  </si>
  <si>
    <t>#define NvMBlockLength_DTMS_WuState    EEP_DTMS_WUSTATE_BYTE_NUMBER</t>
  </si>
  <si>
    <t>#define NvMBlockLength_DTMS_SystemDiagnostic    EEP_DTMS_SYSTEMDIAGNOSTIC_BYTE_NUMBER</t>
  </si>
  <si>
    <t>#define NvMBlockLength_DTMS_WuDiagnostic    EEP_DTMS_WUDIAGNOSTIC_BYTE_NUMBER</t>
  </si>
  <si>
    <t>#define NvMBlockLength_DTMS_WarnEvent    EEP_DTMS_WARNEVENT_BYTE_NUMBER</t>
  </si>
  <si>
    <t>p_t_Power_Window_Post_Carriage_Time is split into 2 bytes</t>
  </si>
  <si>
    <t>()</t>
  </si>
  <si>
    <t>(152)</t>
  </si>
  <si>
    <t>c_ESS_Enabled: If the Car equiped with Engine start stop function(UNCODED = 0; CODED = 1)</t>
  </si>
  <si>
    <t>c_Reverse_Gear_Input_Type: input type of reverse gear signal.(HARDWARE = 0; SERIAL_DATA = 1)</t>
  </si>
  <si>
    <t>c_Auto_Lock_Enabled: if the vehicle request Auto_Lock(UNCODED = 0; CODED = 1)</t>
  </si>
  <si>
    <t>c_Auto_Unlock_Enabled: if the vehicle request Auto_Unlock(UNCODED = 0; CODED = 1)</t>
  </si>
  <si>
    <t>c_Tailgate_Direct_Release: if allow to release tailgate via internal button/Remote tailgate release command; Normally it's allowed for sedan and most of small size hatch back, it's not allow for big hatch back.(UNCODED = 0; CODED = 1)</t>
  </si>
  <si>
    <t>c_EL_Daytime_Running_Light_Controled_By_Turn_Light
: DRL controled by turn light switch(FALSE = 0; TRUE = 1)</t>
  </si>
  <si>
    <t>c_EL_Highbeam_Lamp_Type: High beam light type(HALOGEN=0
XENON=1)</t>
  </si>
  <si>
    <t>c_EL_Front_Fog_Enabled: Configration for front fog Light Enable(FALSE = 0; TRUE = 1)</t>
  </si>
  <si>
    <t>c_Footwell_Lamp_Enabled: if Footwell Lamp is equiped in the car.(UNCODED = 0; CODED = 1)</t>
  </si>
  <si>
    <t>c_Rear_Wiper_Enabled: if rear wiper/wash controlled by BCM(FALSE = 0; TRUE = 1)</t>
  </si>
  <si>
    <t>c_Sunroof_LIN_Control_Enable: X(FALSE=0; TURE=1)</t>
  </si>
  <si>
    <t>c_EPB_Indicator_Control_Enabled: (FALSE=0; TRUE=1)</t>
  </si>
  <si>
    <t>c_Cruise_Interface_Enabled: (UNCODED = 0; CODED = 1)</t>
  </si>
  <si>
    <t>c_Adaptive_Cruise_Interface_Enabled: (UNCODED = 0; CODED = 1)</t>
  </si>
  <si>
    <t>c_Rear_Washer_Enabled: Rear washer is available or not.(FALSE = 0; TRUE = 1)</t>
  </si>
  <si>
    <t>c_Airbag_ECU_Mounted: If the CAR with airbag ECU or not(UNCODED = 0
CODED = 1)</t>
  </si>
  <si>
    <t>c_ATWS_Warning_Enabled: Enable or disable ATWS warning function.(FALSE = 0; TRUE = 1)</t>
  </si>
  <si>
    <t>c_Security_Indicator_Enabled: Configurate the security indicator in the vehicle.(FALSE = 0; TRUE = 1)</t>
  </si>
  <si>
    <t>c_Key_In_Reminder_Enabled: key in reminder is enabled for keyless, mechanical key or disabled.(FALSE = 0; TRUE = 1)</t>
  </si>
  <si>
    <t>c_Key_In_Reminder_Type: type of key in reminder type.(KEYLESS = 0; MECH = 1)</t>
  </si>
  <si>
    <t>c_Central_Lock_Switch_Type: the type of CDL internal switch type button or switch(BUTTON = 0; SWITCH = 1)</t>
  </si>
  <si>
    <t>c_Central_Lock_Switch_Input_Type: the HW Type of Central Lock Switch(ANALOG = 0; DIGITAL = 1)</t>
  </si>
  <si>
    <t>c_Auto_Relock_Enabled: if the vehicle request Auto_Relock(UNCODED = 0; CODED = 1)</t>
  </si>
  <si>
    <t>c_Reverse_Unlock_Enabled: if the vehicle request Reverse_Unlock, when locked request available but any door open(UNCODED = 0; CODED = 1)</t>
  </si>
  <si>
    <t>c_CDL_Ignore_Remote_Enabled: if ignore remote/passive function in transport mode(UNCODED = 0; CODED = 1)</t>
  </si>
  <si>
    <t>c_Mechanical_Lock_Enabled: If unlock via Door Lock status are enabled or not(UNCODED = 0; CODED = 1)</t>
  </si>
  <si>
    <t>c_CDL_Selective_Unlock_Enabled: if the vehicle request selective unlock(UNCODED = 0; CODED = 1)</t>
  </si>
  <si>
    <t>c_With_Other_Unlock_Control: if vehicle have separated motor for driver door unlock and other door unlock(UNCODED = 0; CODED = 1)</t>
  </si>
  <si>
    <t>c_cdl_Anti_Lock: Which doors shall be closed when locking(ALL_DOOR = 0; FRONT_DOOR = 1)</t>
  </si>
  <si>
    <t>c_Passenger_Lock_Feedback_Enabled: if Passenger doors have lock status feedback(UNCODED = 0; CODED = 1)</t>
  </si>
  <si>
    <t>c_External_Lock_Enabled: if the car have external_lock status, if not the highest level is Internal lock.(UNCODED = 0; CODED = 1)</t>
  </si>
  <si>
    <t>c_Tailgate_Output_Type: If BCM driver Release Motor directly or via external relays(IN_BCM = 0; OUT_BCM = 1)</t>
  </si>
  <si>
    <t>c_Remote_At_Ignition_Enable: if allowed to use remote when Key is In or Power Mode is ACC or IGNITION_ON(UNCODED = 0; CODED = 1)</t>
  </si>
  <si>
    <t>c_Tailgate_Part_Of_CDL: if tailgated function depends on status of CDL(UNCODED = 0; CODED = 1)</t>
  </si>
  <si>
    <t>c_Tailgate_Release_Remote: if allow to release tailgate via remote or passive function(UNCODED = 0; CODED = 1)</t>
  </si>
  <si>
    <t>c_Tailgate_Release_Switch_Enabled: if the car has Tailgate Release Switch, when tailgate internal button is enabled, this code has to be disabled.(UNCODED = 0; CODED = 1)</t>
  </si>
  <si>
    <t>c_Tailgate_Internal_Button_Enabled: if car has Tailgate Internal Button, when tailgate release switch is enabled, this code has to be disabled.(UNCODED = 0; CODED = 1)</t>
  </si>
  <si>
    <t>c_Tailgate_Release_After_External_Lock: if allow release tailgate in EXTERNAL_LOCK(UNCODED = 0; CODED = 1)</t>
  </si>
  <si>
    <t>c_Tailgate_Security_Lock_Enabled: if Tailgate is in security mode(UNCODED = 0; CODED = 1)</t>
  </si>
  <si>
    <t>c_CDL_Indicator_Output_Enabled: UNCODED, The Output is not controlled by BCM HSD.
CODED, The Output is controlled by BCM HSD directly.(UNCODED = 0; CODED = 1)</t>
  </si>
  <si>
    <t>c_EL_Rear_Fog_Switch_Type: The rear fog switch type(BUTTON = 0; SWITCH = 1)</t>
  </si>
  <si>
    <t>c_EL_Exterior_Light_Switch_Type: Configration for exterior light switch input type(ANALOG = 0
 DIGITAL =1)</t>
  </si>
  <si>
    <t>c_EL_Turn_Light_Switch_Type: Configration for turn light beam switch type(ANALOG = 0
 DIGITAL =1)</t>
  </si>
  <si>
    <t>c_EL_High_Beam_Light_Switch_Type: Configration for high beam switch type(ANALOG = 0
 DIGITAL =1)</t>
  </si>
  <si>
    <t>c_EL_Hazard_Switch_Type: The hazard switch type(BUTTON = 0; SWITCH = 1)</t>
  </si>
  <si>
    <t>c_EL_DRL_Driver_Type: Configration for DRL driver type(LSD_MOSFET = 0; HSD_MOSFET = 1)</t>
  </si>
  <si>
    <t>c_EL_Direction_Light_Comfort_Enabled: Define the BCM if have comfort direction light(FALSE = 0; TRUE = 1)</t>
  </si>
  <si>
    <t>c_EL_CDL_Flash_Enabled: Confirm for lock/unlock by exterior light(FALSE = 0; TRUE = 1)</t>
  </si>
  <si>
    <t>c_EL_Vehicle_Seek_Flash_Enabled: Configration for vehicle seek function(FALSE = 0; TRUE = 1)</t>
  </si>
  <si>
    <t>c_EL_Panic_Flash_Enabled: Configration for panic flash function(FALSE = 0; TRUE = 1)</t>
  </si>
  <si>
    <t>c_EL_UID_Learn_Flash_Enabled: Configration for learn flash function(FALSE = 0; TRUE = 1)</t>
  </si>
  <si>
    <t>c_EL_ATWS_Flash_Enabled: Configration for ATWS flash function(FALSE = 0; TRUE = 1)</t>
  </si>
  <si>
    <t>c_EL_Emergency_Brake_Flash_Enabled: Configration for emergency brake flash function(FALSE = 0; TRUE = 1)</t>
  </si>
  <si>
    <t>c_EL_Leaving_Home_Light_Enabled: Configration for leaving home function(FALSE = 0; TRUE = 1)</t>
  </si>
  <si>
    <t>c_EL_Coming_Home_Light_Auto: Configration for auto coming home function(FALSE = 0; TRUE = 1)</t>
  </si>
  <si>
    <t>c_EL_Coming_Home_Light_Manual: Configration for manual coming home function(FALSE = 0; TRUE = 1)</t>
  </si>
  <si>
    <t>c_EL_Automatic_Headlamp_Enabled: Configration for auto headlamp function Enable(UNCODED = 0; CODED = 1)</t>
  </si>
  <si>
    <t>c_Roof_Light_For_Transport_Mode: If Dome lights are avaible in Transport Mode(UNCODED = 0; CODED = 1)</t>
  </si>
  <si>
    <t>c_Rooflight_With_Tailgate: if roof light will be on when tailgate open(UNCODED = 0; CODED = 1)</t>
  </si>
  <si>
    <t>c_Roof_Light_Dim_IC_Set_Enable: if roof dimming time can be adjust by IC panel(UNCODED = 0; CODED = 1)</t>
  </si>
  <si>
    <t>c_Roof_Light_By_Battery_Saver: if the battery saver power the roof light(UNCODED = 0; CODED = 1)</t>
  </si>
  <si>
    <t>c_Battery_Saver_Wake_Enabled: if battery save are able to detect load change in sleep mode(UNCODED = 0; CODED = 1)</t>
  </si>
  <si>
    <t>c_Battery_Saver_For_Engine_Hood: if the engine hood open need to switch on battery saver(UNCODED = 0; CODED = 1)</t>
  </si>
  <si>
    <t>c_Power_Moding_Inputs_Detection_Type: (IGN_SWITCH = 0
RELAY = 1)</t>
  </si>
  <si>
    <t>c_WW_Auto_Wiper_Enabled: (FALSE = 0; TRUE = 1)</t>
  </si>
  <si>
    <t>c_WW_Int_Wiper_Enabled: (FALSE = 0; TRUE = 1)</t>
  </si>
  <si>
    <t>c_WW_Washer_Nozzle_On_Engine_Hood: (FALSE = 0; TRUE = 1)</t>
  </si>
  <si>
    <t>c_WW_Washer_Control: (RELAY = 0; WIPER_HANDLE = 1)</t>
  </si>
  <si>
    <t>c_WW_Wiper_Power_Supply: (IGN = 0; BATTERY = 1)</t>
  </si>
  <si>
    <t>c_WW_Front_Wiper_Wash_Switch_Type: (LOW =0;
HIGH=1)</t>
  </si>
  <si>
    <t>c_WW_Rear_Wiper_Wash_Switch_Type: (LOW =0;
HIGH=1)</t>
  </si>
  <si>
    <t>c_WW_Front_Wiper_Switch_Type: (ANALOG = 0
 DIGITAL =1)</t>
  </si>
  <si>
    <t>c_Rear_Window_Heat_Time_Restrict: (FALSE = 0; TRUE = 1)</t>
  </si>
  <si>
    <t>c_PWL_Enabled: (FALSE = 0; TRUE = 1)</t>
  </si>
  <si>
    <t>c_Power_Window_Post_Carriage_Enabled: (FALSE = 0; TRUE = 1)</t>
  </si>
  <si>
    <t>c_PWL_Global_Open_Via_RKE_Enabled: (FALSE = 0; TRUE = 1)</t>
  </si>
  <si>
    <t>c_PWL_Global_Close_Via_RKE_Enabled: (FALSE = 0; TRUE = 1)</t>
  </si>
  <si>
    <t>c_Power_Window_Two_Stage_Down_Switch_Enabled: (FALSE = 0; TRUE = 1)</t>
  </si>
  <si>
    <t>c_PWL_Drv_Switch_Request_From_LIN: (FALSE=0; TURE=1)</t>
  </si>
  <si>
    <t>c_PWL_CoDrv_Switch_Request_From_LIN: (FALSE=0; TURE=1)</t>
  </si>
  <si>
    <t>c_PWL_RL_Switch_Request_From_LIN: (FALSE=0; TURE=1)</t>
  </si>
  <si>
    <t>c_PWL_RR_Switch_Request_From_LIN: (FALSE=0; TURE=1)</t>
  </si>
  <si>
    <t>c_PWL_Drv_Window_Controlled_Via_BCM: (FALSE=0; TURE=1)</t>
  </si>
  <si>
    <t>c_PWL_CoDrv_Window_Controlled_Via_BCM: (FALSE=0; TURE=1)</t>
  </si>
  <si>
    <t>c_PWL_RL_Window_Controlled_Via_BCM: (FALSE=0; TURE=1)</t>
  </si>
  <si>
    <t>c_PWL_RR_Window_Controlled_Via_BCM: (FALSE=0; TURE=1)</t>
  </si>
  <si>
    <t>c_Mirror_FoldUnfold_Enabled: (UNCODED = 0; CODED = 1)</t>
  </si>
  <si>
    <t>c_Mirror_IgnOn_Unfold_Enabled: (UNCODED = 0; CODED = 1)</t>
  </si>
  <si>
    <t>c_Horn_Output_Relay_Type: Config for external relay for horn output(INT_RELAY=0; EXT_RELAY = 1)</t>
  </si>
  <si>
    <t>c_KRM_Horn_Indication_Enabled: Config the horn output for the key in reminder indication(DISABLED = 0; ENABLED = 1)</t>
  </si>
  <si>
    <t>c_Acoustic_Reverse_Unlock_Enable: Config the reverse unlock horn indication(DISABLED = 0; ENABLED = 1)</t>
  </si>
  <si>
    <t>c_Vehicle_Seek_Enabled: (DISABLED = 0; ENABLED = 1)</t>
  </si>
  <si>
    <t>c_RF_In_BCM: (FALSE = 0; TRUE = 1)</t>
  </si>
  <si>
    <t>c_RF_Enable_In_Transport: (FALSE = 0; TRUE = 1)</t>
  </si>
  <si>
    <t>c_Passive_Function_Enabled: (FALSE = 0; TRUE = 1)</t>
  </si>
  <si>
    <t>c_Double_Press_RKE_Resync_Enabled: (FALSE = 0; TRUE = 1)</t>
  </si>
  <si>
    <t>c_UID_Low_Bat_Warning_Enabled: (FALSE = 0; TRUE = 1)</t>
  </si>
  <si>
    <t>c_Key_RF_Learning_Enable: (FALSE = 0; TRUE = 1)</t>
  </si>
  <si>
    <t>c_ECO_Mode_Enabled: (UNCODED = 0; CODED = 1)</t>
  </si>
  <si>
    <t>c_SPORT_Mode_Enabled: (UNCODED = 0; CODED = 1)</t>
  </si>
  <si>
    <t>Check SAB_Public.h for some hardcode coding</t>
  </si>
  <si>
    <t>reserve_0_6</t>
  </si>
  <si>
    <t>reserve_6_0</t>
  </si>
  <si>
    <t>reserve_7_0</t>
  </si>
  <si>
    <t>reserve_7_5</t>
  </si>
  <si>
    <t>c_Tailgate_Release_Switch_Input: If BCM or CAPE monitor the Status of Tailgate Release Switch(BCM = 0; CAPE = 1)</t>
  </si>
  <si>
    <t>FBLData1</t>
  </si>
  <si>
    <t>FBLData2</t>
  </si>
  <si>
    <t>p_t_Rear_Wiper_Programmed_Inactive_Delay</t>
  </si>
  <si>
    <t>p_t_Rear_Wiper_Programmed_Inactive_Delay: Inactive delay after rear washer is activated and before rear wiper is activated.</t>
  </si>
  <si>
    <t>Dummy 1300</t>
  </si>
  <si>
    <t>Dummy 13FF</t>
  </si>
  <si>
    <t>ICTData</t>
  </si>
  <si>
    <t>CustomerEOLData</t>
  </si>
  <si>
    <t>1F01</t>
  </si>
  <si>
    <t>DTMS_Configuration</t>
  </si>
  <si>
    <t>Data updater</t>
  </si>
  <si>
    <t>Name</t>
  </si>
  <si>
    <t>Location</t>
  </si>
  <si>
    <t>Physical Address</t>
  </si>
  <si>
    <t>Length(byte)</t>
  </si>
  <si>
    <t>Software Release Hex</t>
  </si>
  <si>
    <t>ICT Data(flash value get from HMF file)</t>
  </si>
  <si>
    <t>EOL Data</t>
  </si>
  <si>
    <t>Customer Factory</t>
  </si>
  <si>
    <t>Boot Load Flash</t>
  </si>
  <si>
    <t>System Name</t>
  </si>
  <si>
    <t>Code Flash</t>
  </si>
  <si>
    <t>0x04400~0x04408</t>
  </si>
  <si>
    <t>Value</t>
  </si>
  <si>
    <t>Flash With Code Hex</t>
  </si>
  <si>
    <t>No Action</t>
  </si>
  <si>
    <t>Flash</t>
  </si>
  <si>
    <t>System Supplier Identifier</t>
  </si>
  <si>
    <t>Read</t>
  </si>
  <si>
    <t>Software Version</t>
  </si>
  <si>
    <t>0x7FDDE~0x7FDE1</t>
  </si>
  <si>
    <t>ECU series number</t>
  </si>
  <si>
    <t>0x04000~0x0400F</t>
  </si>
  <si>
    <t>write in flash station</t>
  </si>
  <si>
    <t>Part Number</t>
  </si>
  <si>
    <t>Data Flash</t>
  </si>
  <si>
    <t>Customer Part Number</t>
  </si>
  <si>
    <t>Hardware Version</t>
  </si>
  <si>
    <t>Programming Data</t>
  </si>
  <si>
    <t>Value and Write</t>
  </si>
  <si>
    <t>Customer Serial Number</t>
  </si>
  <si>
    <t>Value and Flash</t>
  </si>
  <si>
    <t>VIN Code</t>
  </si>
  <si>
    <t>Clean Flash</t>
  </si>
  <si>
    <t>Learning status</t>
  </si>
  <si>
    <t>No  Action</t>
  </si>
  <si>
    <t>ECU State</t>
  </si>
  <si>
    <t>Default Value</t>
  </si>
  <si>
    <t>UID Transmitter ID</t>
  </si>
  <si>
    <t>Coding</t>
  </si>
  <si>
    <t>Parameters</t>
  </si>
  <si>
    <t>Others Dataflash Data</t>
  </si>
  <si>
    <t>Other Production Data</t>
  </si>
  <si>
    <t>Some need write</t>
  </si>
  <si>
    <t>NVM_VIN_CODE_Byte0</t>
  </si>
  <si>
    <t>The VIN CODE, Highest First, Byte 0</t>
  </si>
  <si>
    <t>NVM_VIN_CODE_Byte1</t>
  </si>
  <si>
    <t>The VIN CODE, Highest First, Byte 1</t>
  </si>
  <si>
    <t>NVM_VIN_CODE_Byte2</t>
  </si>
  <si>
    <t>The VIN CODE, Highest First, Byte 2</t>
  </si>
  <si>
    <t>NVM_VIN_CODE_Byte3</t>
  </si>
  <si>
    <t>The VIN CODE, Highest First, Byte 3</t>
  </si>
  <si>
    <t>NVM_VIN_CODE_Byte4</t>
  </si>
  <si>
    <t>The VIN CODE, Highest First, Byte 4</t>
  </si>
  <si>
    <t>NVM_VIN_CODE_Byte5</t>
  </si>
  <si>
    <t>The VIN CODE, Highest First, Byte 5</t>
  </si>
  <si>
    <t>NVM_VIN_CODE_Byte6</t>
  </si>
  <si>
    <t>The VIN CODE, Highest First, Byte 6</t>
  </si>
  <si>
    <t>NVM_VIN_CODE_Byte7</t>
  </si>
  <si>
    <t>The VIN CODE, Highest First, Byte 7</t>
  </si>
  <si>
    <t>NVM_VIN_CODE_Byte8</t>
  </si>
  <si>
    <t>The VIN CODE, Highest First, Byte 8</t>
  </si>
  <si>
    <t>NVM_VIN_CODE_Byte9</t>
  </si>
  <si>
    <t>The VIN CODE, Highest First, Byte 9</t>
  </si>
  <si>
    <t>NVM_VIN_CODE_Byte10</t>
  </si>
  <si>
    <t>The VIN CODE, Highest First, Byte 10</t>
  </si>
  <si>
    <t>NVM_VIN_CODE_Byte11</t>
  </si>
  <si>
    <t>The VIN CODE, Highest First, Byte 11</t>
  </si>
  <si>
    <t>NVM_VIN_CODE_Byte12</t>
  </si>
  <si>
    <t>The VIN CODE, Highest First, Byte 12</t>
  </si>
  <si>
    <t>NVM_VIN_CODE_Byte13</t>
  </si>
  <si>
    <t>The VIN CODE, Highest First, Byte 13</t>
  </si>
  <si>
    <t>NVM_VIN_CODE_Byte14</t>
  </si>
  <si>
    <t>The VIN CODE, Highest First, Byte 14</t>
  </si>
  <si>
    <t>NVM_VIN_CODE_Byte15</t>
  </si>
  <si>
    <t>The VIN CODE, Highest First, Byte 15</t>
  </si>
  <si>
    <t>NVM_VIN_CODE_Byte16</t>
  </si>
  <si>
    <t>The VIN CODE, Highest First, Byte 16</t>
  </si>
  <si>
    <t>reserved_byte29</t>
  </si>
  <si>
    <t>reserved_byte30</t>
  </si>
  <si>
    <t>reserved_byte31</t>
  </si>
  <si>
    <t>HW_VERSION_NUM_Byte0</t>
  </si>
  <si>
    <t>hardware version nember</t>
  </si>
  <si>
    <t>HW_VERSION_NUM_Byte1</t>
  </si>
  <si>
    <t>HW_VERSION_NUM_Byte2</t>
  </si>
  <si>
    <t>HW_VERSION_NUM_Byte3</t>
  </si>
  <si>
    <t>HELLA_PN_Byte0</t>
  </si>
  <si>
    <t>HELLA part number</t>
  </si>
  <si>
    <t>HELLA_PN_Byte1</t>
  </si>
  <si>
    <t>HELLA_PN_Byte2</t>
  </si>
  <si>
    <t>HELLA_PN_Byte3</t>
  </si>
  <si>
    <t>HELLA_PN_Byte4</t>
  </si>
  <si>
    <t>HELLA_PN_Byte5</t>
  </si>
  <si>
    <t>HELLA_PN_Byte6</t>
  </si>
  <si>
    <t>HELLA_PN_Byte7</t>
  </si>
  <si>
    <t>HELLA_PN_Byte8</t>
  </si>
  <si>
    <t>HELLA_PN_Byte9</t>
  </si>
  <si>
    <t>HELLA_PN_Byte10</t>
  </si>
  <si>
    <t>HELLA_PN_Byte11</t>
  </si>
  <si>
    <t>HELLA_PN_Byte12</t>
  </si>
  <si>
    <t>HELLA_PN_Byte13</t>
  </si>
  <si>
    <t>HELLA_PN_Byte14</t>
  </si>
  <si>
    <t>CUSTOMER_PN_Byte0</t>
  </si>
  <si>
    <t>customer part number</t>
  </si>
  <si>
    <t>CUSTOMER_PN_Byte1</t>
  </si>
  <si>
    <t>CUSTOMER_PN_Byte2</t>
  </si>
  <si>
    <t>CUSTOMER_PN_Byte3</t>
  </si>
  <si>
    <t>CUSTOMER_PN_Byte4</t>
  </si>
  <si>
    <t>CUSTOMER_PN_Byte5</t>
  </si>
  <si>
    <t>CUSTOMER_PN_Byte6</t>
  </si>
  <si>
    <t>CUSTOMER_PN_Byte7</t>
  </si>
  <si>
    <t>CUSTOMER_PN_Byte8</t>
  </si>
  <si>
    <t>Hella_Variety</t>
  </si>
  <si>
    <t>Hella Variety</t>
  </si>
  <si>
    <t>EOL_Stamp_Result</t>
  </si>
  <si>
    <t>EOL stamp result</t>
  </si>
  <si>
    <t>EOL_Stamp_Date1</t>
  </si>
  <si>
    <t>EOL stamp date Byte1</t>
  </si>
  <si>
    <t>EOL_Stamp_Date2</t>
  </si>
  <si>
    <t>EOL stamp date Byte2</t>
  </si>
  <si>
    <t>EOL_Stamp_Date3</t>
  </si>
  <si>
    <t>EOL stamp date Byte3</t>
  </si>
  <si>
    <t>EOL_Stamp_Date4</t>
  </si>
  <si>
    <t>EOL stamp date Byte4</t>
  </si>
  <si>
    <t>EOL_Stamp_Date5</t>
  </si>
  <si>
    <t>EOL stamp date Byte5</t>
  </si>
  <si>
    <t>EOL_Stamp_Date6</t>
  </si>
  <si>
    <t>EOL stamp date Byte6</t>
  </si>
  <si>
    <t>EOL_Manufact_Code_Byte0</t>
  </si>
  <si>
    <t>Manufacturer Code Byte0</t>
  </si>
  <si>
    <t>EOL_Manufact_Code_Byte1</t>
  </si>
  <si>
    <t>Manufacturer Code Byte1</t>
  </si>
  <si>
    <t>EOL_Manufact_Code_Byte2</t>
  </si>
  <si>
    <t>Manufacturer Code Byte2</t>
  </si>
  <si>
    <t>EOL_ManuFactID_Byte0</t>
  </si>
  <si>
    <t>Manufacturer Factory ID Byte0</t>
  </si>
  <si>
    <t>EOL_ManuFactID_Byte1</t>
  </si>
  <si>
    <t>Manufacturer Factory ID Byte1</t>
  </si>
  <si>
    <t>EOL_ManuFactID_Byte2</t>
  </si>
  <si>
    <t>Manufacturer Factory ID Byte2</t>
  </si>
  <si>
    <t>EOL_PrEP_Stanumber_Byte0</t>
  </si>
  <si>
    <t>Production EP station number0</t>
  </si>
  <si>
    <t>EOL_PrEP_Stanumber_Byte1</t>
  </si>
  <si>
    <t>Production EP station number1</t>
  </si>
  <si>
    <t>EOL_Consec_Pnumber_Byte0</t>
  </si>
  <si>
    <t>consecutive Production Number EP Byte0</t>
  </si>
  <si>
    <t>EOL_Consec_Pnumber_Byte1</t>
  </si>
  <si>
    <t>consecutive Production Number EP Byte1</t>
  </si>
  <si>
    <t>EOL_Consec_Pnumber_Byte2</t>
  </si>
  <si>
    <t>consecutive Production Number EP Byte2</t>
  </si>
  <si>
    <t>EOL_Consec_Pnumber_Byte3</t>
  </si>
  <si>
    <t>consecutive Production Number EP Byte3</t>
  </si>
  <si>
    <t>EOL_Prod_Revision_Byte0</t>
  </si>
  <si>
    <t>Production change revision byte0</t>
  </si>
  <si>
    <t>EOL_Prod_Revision_Byte1</t>
  </si>
  <si>
    <t>Production change revision byte1</t>
  </si>
  <si>
    <t>EOL_Prod_Revision_Byte2</t>
  </si>
  <si>
    <t>Production change revision byte2</t>
  </si>
  <si>
    <t>EOL_Prod_Revision_Byte3</t>
  </si>
  <si>
    <t>Production change revision byte3</t>
  </si>
  <si>
    <t>EOL_Prod_Revision_Byte4</t>
  </si>
  <si>
    <t>Production change revision byte4</t>
  </si>
  <si>
    <t>EOL_Prod_Revision_Byte5</t>
  </si>
  <si>
    <t>Production change revision byte5</t>
  </si>
  <si>
    <t>EOL_Prod_Revision_Byte6</t>
  </si>
  <si>
    <t>Production change revision byte6</t>
  </si>
  <si>
    <t>EOL_Prod_Revision_Byte7</t>
  </si>
  <si>
    <t>Production change revision byte7</t>
  </si>
  <si>
    <t>EOL_Customer_Series_Num_Byte0</t>
  </si>
  <si>
    <t>Production serial number byte0</t>
  </si>
  <si>
    <t>EOL_Customer_Series_Num_Byte1</t>
  </si>
  <si>
    <t>Production serial number byte1</t>
  </si>
  <si>
    <t>EOL_Customer_Series_Num_Byte2</t>
  </si>
  <si>
    <t>Production serial number byte2</t>
  </si>
  <si>
    <t>EOL_Customer_Series_Num_Byte3</t>
  </si>
  <si>
    <t>Production serial number byte3</t>
  </si>
  <si>
    <t>EOL_Customer_Series_Num_Byte4</t>
  </si>
  <si>
    <t>Production serial number byte4</t>
  </si>
  <si>
    <t>EOL_Customer_Series_Num_Byte5</t>
  </si>
  <si>
    <t>Production serial number byte5</t>
  </si>
  <si>
    <t>EOL_Customer_Series_Num_Byte6</t>
  </si>
  <si>
    <t>Production serial number byte6</t>
  </si>
  <si>
    <t>EOL_Customer_Series_Num_Byte7</t>
  </si>
  <si>
    <t>Production serial number byte7</t>
  </si>
  <si>
    <t>EOL_Customer_Series_Num_Byte8</t>
  </si>
  <si>
    <t>Production serial number byte8</t>
  </si>
  <si>
    <t>EOL_Customer_Series_Num_Byte9</t>
  </si>
  <si>
    <t>Production serial number byte9</t>
  </si>
  <si>
    <t>EOL_Customer_Series_Num_Byte10</t>
  </si>
  <si>
    <t>Production serial number byte10</t>
  </si>
  <si>
    <t>EOL_Customer_Series_Num_Byte11</t>
  </si>
  <si>
    <t>Production serial number byte11</t>
  </si>
  <si>
    <t>EOL_Customer_Series_Num_Byte12</t>
  </si>
  <si>
    <t>Production serial number byte12</t>
  </si>
  <si>
    <t>EOL_Customer_Series_Num_Byte13</t>
  </si>
  <si>
    <t>Production serial number byte13</t>
  </si>
  <si>
    <t>EOL_Customer_Series_Num_Byte14</t>
  </si>
  <si>
    <t>Production serial number byte14</t>
  </si>
  <si>
    <t>EOL_Customer_Series_Num_Byte15</t>
  </si>
  <si>
    <t>Production serial number byte15</t>
  </si>
  <si>
    <t>RF_RFResult</t>
  </si>
  <si>
    <t>RF OK or not</t>
  </si>
  <si>
    <t>ICT_Stamp_Result</t>
  </si>
  <si>
    <t>ICT Stamp Result</t>
  </si>
  <si>
    <t>ICT_Station_Num_Byte0</t>
  </si>
  <si>
    <t>ICT station number byte0</t>
  </si>
  <si>
    <t>ICT_Station_Num_Byte1</t>
  </si>
  <si>
    <t>ICT station number byte1</t>
  </si>
  <si>
    <t>ICT_Stamp_Date_Byte0</t>
  </si>
  <si>
    <t>ICT stamp date byte0</t>
  </si>
  <si>
    <t>ICT_Stamp_Date_Byte1</t>
  </si>
  <si>
    <t>ICT stamp date byte1</t>
  </si>
  <si>
    <t>ICT_Stamp_Date_Byte2</t>
  </si>
  <si>
    <t>ICT stamp date byte2</t>
  </si>
  <si>
    <t>ICT_Stamp_Date_Byte3</t>
  </si>
  <si>
    <t>ICT stamp date byte3</t>
  </si>
  <si>
    <t>ICT_Stamp_Date_Byte4</t>
  </si>
  <si>
    <t>ICT stamp date byte4</t>
  </si>
  <si>
    <t>ICT_Stamp_Date_Byte5</t>
  </si>
  <si>
    <t>ICT stamp date byte5</t>
  </si>
  <si>
    <t>NVM_PROGRAMING_DATE_BYTE0</t>
  </si>
  <si>
    <t>Programming date Byte0</t>
  </si>
  <si>
    <t>NVM_PROGRAMING_DATE_BYTE1</t>
  </si>
  <si>
    <t>Programming date Byte1</t>
  </si>
  <si>
    <t>NVM_PROGRAMING_DATE_BYTE2</t>
  </si>
  <si>
    <t>Programming date Byte2</t>
  </si>
  <si>
    <t>NVM_PROGRAMING_DATE_BYTE3</t>
  </si>
  <si>
    <t>Programming date Byte3</t>
  </si>
  <si>
    <t>NVM_PROGRAMING_DATE_BYTE4</t>
  </si>
  <si>
    <t>Programming date Byte4</t>
  </si>
  <si>
    <t>NVM_PROGRAMING_DATE_BYTE5</t>
  </si>
  <si>
    <t>Programming date Byte5</t>
  </si>
  <si>
    <t>DiagBackupInfo0</t>
  </si>
  <si>
    <t>DiagBackupInfo1</t>
  </si>
  <si>
    <t>DiagBackupInfo2</t>
  </si>
  <si>
    <t>DiagBackupInfo3</t>
  </si>
  <si>
    <t>DiagBackupInfo4</t>
  </si>
  <si>
    <t>DiagBackupInfo5</t>
  </si>
  <si>
    <t>DiagBackupInfo6</t>
  </si>
  <si>
    <t>DiagBackupInfo7</t>
  </si>
  <si>
    <t>DiagBackupInfo8</t>
  </si>
  <si>
    <t>DiagBackupInfo9</t>
  </si>
  <si>
    <t>DiagBackupInfo10</t>
  </si>
  <si>
    <t>DiagBackupInfo11</t>
  </si>
  <si>
    <t>DiagBackupInfo12</t>
  </si>
  <si>
    <t>DiagBackupInfo13</t>
  </si>
  <si>
    <t>DiagBackupInfo14</t>
  </si>
  <si>
    <t>DiagBackupInfo15</t>
  </si>
  <si>
    <t>DiagBackupInfo16</t>
  </si>
  <si>
    <t>DiagBackupInfo17</t>
  </si>
  <si>
    <t>DiagBackupInfo18</t>
  </si>
  <si>
    <t>DiagBackupInfo19</t>
  </si>
  <si>
    <t>DiagBackupInfo20</t>
  </si>
  <si>
    <t>DiagBackupInfo21</t>
  </si>
  <si>
    <t>DiagBackupInfo22</t>
  </si>
  <si>
    <t>DiagBackupInfo23</t>
  </si>
  <si>
    <t>DiagBackupInfo24</t>
  </si>
  <si>
    <t>DiagBackupInfo25</t>
  </si>
  <si>
    <t>DiagBackupInfo26</t>
  </si>
  <si>
    <t>DiagBackupInfo27</t>
  </si>
  <si>
    <t>DiagBackupInfo28</t>
  </si>
  <si>
    <t>DiagBackupInfo29</t>
  </si>
  <si>
    <t>DiagBackupInfo30</t>
  </si>
  <si>
    <t>DiagBackupInfo31</t>
  </si>
  <si>
    <t>DiagBackupInfo32</t>
  </si>
  <si>
    <t>DiagBackupInfo33</t>
  </si>
  <si>
    <t>DiagBackupInfo34</t>
  </si>
  <si>
    <t>DiagBackupInfo35</t>
  </si>
  <si>
    <t>DiagBackupInfo36</t>
  </si>
  <si>
    <t>DiagBackupInfo37</t>
  </si>
  <si>
    <t>DiagBackupInfo38</t>
  </si>
  <si>
    <t>DiagBackupInfo39</t>
  </si>
  <si>
    <t>DiagBackupInfo40</t>
  </si>
  <si>
    <t>DiagBackupInfo41</t>
  </si>
  <si>
    <t>DiagBackupInfo42</t>
  </si>
  <si>
    <t>DiagBackupInfo43</t>
  </si>
  <si>
    <t>DiagBackupInfo44</t>
  </si>
  <si>
    <t>DiagBackupInfo45</t>
  </si>
  <si>
    <t>DiagBackupInfo46</t>
  </si>
  <si>
    <t>DiagBackupInfo47</t>
  </si>
  <si>
    <t>DiagBackupInfo48</t>
  </si>
  <si>
    <t>DiagBackupInfo49</t>
  </si>
  <si>
    <t>DiagBackupInfo50</t>
  </si>
  <si>
    <t>DiagBackupInfo51</t>
  </si>
  <si>
    <t>DiagBackupInfo52</t>
  </si>
  <si>
    <t>DiagBackupInfo53</t>
  </si>
  <si>
    <t>DiagBackupInfo54</t>
  </si>
  <si>
    <t>DiagBackupInfo55</t>
  </si>
  <si>
    <t>DiagBackupInfo56</t>
  </si>
  <si>
    <t>DiagBackupInfo57</t>
  </si>
  <si>
    <t>DiagBackupInfo58</t>
  </si>
  <si>
    <t>DiagBackupInfo59</t>
  </si>
  <si>
    <t>DiagBackupInfo60</t>
  </si>
  <si>
    <t>DiagBackupInfo61</t>
  </si>
  <si>
    <t>DiagBackupInfo62</t>
  </si>
  <si>
    <t>DiagBackupInfo63</t>
  </si>
  <si>
    <t>Backup Configuration Information</t>
  </si>
  <si>
    <t>VehNWConfig0</t>
  </si>
  <si>
    <t>VehNWConfig1</t>
  </si>
  <si>
    <t>VehNWConfig2</t>
  </si>
  <si>
    <t>VehNWConfig3</t>
  </si>
  <si>
    <t>VehNWConfig4</t>
  </si>
  <si>
    <t>VehNWConfig5</t>
  </si>
  <si>
    <t>VehNWConfig6</t>
  </si>
  <si>
    <t>VehNWConfig7</t>
  </si>
  <si>
    <t>Vehicle Network Configuration</t>
  </si>
  <si>
    <t>ECUInstallData0</t>
  </si>
  <si>
    <t>ECUInstallData1</t>
  </si>
  <si>
    <t>ECUInstallData2</t>
  </si>
  <si>
    <t>ECUInstallData3</t>
  </si>
  <si>
    <t>ECU Installation Data</t>
  </si>
  <si>
    <t>Vehicle_Name0</t>
  </si>
  <si>
    <t>Vehicle_Name1</t>
  </si>
  <si>
    <t>Vehicle_Name2</t>
  </si>
  <si>
    <t>Vehicle_Name3</t>
  </si>
  <si>
    <t>Vehicle_Name4</t>
  </si>
  <si>
    <t>Vehicle_Name5</t>
  </si>
  <si>
    <t>Vehicle_Name6</t>
  </si>
  <si>
    <t>Vehicle_Name7</t>
  </si>
  <si>
    <t>Vehicle name</t>
  </si>
  <si>
    <t>#define NvMBlockLength_ICTData    EEP_ICTDATA_BYTE_NUMBER</t>
  </si>
  <si>
    <t>#define NvMBlockLength_CustomerEOLData    EEP_CUSTOMEREOLDATA_BYTE_NUMBER</t>
  </si>
  <si>
    <t>#define NvMBlockLength_FBLData1    EEP_FBLDATA1_BYTE_NUMBER</t>
  </si>
  <si>
    <t>#define NvMBlockLength_FBLData2    EEP_FBLDATA2_BYTE_NUMBER</t>
  </si>
  <si>
    <t>#define NvMBlockLength_DTMS_Configuration    EEP_DTMS_CONFIGURATION_BYTE_NUMBER</t>
  </si>
  <si>
    <t>20|1</t>
  </si>
  <si>
    <t>50|1</t>
  </si>
  <si>
    <t>25|1</t>
  </si>
  <si>
    <t>100|1</t>
  </si>
  <si>
    <t>40|1</t>
  </si>
  <si>
    <t>Dummy A00</t>
  </si>
  <si>
    <t>A00</t>
  </si>
  <si>
    <t>Dummy AFF</t>
  </si>
  <si>
    <t>AFF</t>
  </si>
  <si>
    <t>Dummy B00</t>
  </si>
  <si>
    <t>B00</t>
  </si>
  <si>
    <t>Dummy BFF</t>
  </si>
  <si>
    <t>BFF</t>
  </si>
  <si>
    <t>Dummy C00</t>
  </si>
  <si>
    <t>C00</t>
  </si>
  <si>
    <t>Dummy CFF</t>
  </si>
  <si>
    <t>CFF</t>
  </si>
  <si>
    <t>D00</t>
  </si>
  <si>
    <t>DFF</t>
  </si>
  <si>
    <t>E00</t>
  </si>
  <si>
    <t>EFF</t>
  </si>
  <si>
    <t>F00</t>
  </si>
  <si>
    <t>FFF</t>
  </si>
  <si>
    <t>1002</t>
  </si>
  <si>
    <t>1003</t>
  </si>
  <si>
    <t>1004</t>
  </si>
  <si>
    <t>1005</t>
  </si>
  <si>
    <t>1006</t>
  </si>
  <si>
    <t>1007</t>
  </si>
  <si>
    <t>1008</t>
  </si>
  <si>
    <t>1009</t>
  </si>
  <si>
    <t>100A</t>
  </si>
  <si>
    <t>100B</t>
  </si>
  <si>
    <t>100C</t>
  </si>
  <si>
    <t>100D</t>
  </si>
  <si>
    <t>100E</t>
  </si>
  <si>
    <t>100F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</si>
  <si>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</si>
  <si>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</si>
  <si>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</si>
  <si>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</si>
  <si>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</si>
  <si>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</si>
  <si>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</si>
  <si>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</si>
  <si>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</si>
  <si>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</si>
  <si>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101A</t>
  </si>
  <si>
    <t>101B</t>
  </si>
  <si>
    <t>101C</t>
  </si>
  <si>
    <t>101D</t>
  </si>
  <si>
    <t>101E</t>
  </si>
  <si>
    <t>101F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</si>
  <si>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</si>
  <si>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</si>
  <si>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</si>
  <si>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</si>
  <si>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</si>
  <si>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</si>
  <si>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</si>
  <si>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</si>
  <si>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</si>
  <si>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</si>
  <si>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102A</t>
  </si>
  <si>
    <t>102B</t>
  </si>
  <si>
    <t>102C</t>
  </si>
  <si>
    <t>102D</t>
  </si>
  <si>
    <t>102E</t>
  </si>
  <si>
    <t>102F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</si>
  <si>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</si>
  <si>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</si>
  <si>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</si>
  <si>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</si>
  <si>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</si>
  <si>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</si>
  <si>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</si>
  <si>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</si>
  <si>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</si>
  <si>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</si>
  <si>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103A</t>
  </si>
  <si>
    <t>103B</t>
  </si>
  <si>
    <t>103C</t>
  </si>
  <si>
    <t>103D</t>
  </si>
  <si>
    <t>103E</t>
  </si>
  <si>
    <t>103F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</si>
  <si>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</si>
  <si>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</si>
  <si>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</si>
  <si>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</si>
  <si>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</si>
  <si>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</si>
  <si>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</si>
  <si>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</si>
  <si>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</si>
  <si>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</si>
  <si>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104A</t>
  </si>
  <si>
    <t>104B</t>
  </si>
  <si>
    <t>104C</t>
  </si>
  <si>
    <t>104D</t>
  </si>
  <si>
    <t>104E</t>
  </si>
  <si>
    <t>104F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</si>
  <si>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</si>
  <si>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</si>
  <si>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</si>
  <si>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</si>
  <si>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</si>
  <si>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</si>
  <si>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</si>
  <si>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</si>
  <si>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</si>
  <si>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</si>
  <si>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105A</t>
  </si>
  <si>
    <t>105B</t>
  </si>
  <si>
    <t>105C</t>
  </si>
  <si>
    <t>105D</t>
  </si>
  <si>
    <t>105E</t>
  </si>
  <si>
    <t>105F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</si>
  <si>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</si>
  <si>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</si>
  <si>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</si>
  <si>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</si>
  <si>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</si>
  <si>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</si>
  <si>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</si>
  <si>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</si>
  <si>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</si>
  <si>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</si>
  <si>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106A</t>
  </si>
  <si>
    <t>106B</t>
  </si>
  <si>
    <t>106C</t>
  </si>
  <si>
    <t>106D</t>
  </si>
  <si>
    <t>106E</t>
  </si>
  <si>
    <t>106F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</si>
  <si>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</si>
  <si>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</si>
  <si>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</si>
  <si>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</si>
  <si>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</si>
  <si>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</si>
  <si>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</si>
  <si>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</si>
  <si>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</si>
  <si>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</si>
  <si>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107A</t>
  </si>
  <si>
    <t>107B</t>
  </si>
  <si>
    <t>107C</t>
  </si>
  <si>
    <t>107D</t>
  </si>
  <si>
    <t>107E</t>
  </si>
  <si>
    <t>107F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</si>
  <si>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</si>
  <si>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</si>
  <si>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</si>
  <si>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</si>
  <si>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</si>
  <si>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</si>
  <si>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</si>
  <si>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</si>
  <si>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</si>
  <si>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</si>
  <si>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108A</t>
  </si>
  <si>
    <t>108B</t>
  </si>
  <si>
    <t>108C</t>
  </si>
  <si>
    <t>108D</t>
  </si>
  <si>
    <t>108E</t>
  </si>
  <si>
    <t>108F</t>
  </si>
  <si>
    <t>1090</t>
  </si>
  <si>
    <t>1091</t>
  </si>
  <si>
    <t>1092</t>
  </si>
  <si>
    <t>10FF</t>
  </si>
  <si>
    <t>0A02</t>
  </si>
  <si>
    <t>0A03</t>
  </si>
  <si>
    <t>0A04</t>
  </si>
  <si>
    <t>0A05</t>
  </si>
  <si>
    <t>0A06</t>
  </si>
  <si>
    <t>0A07</t>
  </si>
  <si>
    <t>0A08</t>
  </si>
  <si>
    <t>0A09</t>
  </si>
  <si>
    <t>0A0A</t>
  </si>
  <si>
    <t>0A0B</t>
  </si>
  <si>
    <t>0A0C</t>
  </si>
  <si>
    <t>0A0D</t>
  </si>
  <si>
    <t>0A0E</t>
  </si>
  <si>
    <t>0A0F</t>
  </si>
  <si>
    <t>0A10</t>
  </si>
  <si>
    <t>0B02</t>
  </si>
  <si>
    <t>0B03</t>
  </si>
  <si>
    <t>0B04</t>
  </si>
  <si>
    <t>0C02</t>
  </si>
  <si>
    <t>0C03</t>
  </si>
  <si>
    <t>0C04</t>
  </si>
  <si>
    <t>0D02</t>
  </si>
  <si>
    <t>0D03</t>
  </si>
  <si>
    <t>0D04</t>
  </si>
  <si>
    <t>0D05</t>
  </si>
  <si>
    <t>0D06</t>
  </si>
  <si>
    <t>0D07</t>
  </si>
  <si>
    <t>0D08</t>
  </si>
  <si>
    <t>0D09</t>
  </si>
  <si>
    <t>0D0A</t>
  </si>
  <si>
    <t>0D0B</t>
  </si>
  <si>
    <t>0D0C</t>
  </si>
  <si>
    <t>0D0D</t>
  </si>
  <si>
    <t>0D0E</t>
  </si>
  <si>
    <t>0D0F</t>
  </si>
  <si>
    <t>0D10</t>
  </si>
  <si>
    <t>0D11</t>
  </si>
  <si>
    <t>0E02</t>
  </si>
  <si>
    <t>0E03</t>
  </si>
  <si>
    <t>0E04</t>
  </si>
  <si>
    <t>0E05</t>
  </si>
  <si>
    <t>0E06</t>
  </si>
  <si>
    <t>0E07</t>
  </si>
  <si>
    <t>0E08</t>
  </si>
  <si>
    <t>0E09</t>
  </si>
  <si>
    <t>0E0A</t>
  </si>
  <si>
    <t>0E0B</t>
  </si>
  <si>
    <t>0E0C</t>
  </si>
  <si>
    <t>0E0D</t>
  </si>
  <si>
    <t>0F02</t>
  </si>
  <si>
    <t>0F03</t>
  </si>
  <si>
    <t>0F04</t>
  </si>
  <si>
    <t>0F05</t>
  </si>
  <si>
    <t>0F07</t>
  </si>
  <si>
    <t>0F09</t>
  </si>
  <si>
    <t>0F0A</t>
  </si>
  <si>
    <t>0F0B</t>
  </si>
  <si>
    <t>0F0C</t>
  </si>
  <si>
    <t>0F0D</t>
  </si>
  <si>
    <t>0F0E</t>
  </si>
  <si>
    <t>0F0F</t>
  </si>
  <si>
    <t>0F10</t>
  </si>
  <si>
    <t>0F12</t>
  </si>
  <si>
    <t>0F14</t>
  </si>
  <si>
    <t>0F15</t>
  </si>
  <si>
    <t>0F16</t>
  </si>
  <si>
    <t>0F17</t>
  </si>
  <si>
    <t>0F18</t>
  </si>
  <si>
    <t>0F19</t>
  </si>
  <si>
    <t>0F1A</t>
  </si>
  <si>
    <t>0F1B</t>
  </si>
  <si>
    <t>0F1C</t>
  </si>
  <si>
    <t>0F1D</t>
  </si>
  <si>
    <t>0F1E</t>
  </si>
  <si>
    <t>0F1F</t>
  </si>
  <si>
    <t>0F20</t>
  </si>
  <si>
    <t>0F21</t>
  </si>
  <si>
    <t>0F22</t>
  </si>
  <si>
    <t>0F23</t>
  </si>
  <si>
    <t>0F25</t>
  </si>
  <si>
    <t>0F26</t>
  </si>
  <si>
    <t>0F27</t>
  </si>
  <si>
    <t>0F28</t>
  </si>
  <si>
    <t>0F29</t>
  </si>
  <si>
    <t>0F2A</t>
  </si>
  <si>
    <t>0F2B</t>
  </si>
  <si>
    <t>0F2C</t>
  </si>
  <si>
    <t>0F2D</t>
  </si>
  <si>
    <t>0F2E</t>
  </si>
  <si>
    <t>0F2F</t>
  </si>
  <si>
    <t>0F30</t>
  </si>
  <si>
    <t>0F31</t>
  </si>
  <si>
    <t>0F32</t>
  </si>
  <si>
    <t>0F33</t>
  </si>
  <si>
    <t>0F34</t>
  </si>
  <si>
    <t>0F35</t>
  </si>
  <si>
    <t>0F36</t>
  </si>
  <si>
    <t>0F37</t>
  </si>
  <si>
    <t>0F38</t>
  </si>
  <si>
    <t>0F39</t>
  </si>
  <si>
    <t>0F3A</t>
  </si>
  <si>
    <t>0F3B</t>
  </si>
  <si>
    <t>0F3C</t>
  </si>
  <si>
    <t>0F3D</t>
  </si>
  <si>
    <t>0F3E</t>
  </si>
  <si>
    <t>0F3F</t>
  </si>
  <si>
    <t>0F40</t>
  </si>
  <si>
    <t>0F41</t>
  </si>
  <si>
    <t>0F42</t>
  </si>
  <si>
    <t>0F45</t>
  </si>
  <si>
    <t>0F46</t>
  </si>
  <si>
    <t>0F47</t>
  </si>
  <si>
    <t>0F48</t>
  </si>
  <si>
    <t>0F49</t>
  </si>
  <si>
    <t>0F4A</t>
  </si>
  <si>
    <t>0F4B</t>
  </si>
  <si>
    <t>0F4C</t>
  </si>
  <si>
    <t>0F4D</t>
  </si>
  <si>
    <t>0F4E</t>
  </si>
  <si>
    <t>0F4F</t>
  </si>
  <si>
    <t>0F50</t>
  </si>
  <si>
    <t>0F51</t>
  </si>
  <si>
    <t>0F52</t>
  </si>
  <si>
    <t>0F53</t>
  </si>
  <si>
    <t>0F54</t>
  </si>
  <si>
    <t>0F55</t>
  </si>
  <si>
    <t>0F56</t>
  </si>
  <si>
    <t>0F57</t>
  </si>
  <si>
    <t>0F58</t>
  </si>
  <si>
    <t>0F59</t>
  </si>
  <si>
    <t>0F5A</t>
  </si>
  <si>
    <t>0F5B</t>
  </si>
  <si>
    <t>0F5C</t>
  </si>
  <si>
    <t>0F5D</t>
  </si>
  <si>
    <t>0F60</t>
  </si>
  <si>
    <t>0F61</t>
  </si>
  <si>
    <t>0F62</t>
  </si>
  <si>
    <t>0F63</t>
  </si>
  <si>
    <t>0F64</t>
  </si>
  <si>
    <t>0F65</t>
  </si>
  <si>
    <t>0F66</t>
  </si>
  <si>
    <t>0F67</t>
  </si>
  <si>
    <t>0F68</t>
  </si>
  <si>
    <t>0F69</t>
  </si>
  <si>
    <t>0F6A</t>
  </si>
  <si>
    <t>0F6B</t>
  </si>
  <si>
    <t>0F6C</t>
  </si>
  <si>
    <t>0F6D</t>
  </si>
  <si>
    <t>0F6E</t>
  </si>
  <si>
    <t>0F6F</t>
  </si>
  <si>
    <t>0F70</t>
  </si>
  <si>
    <t>0F71</t>
  </si>
  <si>
    <t>0F72</t>
  </si>
  <si>
    <t>0F73</t>
  </si>
  <si>
    <t>0F74</t>
  </si>
  <si>
    <t>0F75</t>
  </si>
  <si>
    <t>0F76</t>
  </si>
  <si>
    <t>0F77</t>
  </si>
  <si>
    <t>0F78</t>
  </si>
  <si>
    <t>0F79</t>
  </si>
  <si>
    <t>0F7A</t>
  </si>
  <si>
    <t>0F7B</t>
  </si>
  <si>
    <t>0F7C</t>
  </si>
  <si>
    <t>0F7D</t>
  </si>
  <si>
    <t>0F7E</t>
  </si>
  <si>
    <t>0F7F</t>
  </si>
  <si>
    <t>0F80</t>
  </si>
  <si>
    <t>0F81</t>
  </si>
  <si>
    <t>0F82</t>
  </si>
  <si>
    <t>0F83</t>
  </si>
  <si>
    <t>0F84</t>
  </si>
  <si>
    <t>0F85</t>
  </si>
  <si>
    <t>0F86</t>
  </si>
  <si>
    <t>0F87</t>
  </si>
  <si>
    <t>0F88</t>
  </si>
  <si>
    <t>p_n_EL_Position_Light_Intensity1</t>
  </si>
  <si>
    <t>p_n_EL_Position_Light_Intensity1: Rear Positioin light flashing intensity (%).</t>
  </si>
  <si>
    <t>p_n_EL_Position_Light_Frequency</t>
  </si>
  <si>
    <t>p_n_EL_Position_Light_Frequency: Rear Positioin light flashing frequency.</t>
  </si>
  <si>
    <t>0F89</t>
  </si>
  <si>
    <t>0F8A</t>
  </si>
  <si>
    <t>p_t_PWL_Max_Auto_Switch_Time</t>
  </si>
  <si>
    <t>0F8B</t>
  </si>
  <si>
    <t>p_t_PWL_Max_Auto_Switch_Time: The max time for window swtich from Auto-&gt;Manual-&gt;Inactive</t>
  </si>
  <si>
    <t>c_Steer_Whl_Type</t>
  </si>
  <si>
    <t>c_Steer_Whl_Type : Indicate Steer Wheel type (LEFT_HAND: 0, RIGHT_HAND: 1)</t>
  </si>
  <si>
    <t>BCMFuncConfig</t>
  </si>
  <si>
    <t>BCMFuncConfig0</t>
  </si>
  <si>
    <t>BCMFuncConfig1</t>
  </si>
  <si>
    <t>BCMFuncConfig2</t>
  </si>
  <si>
    <t>BCMFuncConfig3</t>
  </si>
  <si>
    <t>BCMFuncConfig4</t>
  </si>
  <si>
    <t>p_t_Tbox_Light_Warning_Delay</t>
  </si>
  <si>
    <t>p_t_Tbox_Light_Warning_Delay: Tbox Light On Warning delay time.</t>
  </si>
  <si>
    <t>p_n_RD_Heat_Low_Volt</t>
  </si>
  <si>
    <t>p_n_RD_Heat_Low_Volt: The lowest voltage rear defogger works normally</t>
  </si>
  <si>
    <t>p_n_Back_Light_Frequency</t>
  </si>
  <si>
    <t>p_n_Backlight_Level_1</t>
  </si>
  <si>
    <t>p_n_Backlight_Level_2</t>
  </si>
  <si>
    <t>p_n_Backlight_Level_3</t>
  </si>
  <si>
    <t>p_n_Backlight_Level_4</t>
  </si>
  <si>
    <t>p_n_Backlight_Level_5</t>
  </si>
  <si>
    <t>p_n_Backlight_Level_6</t>
  </si>
  <si>
    <t>p_n_Backlight_Level_7</t>
  </si>
  <si>
    <t>p_n_Backlight_Level_8</t>
  </si>
  <si>
    <t>p_n_Backlight_Level_9</t>
  </si>
  <si>
    <t>p_n_Backlight_Level_10</t>
  </si>
  <si>
    <t>p_n_Back_Light_Frequency: The Dimming Frequency of Back light and Key Ring Light</t>
  </si>
  <si>
    <t>p_n_Backlight_Level_1: Duty Cycle of Backlight Level</t>
  </si>
  <si>
    <t>p_n_Backlight_Level_2: Duty Cycle of Backlight Level</t>
  </si>
  <si>
    <t>p_n_Backlight_Level_3: Duty Cycle of Backlight Level</t>
  </si>
  <si>
    <t>p_n_Backlight_Level_4: Duty Cycle of Backlight Level</t>
  </si>
  <si>
    <t>p_n_Backlight_Level_5: Duty Cycle of Backlight Level</t>
  </si>
  <si>
    <t>p_n_Backlight_Level_6: Duty Cycle of Backlight Level</t>
  </si>
  <si>
    <t>p_n_Backlight_Level_7: Duty Cycle of Backlight Level</t>
  </si>
  <si>
    <t>p_n_Backlight_Level_8: Duty Cycle of Backlight Level</t>
  </si>
  <si>
    <t>p_n_Backlight_Level_9: Duty Cycle of Backlight Level</t>
  </si>
  <si>
    <t>p_n_Backlight_Level_10: Duty Cycle of Backlight Level</t>
  </si>
  <si>
    <t>p_n_Acoustic_PWL_Block_Counter</t>
  </si>
  <si>
    <t>p_n_Acoustic_PWL_Block_Counter: PWL Block Warning Horn Cycles</t>
  </si>
  <si>
    <t>p_t_Acoustic_PWL_Block_ON_time: PWL Block Warning Horn ON time</t>
  </si>
  <si>
    <t>p_t_EL_PWL_Block_Flashing_Ontime</t>
  </si>
  <si>
    <t>p_t_EL_PWL_Block_Flashing_Ontime: Window/sunroof block warning flashing bright time</t>
  </si>
  <si>
    <t>p_t_EL_PWL_Block_Flashing_Offtime</t>
  </si>
  <si>
    <t>p_t_EL_PWL_Block_Flashing_Offtime: Window/sunroof block warning flashing dark time</t>
  </si>
  <si>
    <t>p_n_EL_PWL_Block_Flashing_Cycle</t>
  </si>
  <si>
    <t>p_n_EL_PWL_Block_Flashing_Cycle: Window/sunroof block warning flashing cycle</t>
  </si>
  <si>
    <t>c_VCU_Enabled</t>
  </si>
  <si>
    <t>c_RLS_Enabled</t>
  </si>
  <si>
    <t>c_Hazard_Indicator_For_Back_Light</t>
  </si>
  <si>
    <t>c_Hazard_Indicator_For_Back_Light: If the hazard indicator reuse for backlight</t>
  </si>
  <si>
    <t>c_WW_Front_Wiper_Idle_Enable</t>
  </si>
  <si>
    <t>c_PWL_Global_Close_Via_PKE_Enabled</t>
  </si>
  <si>
    <t>NVM_Factory_Mode</t>
  </si>
  <si>
    <t>NVM_Factory_Mode: The Factory Mode Actived or not (FALSE = 0;
TRUE = 1)</t>
  </si>
  <si>
    <t>p_t_WW_Front_Level0_Lo</t>
  </si>
  <si>
    <t>p_t_WW_Front_Level0_Lo: The Front Wiper interval time level 0 when speed &lt;=15Km/h</t>
  </si>
  <si>
    <t>p_t_WW_Front_Level1_Lo</t>
  </si>
  <si>
    <t>p_t_WW_Front_Level1_Lo: The Front Wiper interval time level 1 when speed &lt;=15Km/h</t>
  </si>
  <si>
    <t>p_t_WW_Front_Level2_Lo</t>
  </si>
  <si>
    <t>p_t_WW_Front_Level2_Lo: The Front Wiper interval time level 2 when speed &lt;=15Km/h</t>
  </si>
  <si>
    <t>p_t_WW_Front_Level3_Lo</t>
  </si>
  <si>
    <t>p_t_WW_Front_Level3_Lo: The Front Wiper interval time level 3 when speed &lt;=15Km/h</t>
  </si>
  <si>
    <t>p_t_WW_Front_Level4_Lo</t>
  </si>
  <si>
    <t>p_t_WW_Front_Level4_Lo: The Front Wiper interval time level 4 when speed &lt;=15Km/h</t>
  </si>
  <si>
    <t>p_t_Rain_Window_Close_Delay</t>
  </si>
  <si>
    <t>p_t_Rain_Window_Close_Delay: The dalay time to retry sending Global close request.</t>
  </si>
  <si>
    <t>p_n_Window_Stall_Factor</t>
  </si>
  <si>
    <t>p_n_Window_Stall_Factor: The factor of Window stall current compare to Inruch Current</t>
  </si>
  <si>
    <t>p_t_Crash_Implausible_Time</t>
  </si>
  <si>
    <t>p_t_Crash_Implausible_Time: detection time for input implausible fault of crash signal.</t>
  </si>
  <si>
    <t>p_t_BCM_Generic_Diag_Delay</t>
  </si>
  <si>
    <t>p_t_BCM_Generic_Diag_Delay: Generic start delay time for fault detection</t>
  </si>
  <si>
    <t>p_t_BCM_Generic_Diag_Mature</t>
  </si>
  <si>
    <t>p_t_BCM_Generic_Diag_Mature: Generic Mature  time for fault detection</t>
  </si>
  <si>
    <t>p_t_BCM_Generic_Diag_Demature</t>
  </si>
  <si>
    <t>p_t_BCM_Generic_Diag_Demature: Generic Demature  time for fault detection</t>
  </si>
  <si>
    <t>p_n_Hazard_Level_1</t>
  </si>
  <si>
    <t>p_n_Hazard_Level_1: Duty Cycle of Hazard Indicator used for Backlight</t>
  </si>
  <si>
    <t>p_n_Hazard_Level_2</t>
  </si>
  <si>
    <t>p_n_Hazard_Level_2: Duty Cycle of Hazard Indicator used for Backlight</t>
  </si>
  <si>
    <t>p_n_Hazard_Level_3</t>
  </si>
  <si>
    <t>p_n_Hazard_Level_3: Duty Cycle of Hazard Indicator used for Backlight</t>
  </si>
  <si>
    <t>p_n_Hazard_Level_4</t>
  </si>
  <si>
    <t>p_n_Hazard_Level_4: Duty Cycle of Hazard Indicator used for Backlight</t>
  </si>
  <si>
    <t>p_n_Hazard_Level_5</t>
  </si>
  <si>
    <t>p_n_Hazard_Level_5: Duty Cycle of Hazard Indicator used for Backlight</t>
  </si>
  <si>
    <t>p_n_Hazard_Level_6</t>
  </si>
  <si>
    <t>p_n_Hazard_Level_6: Duty Cycle of Hazard Indicator used for Backlight</t>
  </si>
  <si>
    <t>p_n_Hazard_Level_7</t>
  </si>
  <si>
    <t>p_n_Hazard_Level_7: Duty Cycle of Hazard Indicator used for Backlight</t>
  </si>
  <si>
    <t>p_n_Hazard_Level_8</t>
  </si>
  <si>
    <t>p_n_Hazard_Level_8: Duty Cycle of Hazard Indicator used for Backlight</t>
  </si>
  <si>
    <t>p_n_Hazard_Level_9</t>
  </si>
  <si>
    <t>p_n_Hazard_Level_9: Duty Cycle of Hazard Indicator used for Backlight</t>
  </si>
  <si>
    <t>p_n_Hazard_Level_10</t>
  </si>
  <si>
    <t>p_n_Hazard_Level_10: Duty Cycle of Hazard Indicator used for Backlight</t>
  </si>
  <si>
    <t>p_t_WW_Front_Level0_Hi</t>
  </si>
  <si>
    <t>p_t_WW_Front_Level0_Hi: The Front Wiper interval time level 0 when speed &gt;15Km/h</t>
  </si>
  <si>
    <t>p_t_WW_Front_Level1_Hi</t>
  </si>
  <si>
    <t>p_t_WW_Front_Level1_Hi: The Front Wiper interval time level 1 when speed &gt;15Km/h</t>
  </si>
  <si>
    <t>p_t_WW_Front_Level2_Hi</t>
  </si>
  <si>
    <t>p_t_WW_Front_Level2_Hi: The Front Wiper interval time level 2 when speed &gt;15Km/h</t>
  </si>
  <si>
    <t>p_t_WW_Front_Level3_Hi</t>
  </si>
  <si>
    <t>p_t_WW_Front_Level3_Hi: The Front Wiper interval time level 3 when speed &gt;15Km/h</t>
  </si>
  <si>
    <t>p_t_WW_Front_Level4_Hi</t>
  </si>
  <si>
    <t>p_t_WW_Front_Level4_Hi: The Front Wiper interval time level 4 when speed &gt;15Km/h</t>
  </si>
  <si>
    <t>p_n_WW_Front_Wiper_Idle_Lo</t>
  </si>
  <si>
    <t>p_n_WW_Front_Wiper_Idle_Lo: The speed limits for allow  enter Front wiper Idle states</t>
  </si>
  <si>
    <t>p_n_WW_Front_Wiper_Idle_Hi</t>
  </si>
  <si>
    <t>p_n_WW_Front_Wiper_Idle_Hi: The speed limits for  leave enter Front wiper Idle states</t>
  </si>
  <si>
    <t>p_n_Window_InRush_Cycle</t>
  </si>
  <si>
    <t>p_n_Window_InRush_Cycle: How many time shall window InRush Current measured</t>
  </si>
  <si>
    <t>p_n_inhibit_indicator_OverL_M</t>
  </si>
  <si>
    <t>p_n_inhibit_indicator_OverL_DM</t>
  </si>
  <si>
    <t>p_n_backlight_OverL_M</t>
  </si>
  <si>
    <t>p_n_backlight_OverL_DM</t>
  </si>
  <si>
    <t>p_n_inhibit_indicator_OverL_M: the threshold of  over load mature.</t>
  </si>
  <si>
    <t>p_n_inhibit_indicator_OverL_DM: the threshold of over load demature</t>
  </si>
  <si>
    <t>p_n_backlight_OverL_M: the threshold of over load mature.</t>
  </si>
  <si>
    <t>p_n_backlight_OverL_DM: the threshold of over load demature</t>
  </si>
  <si>
    <t>p_t_Power_Window_Switch_Implausible_Time</t>
  </si>
  <si>
    <t>p_t_Power_Window_Switch_Implausible_Time: The window switch implausible time.</t>
  </si>
  <si>
    <t>p_n_PWL_Motor_Block_Current</t>
  </si>
  <si>
    <t>0F8C</t>
  </si>
  <si>
    <t>0F8D</t>
  </si>
  <si>
    <t>0F8E</t>
  </si>
  <si>
    <t>0F8F</t>
  </si>
  <si>
    <t>0F90</t>
  </si>
  <si>
    <t>0F91</t>
  </si>
  <si>
    <t>0F92</t>
  </si>
  <si>
    <t>0F93</t>
  </si>
  <si>
    <t>0F94</t>
  </si>
  <si>
    <t>0F95</t>
  </si>
  <si>
    <t>0F96</t>
  </si>
  <si>
    <t>0F97</t>
  </si>
  <si>
    <t>0F98</t>
  </si>
  <si>
    <t>0F99</t>
  </si>
  <si>
    <t>0F9A</t>
  </si>
  <si>
    <t>0F9B</t>
  </si>
  <si>
    <t>0F9C</t>
  </si>
  <si>
    <t>0F9D</t>
  </si>
  <si>
    <t>0F9E</t>
  </si>
  <si>
    <t>0F9F</t>
  </si>
  <si>
    <t>0FA0</t>
  </si>
  <si>
    <t>0FA1</t>
  </si>
  <si>
    <t>0FA2</t>
  </si>
  <si>
    <t>0FA3</t>
  </si>
  <si>
    <t>0FA4</t>
  </si>
  <si>
    <t>0FA5</t>
  </si>
  <si>
    <t>0FA6</t>
  </si>
  <si>
    <t>0FA7</t>
  </si>
  <si>
    <t>0FA8</t>
  </si>
  <si>
    <t>0FA9</t>
  </si>
  <si>
    <t>0FAA</t>
  </si>
  <si>
    <t>0FAB</t>
  </si>
  <si>
    <t>0FAC</t>
  </si>
  <si>
    <t>0FAD</t>
  </si>
  <si>
    <t>0FAE</t>
  </si>
  <si>
    <t>0FAF</t>
  </si>
  <si>
    <t>0FB0</t>
  </si>
  <si>
    <t>0FB1</t>
  </si>
  <si>
    <t>0FB2</t>
  </si>
  <si>
    <t>0FB3</t>
  </si>
  <si>
    <t>p_n_PWL_Motor_Block_Current: The motor stall current from supplier</t>
  </si>
  <si>
    <t>c_Back_Light_Enabled</t>
  </si>
  <si>
    <t>c_Back_Light_Enabled ( UNCODED = 0; CODED = 1)</t>
  </si>
  <si>
    <t>c_WW_Front_Wiper_Idle_Enable : ( FALSE = 0, TRUE = 1)</t>
  </si>
  <si>
    <t>c_VCU_Enabled: (FALSE = 0; TRUE = 1)</t>
  </si>
  <si>
    <t>c_RLS_Enabled: (FALSE = 0; TRUE = 1)</t>
  </si>
  <si>
    <t>c_PWL_Global_Close_Via_PKE_Enabled: (FALSE = 0; TRUE = 1)</t>
  </si>
  <si>
    <t>p_t_Acoustic_PWL_Block_OFF_Time</t>
  </si>
  <si>
    <t>p_t_Acoustic_PWL_Block_OFF_Time: PWL Block Warning Horn  Off time</t>
  </si>
  <si>
    <t>p_t_Generic_Sticking_Switch</t>
  </si>
  <si>
    <t>p_t_Generic_Sticking_Switch: Duration for swtiches Implausible.</t>
  </si>
  <si>
    <t>p_n_GNS_PWM_Low</t>
  </si>
  <si>
    <t>p_n_GNS_PWM_High</t>
  </si>
  <si>
    <t>p_n_N_Shift_Low</t>
  </si>
  <si>
    <t>p_n_N_Shift_High</t>
  </si>
  <si>
    <t>p_n_GNS_PWM_Low: The duty cylce valid signal low limitation of GNS sensor</t>
  </si>
  <si>
    <t>p_n_GNS_PWM_High: The duty cylce valid signal High limitation of GNS sensor</t>
  </si>
  <si>
    <t>p_n_N_Shift_Low: The duty cylce signal for N-Shift Low limitation of GNS sensor</t>
  </si>
  <si>
    <t>p_n_N_Shift_High: The duty cylce signal for N-Shift High limitation of GNS sensor</t>
  </si>
  <si>
    <t>p_t_ATWS_LED_Diag_Delay</t>
  </si>
  <si>
    <t>p_t_ATWS_LED_Diag_Delay: Generic start delay time for fault detection</t>
  </si>
  <si>
    <t>p_t_ATWS_LED_Diag_Mature</t>
  </si>
  <si>
    <t>p_t_ATWS_LED_Diag_Mature: Generic Mature  time for fault detection</t>
  </si>
  <si>
    <t>p_t_Acoustic_PWL_Block_ON_Time</t>
  </si>
  <si>
    <t>SystemName0</t>
  </si>
  <si>
    <t>SystemNameOrEngineType</t>
  </si>
  <si>
    <t>SystemName1</t>
  </si>
  <si>
    <t>SystemName2</t>
  </si>
  <si>
    <t>SystemName3</t>
  </si>
  <si>
    <t>SystemName4</t>
  </si>
  <si>
    <t>SystemName5</t>
  </si>
  <si>
    <t>SystemName6</t>
  </si>
  <si>
    <t>SystemName7</t>
  </si>
  <si>
    <t>RepairShopCode0</t>
  </si>
  <si>
    <t>RepairShopCodeOrTesterSerialNumber</t>
  </si>
  <si>
    <t>RepairShopCode1</t>
  </si>
  <si>
    <t>RepairShopCode2</t>
  </si>
  <si>
    <t>RepairShopCode3</t>
  </si>
  <si>
    <t>RepairShopCode4</t>
  </si>
  <si>
    <t>RepairShopCode5</t>
  </si>
  <si>
    <t>RepairShopCode6</t>
  </si>
  <si>
    <t>RepairShopCode7</t>
  </si>
  <si>
    <t>RepairShopCode8</t>
  </si>
  <si>
    <t>RepairShopCode9</t>
  </si>
  <si>
    <t>RepairShopCode10</t>
  </si>
  <si>
    <t>RepairShopCode11</t>
  </si>
  <si>
    <t>RepairShopCode12</t>
  </si>
  <si>
    <t>RepairShopCode13</t>
  </si>
  <si>
    <t>RepairShopCode14</t>
  </si>
  <si>
    <t>RepairShopCode15</t>
  </si>
  <si>
    <t>ProgrammingDate0</t>
  </si>
  <si>
    <t>ProgrammingOrConfigurationDate</t>
  </si>
  <si>
    <t>ProgrammingDate1</t>
  </si>
  <si>
    <t>ProgrammingDate2</t>
  </si>
  <si>
    <t>ProgrammingDate3</t>
  </si>
  <si>
    <t>ECU_Manufacturing_Date_Byte0</t>
  </si>
  <si>
    <t>ECU Manufacturing Date byte0</t>
  </si>
  <si>
    <t>ECU_Manufacturing_Date_Byte1</t>
  </si>
  <si>
    <t>ECU Manufacturing Date byte1</t>
  </si>
  <si>
    <t>ECU_Manufacturing_Date_Byte2</t>
  </si>
  <si>
    <t>ECU Manufacturing Date byte2</t>
  </si>
  <si>
    <t>ECU_Manufacturing_Date_Byte3</t>
  </si>
  <si>
    <t>ECU Manufacturing Date byte3</t>
  </si>
  <si>
    <t>EOL_Customer_Series_Num_Byte16</t>
  </si>
  <si>
    <t>Production serial number byte16</t>
  </si>
  <si>
    <t>EOL_Customer_Series_Num_Byte17</t>
  </si>
  <si>
    <t>Production serial number byte17</t>
  </si>
  <si>
    <t>EOL_Customer_Series_Num_Byte18</t>
  </si>
  <si>
    <t>Production serial number byte18</t>
  </si>
  <si>
    <t>EOL_Customer_Series_Num_Byte19</t>
  </si>
  <si>
    <t>Production serial number byte19</t>
  </si>
  <si>
    <t>EOL_Customer_Series_Num_Byte20</t>
  </si>
  <si>
    <t>Production serial number byte20</t>
  </si>
  <si>
    <t>EOL_Customer_Series_Num_Byte21</t>
  </si>
  <si>
    <t>Production serial number byte21</t>
  </si>
  <si>
    <t>EOL_Customer_Series_Num_Byte22</t>
  </si>
  <si>
    <t>Production serial number byte22</t>
  </si>
  <si>
    <t>EOL_Customer_Series_Num_Byte23</t>
  </si>
  <si>
    <t>Production serial number byte23</t>
  </si>
  <si>
    <t>c_Turn_Light_Rear_LED</t>
  </si>
  <si>
    <t>c_Turn_Light_Rear_LED: Configration for Rear Turn Light LED function</t>
  </si>
  <si>
    <t>c_Acoustic_Lock_Confirmation_Enable: Horn Confirm for lock by exterior light (FALSE=0; TRUE=1)</t>
  </si>
  <si>
    <t>c_EL_External_Lock_Flash_Enable</t>
  </si>
  <si>
    <t>c_EL_External_Lock_Flash_Enable: Light Confirm for lock by exterior light (FALSE=0; TRUE=1)</t>
  </si>
  <si>
    <t>p_t_Lock_Horn_ON_Time</t>
  </si>
  <si>
    <t>p_t_Lock_Horn_ON_Time : time of horn STATE_ON for External lock confirmation</t>
  </si>
  <si>
    <t>p_t_Lock_Horn_OFF_Time</t>
  </si>
  <si>
    <t>p_t_Lock_Horn_OFF_Time : time of horn STATE_OFF for External lock confirmation</t>
  </si>
  <si>
    <t>p_n_Acoustic_Lock_Confirmation_Counter</t>
  </si>
  <si>
    <t xml:space="preserve">p_n_Acoustic_Lock_Confirmation_Counter: Cycles of horn External lock  confirmation </t>
  </si>
  <si>
    <t>c_LIM_Interface_Enabled</t>
  </si>
  <si>
    <t>c_LIM_Interface_Enabled: (FALSE = 0; TRUE = 1)</t>
  </si>
  <si>
    <t>c_Acoustic_Lock_Confirmation_Enable</t>
  </si>
  <si>
    <t>DiagDTCsStatusBytes1</t>
  </si>
  <si>
    <t>#define NvMBlockLength_DiagDTCsStatusBytes1    EEP_DIAGDTCSSTATUSBYTES1_BYTE_NUMBER</t>
  </si>
  <si>
    <t>DiagDTCsStatusBytes2</t>
  </si>
  <si>
    <t>#define NvMBlockLength_DiagDTCsStatusBytes2    EEP_DIAGDTCSSTATUSBYTES2_BYTE_NUMBER</t>
  </si>
  <si>
    <t>DiagDTCsStatusBytes3</t>
  </si>
  <si>
    <t>#define NvMBlockLength_DiagDTCsStatusBytes3    EEP_DIAGDTCSSTATUSBYTES3_BYTE_NUMBER</t>
  </si>
  <si>
    <t>DiagDTCsStatusBytes4</t>
  </si>
  <si>
    <t>#define NvMBlockLength_DiagDTCsStatusBytes4    EEP_DIAGDTCSSTATUSBYTES4_BYTE_NUMBER</t>
  </si>
  <si>
    <t>DiagDTCsStatusBytes5</t>
  </si>
  <si>
    <t>#define NvMBlockLength_DiagDTCsStatusBytes5    EEP_DIAGDTCSSTATUSBYTES5_BYTE_NUMBER</t>
  </si>
  <si>
    <t>DiagDTCsUnlearnCounters1</t>
  </si>
  <si>
    <t>#define NvMBlockLength_DiagDTCsUnlearnCounters1    EEP_DIAGDTCSUNLEARNCOUNTERS1_BYTE_NUMBER</t>
  </si>
  <si>
    <t>DiagDTCsUnlearnCounters2</t>
  </si>
  <si>
    <t>#define NvMBlockLength_DiagDTCsUnlearnCounters2    EEP_DIAGDTCSUNLEARNCOUNTERS2_BYTE_NUMBER</t>
  </si>
  <si>
    <t>DiagDTCsUnlearnCounters3</t>
  </si>
  <si>
    <t>#define NvMBlockLength_DiagDTCsUnlearnCounters3    EEP_DIAGDTCSUNLEARNCOUNTERS3_BYTE_NUMBER</t>
  </si>
  <si>
    <t>DiagDTCsUnlearnCounters4</t>
  </si>
  <si>
    <t>#define NvMBlockLength_DiagDTCsUnlearnCounters4    EEP_DIAGDTCSUNLEARNCOUNTERS4_BYTE_NUMBER</t>
  </si>
  <si>
    <t>DiagDTCsUnlearnCounters5</t>
  </si>
  <si>
    <t>#define NvMBlockLength_DiagDTCsUnlearnCounters5    EEP_DIAGDTCSUNLEARNCOUNTERS5_BYTE_NUMBER</t>
  </si>
  <si>
    <t>c_BCM_Odometerbackup_Enabled</t>
  </si>
  <si>
    <t>c_BCM_Odometerbackup_Enabled: BCM Odometerbackup function Enabled (FALSE = 0; TRUE = 1)</t>
  </si>
  <si>
    <t>c_Turn_Light_Front_LED</t>
  </si>
  <si>
    <t>c_Turn_Light_Front_LED: Configration for Rear Turn Light LED function (FALSE = 0; TRUE = 1)</t>
  </si>
  <si>
    <t>c_DRL_Power_Control_Enabled</t>
  </si>
  <si>
    <t>c_DRL_Power_Control_Enabled: Configration for DRL_Power_Control_Enabled (FALSE = 0; TRUE = 1)</t>
  </si>
  <si>
    <t>c_Front_Defroster_Enabled</t>
  </si>
  <si>
    <t>c_Front_Defroster_Enabled: Configration for Front Defroster Function (FALSE = 0; TRUE = 1)</t>
  </si>
  <si>
    <t>p_n_OdoMeter_Backup_Start_Hi</t>
  </si>
  <si>
    <t>p_n_OdoMeter_Backup_Start_Hi: BCM start to backup the OdoMeter Record MSB</t>
  </si>
  <si>
    <t>p_n_OdoMeter_Backup_Start_Lo</t>
  </si>
  <si>
    <t>p_n_OdoMeter_Backup_Start_Lo: BCM start to backup the OdoMeter Record LSB</t>
  </si>
  <si>
    <t>p_n_OdoMeter_Backup_Interval</t>
  </si>
  <si>
    <t>p_n_OdoMeter_Backup_Interval: The step BCM update OdoMeter value</t>
  </si>
  <si>
    <t>p_t_Front_Defroster_Maximum_Time</t>
  </si>
  <si>
    <t xml:space="preserve">p_t_Front_Defroster_Maximum_Time: </t>
  </si>
  <si>
    <t>Odometer</t>
  </si>
  <si>
    <t>#define NvMBlockLength_Odometer    EEP_ODOMETER_BYTE_NUMBER</t>
  </si>
  <si>
    <t>0FB4</t>
  </si>
  <si>
    <t>0FB5</t>
  </si>
  <si>
    <t>0FB6</t>
  </si>
  <si>
    <t>0FB7</t>
  </si>
  <si>
    <t>0FB8</t>
  </si>
  <si>
    <t>0FB9</t>
  </si>
  <si>
    <t>0FBA</t>
  </si>
  <si>
    <t>0FBB</t>
  </si>
  <si>
    <t>0FBC</t>
  </si>
  <si>
    <t>0FBD</t>
  </si>
  <si>
    <t>0FBE</t>
  </si>
  <si>
    <t>0FBF</t>
  </si>
  <si>
    <t>0FC0</t>
  </si>
  <si>
    <t>0FC1</t>
  </si>
  <si>
    <t>0FC2</t>
  </si>
  <si>
    <t>0FC3</t>
  </si>
  <si>
    <t>0FC4</t>
  </si>
  <si>
    <t>0FC5</t>
  </si>
  <si>
    <t>0FC6</t>
  </si>
  <si>
    <t>0FC7</t>
  </si>
  <si>
    <t>0FC8</t>
  </si>
  <si>
    <t>0FC9</t>
  </si>
  <si>
    <t>0FCA</t>
  </si>
  <si>
    <t>0FCB</t>
  </si>
  <si>
    <t>0FCC</t>
  </si>
  <si>
    <t>DiagBackupInfo2_0</t>
  </si>
  <si>
    <t>DiagBackupInfo2_1</t>
  </si>
  <si>
    <t>DiagBackupInfo2_2</t>
  </si>
  <si>
    <t>DiagBackupInfo2_3</t>
  </si>
  <si>
    <t>DiagBackupInfo2_4</t>
  </si>
  <si>
    <t>DiagBackupInfo2_5</t>
  </si>
  <si>
    <t>DiagBackupInfo2_6</t>
  </si>
  <si>
    <t>DiagBackupInfo2_7</t>
  </si>
  <si>
    <t>DiagBackupInfo2_8</t>
  </si>
  <si>
    <t>DiagBackupInfo2_9</t>
  </si>
  <si>
    <t>DiagBackupInfo2_10</t>
  </si>
  <si>
    <t>DiagBackupInfo2_11</t>
  </si>
  <si>
    <t>DiagBackupInfo2_12</t>
  </si>
  <si>
    <t>DiagBackupInfo2_13</t>
  </si>
  <si>
    <t>DiagBackupInfo2_14</t>
  </si>
  <si>
    <t>DiagBackupInfo2_15</t>
  </si>
  <si>
    <t>DiagBackupInfo2_16</t>
  </si>
  <si>
    <t>DiagBackupInfo2_17</t>
  </si>
  <si>
    <t>DiagBackupInfo2_18</t>
  </si>
  <si>
    <t>DiagBackupInfo2_19</t>
  </si>
  <si>
    <t>DiagBackupInfo2_20</t>
  </si>
  <si>
    <t>DiagBackupInfo2_21</t>
  </si>
  <si>
    <t>DiagBackupInfo2_22</t>
  </si>
  <si>
    <t>DiagBackupInfo2_23</t>
  </si>
  <si>
    <t>DiagBackupInfo2_24</t>
  </si>
  <si>
    <t>DiagBackupInfo2_25</t>
  </si>
  <si>
    <t>DiagBackupInfo2_26</t>
  </si>
  <si>
    <t>DiagBackupInfo2_27</t>
  </si>
  <si>
    <t>DiagBackupInfo2_28</t>
  </si>
  <si>
    <t>DiagBackupInfo2_29</t>
  </si>
  <si>
    <t>DiagBackupInfo2_30</t>
  </si>
  <si>
    <t>DiagBackupInfo2_31</t>
  </si>
  <si>
    <t>DiagBackupInfo2_32</t>
  </si>
  <si>
    <t>DiagBackupInfo2_33</t>
  </si>
  <si>
    <t>DiagBackupInfo2_34</t>
  </si>
  <si>
    <t>DiagBackupInfo2_35</t>
  </si>
  <si>
    <t>DiagBackupInfo2_36</t>
  </si>
  <si>
    <t>DiagBackupInfo2_37</t>
  </si>
  <si>
    <t>DiagBackupInfo2_38</t>
  </si>
  <si>
    <t>DiagBackupInfo2_39</t>
  </si>
  <si>
    <t>DiagBackupInfo2_40</t>
  </si>
  <si>
    <t>DiagBackupInfo2_41</t>
  </si>
  <si>
    <t>DiagBackupInfo2_42</t>
  </si>
  <si>
    <t>DiagBackupInfo2_43</t>
  </si>
  <si>
    <t>DiagBackupInfo2_44</t>
  </si>
  <si>
    <t>DiagBackupInfo2_45</t>
  </si>
  <si>
    <t>DiagBackupInfo2_46</t>
  </si>
  <si>
    <t>DiagBackupInfo2_47</t>
  </si>
  <si>
    <t>DiagBackupInfo2_48</t>
  </si>
  <si>
    <t>DiagBackupInfo2_49</t>
  </si>
  <si>
    <t>DiagBackupInfo2_50</t>
  </si>
  <si>
    <t>DiagBackupInfo2_51</t>
  </si>
  <si>
    <t>DiagBackupInfo2_52</t>
  </si>
  <si>
    <t>DiagBackupInfo2_53</t>
  </si>
  <si>
    <t>DiagBackupInfo2_54</t>
  </si>
  <si>
    <t>DiagBackupInfo2_55</t>
  </si>
  <si>
    <t>DiagBackupInfo2_56</t>
  </si>
  <si>
    <t>DiagBackupInfo2_57</t>
  </si>
  <si>
    <t>DiagBackupInfo2_58</t>
  </si>
  <si>
    <t>DiagBackupInfo2_59</t>
  </si>
  <si>
    <t>DiagBackupInfo2_60</t>
  </si>
  <si>
    <t>DiagBackupInfo2_61</t>
  </si>
  <si>
    <t>DiagBackupInfo2_62</t>
  </si>
  <si>
    <t>DiagBackupInfo2_63</t>
  </si>
  <si>
    <t>DiagBackupInfo3_0</t>
  </si>
  <si>
    <t>DiagBackupInfo3_1</t>
  </si>
  <si>
    <t>DiagBackupInfo3_2</t>
  </si>
  <si>
    <t>DiagBackupInfo3_3</t>
  </si>
  <si>
    <t>DiagBackupInfo3_4</t>
  </si>
  <si>
    <t>DiagBackupInfo3_5</t>
  </si>
  <si>
    <t>DiagBackupInfo3_6</t>
  </si>
  <si>
    <t>DiagBackupInfo3_7</t>
  </si>
  <si>
    <t>DiagBackupInfo3_8</t>
  </si>
  <si>
    <t>DiagBackupInfo3_9</t>
  </si>
  <si>
    <t>DiagBackupInfo3_10</t>
  </si>
  <si>
    <t>DiagBackupInfo3_11</t>
  </si>
  <si>
    <t>DiagBackupInfo3_12</t>
  </si>
  <si>
    <t>DiagBackupInfo3_13</t>
  </si>
  <si>
    <t>DiagBackupInfo3_14</t>
  </si>
  <si>
    <t>DiagBackupInfo3_15</t>
  </si>
  <si>
    <t>DiagBackupInfo3_16</t>
  </si>
  <si>
    <t>DiagBackupInfo3_17</t>
  </si>
  <si>
    <t>DiagBackupInfo3_18</t>
  </si>
  <si>
    <t>DiagBackupInfo3_19</t>
  </si>
  <si>
    <t>DiagBackupInfo3_20</t>
  </si>
  <si>
    <t>DiagBackupInfo3_21</t>
  </si>
  <si>
    <t>DiagBackupInfo3_22</t>
  </si>
  <si>
    <t>DiagBackupInfo3_23</t>
  </si>
  <si>
    <t>DiagBackupInfo3_24</t>
  </si>
  <si>
    <t>DiagBackupInfo3_25</t>
  </si>
  <si>
    <t>DiagBackupInfo3_26</t>
  </si>
  <si>
    <t>DiagBackupInfo3_27</t>
  </si>
  <si>
    <t>DiagBackupInfo3_28</t>
  </si>
  <si>
    <t>DiagBackupInfo3_29</t>
  </si>
  <si>
    <t>DiagBackupInfo3_30</t>
  </si>
  <si>
    <t>DiagBackupInfo3_31</t>
  </si>
  <si>
    <t>DiagBackupInfo3_32</t>
  </si>
  <si>
    <t>DiagBackupInfo3_33</t>
  </si>
  <si>
    <t>DiagBackupInfo3_34</t>
  </si>
  <si>
    <t>DiagBackupInfo3_35</t>
  </si>
  <si>
    <t>DiagBackupInfo3_36</t>
  </si>
  <si>
    <t>DiagBackupInfo3_37</t>
  </si>
  <si>
    <t>DiagBackupInfo3_38</t>
  </si>
  <si>
    <t>DiagBackupInfo3_39</t>
  </si>
  <si>
    <t>DiagBackupInfo3_40</t>
  </si>
  <si>
    <t>DiagBackupInfo3_41</t>
  </si>
  <si>
    <t>DiagBackupInfo3_42</t>
  </si>
  <si>
    <t>DiagBackupInfo3_43</t>
  </si>
  <si>
    <t>DiagBackupInfo3_44</t>
  </si>
  <si>
    <t>DiagBackupInfo3_45</t>
  </si>
  <si>
    <t>DiagBackupInfo3_46</t>
  </si>
  <si>
    <t>DiagBackupInfo3_47</t>
  </si>
  <si>
    <t>DiagBackupInfo3_48</t>
  </si>
  <si>
    <t>DiagBackupInfo3_49</t>
  </si>
  <si>
    <t>DiagBackupInfo3_50</t>
  </si>
  <si>
    <t>DiagBackupInfo3_51</t>
  </si>
  <si>
    <t>DiagBackupInfo3_52</t>
  </si>
  <si>
    <t>DiagBackupInfo3_53</t>
  </si>
  <si>
    <t>DiagBackupInfo3_54</t>
  </si>
  <si>
    <t>DiagBackupInfo3_55</t>
  </si>
  <si>
    <t>DiagBackupInfo3_56</t>
  </si>
  <si>
    <t>DiagBackupInfo3_57</t>
  </si>
  <si>
    <t>DiagBackupInfo3_58</t>
  </si>
  <si>
    <t>DiagBackupInfo3_59</t>
  </si>
  <si>
    <t>DiagBackupInfo3_60</t>
  </si>
  <si>
    <t>DiagBackupInfo3_61</t>
  </si>
  <si>
    <t>DiagBackupInfo3_62</t>
  </si>
  <si>
    <t>DiagBackupInfo3_63</t>
  </si>
  <si>
    <t>DiagBackupInfo4_0</t>
  </si>
  <si>
    <t>DiagBackupInfo4_1</t>
  </si>
  <si>
    <t>DiagBackupInfo4_2</t>
  </si>
  <si>
    <t>DiagBackupInfo4_3</t>
  </si>
  <si>
    <t>DiagBackupInfo4_4</t>
  </si>
  <si>
    <t>DiagBackupInfo4_5</t>
  </si>
  <si>
    <t>DiagBackupInfo4_6</t>
  </si>
  <si>
    <t>DiagBackupInfo4_7</t>
  </si>
  <si>
    <t>DiagBackupInfo4_8</t>
  </si>
  <si>
    <t>DiagBackupInfo4_9</t>
  </si>
  <si>
    <t>DiagBackupInfo4_10</t>
  </si>
  <si>
    <t>DiagBackupInfo4_11</t>
  </si>
  <si>
    <t>DiagBackupInfo4_12</t>
  </si>
  <si>
    <t>DiagBackupInfo4_13</t>
  </si>
  <si>
    <t>DiagBackupInfo4_14</t>
  </si>
  <si>
    <t>DiagBackupInfo4_15</t>
  </si>
  <si>
    <t>DiagBackupInfo4_16</t>
  </si>
  <si>
    <t>DiagBackupInfo4_17</t>
  </si>
  <si>
    <t>DiagBackupInfo4_18</t>
  </si>
  <si>
    <t>DiagBackupInfo4_19</t>
  </si>
  <si>
    <t>DiagBackupInfo4_20</t>
  </si>
  <si>
    <t>DiagBackupInfo4_21</t>
  </si>
  <si>
    <t>DiagBackupInfo4_22</t>
  </si>
  <si>
    <t>DiagBackupInfo4_23</t>
  </si>
  <si>
    <t>DiagBackupInfo4_24</t>
  </si>
  <si>
    <t>DiagBackupInfo4_25</t>
  </si>
  <si>
    <t>DiagBackupInfo4_26</t>
  </si>
  <si>
    <t>DiagBackupInfo4_27</t>
  </si>
  <si>
    <t>DiagBackupInfo4_28</t>
  </si>
  <si>
    <t>DiagBackupInfo4_29</t>
  </si>
  <si>
    <t>DiagBackupInfo4_30</t>
  </si>
  <si>
    <t>DiagBackupInfo4_31</t>
  </si>
  <si>
    <t>DiagBackupInfo4_32</t>
  </si>
  <si>
    <t>DiagBackupInfo4_33</t>
  </si>
  <si>
    <t>DiagBackupInfo4_34</t>
  </si>
  <si>
    <t>DiagBackupInfo4_35</t>
  </si>
  <si>
    <t>DiagBackupInfo4_36</t>
  </si>
  <si>
    <t>DiagBackupInfo4_37</t>
  </si>
  <si>
    <t>DiagBackupInfo4_38</t>
  </si>
  <si>
    <t>DiagBackupInfo4_39</t>
  </si>
  <si>
    <t>DiagBackupInfo4_40</t>
  </si>
  <si>
    <t>DiagBackupInfo4_41</t>
  </si>
  <si>
    <t>DiagBackupInfo4_42</t>
  </si>
  <si>
    <t>DiagBackupInfo4_43</t>
  </si>
  <si>
    <t>DiagBackupInfo4_44</t>
  </si>
  <si>
    <t>DiagBackupInfo4_45</t>
  </si>
  <si>
    <t>DiagBackupInfo4_46</t>
  </si>
  <si>
    <t>DiagBackupInfo4_47</t>
  </si>
  <si>
    <t>DiagBackupInfo4_48</t>
  </si>
  <si>
    <t>DiagBackupInfo4_49</t>
  </si>
  <si>
    <t>DiagBackupInfo4_50</t>
  </si>
  <si>
    <t>DiagBackupInfo4_51</t>
  </si>
  <si>
    <t>DiagBackupInfo4_52</t>
  </si>
  <si>
    <t>DiagBackupInfo4_53</t>
  </si>
  <si>
    <t>DiagBackupInfo4_54</t>
  </si>
  <si>
    <t>DiagBackupInfo4_55</t>
  </si>
  <si>
    <t>DiagBackupInfo4_56</t>
  </si>
  <si>
    <t>DiagBackupInfo4_57</t>
  </si>
  <si>
    <t>DiagBackupInfo4_58</t>
  </si>
  <si>
    <t>DiagBackupInfo4_59</t>
  </si>
  <si>
    <t>DiagBackupInfo4_60</t>
  </si>
  <si>
    <t>DiagBackupInfo4_61</t>
  </si>
  <si>
    <t>DiagBackupInfo4_62</t>
  </si>
  <si>
    <t>DiagBackupInfo4_63</t>
  </si>
  <si>
    <t>p_n_DRL_Power_S2B_M</t>
  </si>
  <si>
    <t>p_n_DRL_Power_S2B_M: the threshold of short to battery mature</t>
  </si>
  <si>
    <t>p_n_DRL_Power_S2B_DM</t>
  </si>
  <si>
    <t>p_n_DRL_Power_S2B_DM: the threshold of short to battery demature</t>
  </si>
  <si>
    <t>p_n_DRL_Power_S2G_M</t>
  </si>
  <si>
    <t>p_n_DRL_Power_S2G_M: the threshold of short to GND mature</t>
  </si>
  <si>
    <t>p_n_DRL_Power_S2G_DM</t>
  </si>
  <si>
    <t>p_n_DRL_Power_S2G_DM:the threshold of short to GND demature</t>
  </si>
  <si>
    <t>p_n_DRL_Power_Open_M</t>
  </si>
  <si>
    <t>p_n_DRL_Power_Open_M:the threshold of  open mature</t>
  </si>
  <si>
    <t>p_n_VBAT_Comm_Diag_Volt_Lo</t>
  </si>
  <si>
    <t>p_n_VBAT_Comm_Diag_Volt_Lo: low threshold of Communication diagnostic volatge.</t>
  </si>
  <si>
    <t>p_n_VBAT_Comm_Diag_Volt_Hi</t>
  </si>
  <si>
    <t>p_n_VBAT_Comm_Diag_Volt_Hi: detection time for out of range fault of system volatge.</t>
  </si>
  <si>
    <t>p_n_Central_Open_Lo</t>
  </si>
  <si>
    <t>p_n_Central__open_Lo:the low threshold of unlock</t>
  </si>
  <si>
    <t>p_n_Drv_Window_SW__open_Lo</t>
  </si>
  <si>
    <t>p_n_Drv_Window_SW__open_Lo:the low threshold of auto down</t>
  </si>
  <si>
    <t>p_n_Drv_Pass_Window_SW_open_Lo</t>
  </si>
  <si>
    <t>p_n_Drv_Pass_Window_SW_open_Lo:the low threshold of auto down</t>
  </si>
  <si>
    <t>p_n_Drv_RL_Window_SW_open_Lo</t>
  </si>
  <si>
    <t>p_n_Drv_RL_Window_SW_open_Lo:the low threshold of auto down</t>
  </si>
  <si>
    <t>p_n_Drv_RR_Window_SW_open_Lo</t>
  </si>
  <si>
    <t>p_n_Drv_RR_Window_SW_open_Lo:the low threshold of auto down</t>
  </si>
  <si>
    <t>p_n_Pass_Window_SW_open_Lo</t>
  </si>
  <si>
    <t>p_n_Pass_Window_SW_open_Lo:the low threshold of auto down</t>
  </si>
  <si>
    <t>p_n_RL_Window_SW_open_Lo</t>
  </si>
  <si>
    <t>p_n_RL_Window_SW_open_Lo:the low threshold of autoup</t>
  </si>
  <si>
    <t>p_n_RR_Window_SW_open_Lo</t>
  </si>
  <si>
    <t>p_n_RR_Window_SW_open_Lo:the low threshold of autoup</t>
  </si>
  <si>
    <t>c_Acoustic_Reminder_Enable: Config the reminder horn output enable or not (DISABLED = 0; ENABLED = 1)</t>
  </si>
  <si>
    <t>p_n_OdoMeter_maximum_Hi</t>
  </si>
  <si>
    <t>p_n_OdoMeter_maximum: The maximum valid Odometer value from IPK</t>
  </si>
  <si>
    <t>p_n_OdoMeter_maximum_Lo</t>
  </si>
  <si>
    <t>p_t_Drive_Mode_Warning</t>
  </si>
  <si>
    <t>p_t_Drive_Mode_Warning: when any warning of driving mode transition happend, how long the warning shall last.</t>
  </si>
  <si>
    <t>c_TPMS_DebugInterface_Enabled: TPMS is available or not  (FALSE = 0; TRUE = 1)</t>
  </si>
  <si>
    <t>c_TPMS_DebugInterface_Enabled</t>
  </si>
  <si>
    <t>c_Turn_Light_Rear_Diag_Shared</t>
  </si>
  <si>
    <t>c_Turn_Light_Rear_Diag_Shared: if the Rear left and right turn light LED diagnose line connected to same input ofr BCM (CODED = 1, UNCODED = 0)</t>
  </si>
  <si>
    <t>c_Turn_Light_Front_Diag_Shared</t>
  </si>
  <si>
    <t>c_Turn_Light_Front_Diag_Shared: if the frong left and right turn light LED diagnose line connected to same input ofr BCM (CODED = 1, UNCODED = 0)</t>
  </si>
  <si>
    <t>p_t_Power_Window_Post_Carriage_Time_Lo: LSB byte The time that power window is active after igntion off.</t>
  </si>
  <si>
    <t>p_t_Power_Window_Post_Carriage_Time_Hi: MSB byte The front window maximum move up or down time.</t>
  </si>
  <si>
    <t>p_t_DriveMode_FailureReason</t>
  </si>
  <si>
    <t>p_t_DriveMode_FailureReason: How soon the failure reason from TCU or VCU will be received</t>
  </si>
  <si>
    <t>p_n_DRL_Power_Open_DM</t>
  </si>
  <si>
    <t>p_n_DRL_Power_Open_DM:the threshold of open demature</t>
  </si>
  <si>
    <t>p_n_BCM_VehicleType</t>
  </si>
  <si>
    <t>p_n_BCM_VehicleType: To indict the APWL and Sunroof module which car is.
No need in Function Spec</t>
  </si>
  <si>
    <t>0E0E</t>
  </si>
  <si>
    <t>0E0F</t>
  </si>
  <si>
    <t>0FCE</t>
  </si>
  <si>
    <t>0FCF</t>
  </si>
  <si>
    <t>0FD0</t>
  </si>
  <si>
    <t>0FD1</t>
  </si>
  <si>
    <t>1093</t>
  </si>
  <si>
    <t>1094</t>
  </si>
  <si>
    <t>1095</t>
  </si>
  <si>
    <t>1096</t>
  </si>
  <si>
    <t>1097</t>
  </si>
  <si>
    <t>1098</t>
  </si>
  <si>
    <t>1099</t>
  </si>
  <si>
    <t>109A</t>
  </si>
  <si>
    <t>109B</t>
  </si>
  <si>
    <t>109C</t>
  </si>
  <si>
    <t>109D</t>
  </si>
  <si>
    <t>109E</t>
  </si>
  <si>
    <t>109F</t>
  </si>
  <si>
    <t>10A0</t>
  </si>
  <si>
    <t>1F00</t>
  </si>
  <si>
    <t>1F02</t>
  </si>
  <si>
    <t>1F03</t>
  </si>
  <si>
    <t>1F04</t>
  </si>
  <si>
    <t>1F05</t>
  </si>
  <si>
    <t>1F06</t>
  </si>
  <si>
    <t>1F07</t>
  </si>
  <si>
    <t>1F08</t>
  </si>
  <si>
    <t>1F09</t>
  </si>
  <si>
    <t>1F0A</t>
  </si>
  <si>
    <t>1F0B</t>
  </si>
  <si>
    <t>1F0C</t>
  </si>
  <si>
    <t>1F0D</t>
  </si>
  <si>
    <t>1F0E</t>
  </si>
  <si>
    <t>1F0F</t>
  </si>
  <si>
    <t>1F10</t>
  </si>
  <si>
    <t>1F11</t>
  </si>
  <si>
    <t>1F12</t>
  </si>
  <si>
    <t>1F13</t>
  </si>
  <si>
    <t>1F14</t>
  </si>
  <si>
    <t>1FFF</t>
  </si>
  <si>
    <t>3902</t>
  </si>
  <si>
    <t>3903</t>
  </si>
  <si>
    <t>3904</t>
  </si>
  <si>
    <t>3905</t>
  </si>
  <si>
    <t>3906</t>
  </si>
  <si>
    <t>3907</t>
  </si>
  <si>
    <t>3908</t>
  </si>
  <si>
    <t>3909</t>
  </si>
  <si>
    <t>390A</t>
  </si>
  <si>
    <t>39FF</t>
  </si>
  <si>
    <t>Odo_Miles_Record_backup_0</t>
  </si>
  <si>
    <t>Odo_Miles_Record_backup_1</t>
  </si>
  <si>
    <t>Odo_Miles_Record_backup_2</t>
  </si>
  <si>
    <t>Odo_Miles_Record_backup_3</t>
  </si>
  <si>
    <t>#define NvMBlockLength_DiagBackupInfo2    EEP_DIAGBACKUPINFO2_BYTE_NUMBER</t>
  </si>
  <si>
    <t>#define NvMBlockLength_DiagBackupInfo3    EEP_DIAGBACKUPINFO3_BYTE_NUMBER</t>
  </si>
  <si>
    <t>#define NvMBlockLength_DiagBackupInfo4    EEP_DIAGBACKUPINFO4_BYTE_NUMBER</t>
  </si>
  <si>
    <t>0D13</t>
  </si>
  <si>
    <t>0D14</t>
  </si>
  <si>
    <t>0D15</t>
  </si>
  <si>
    <t>0D16</t>
  </si>
  <si>
    <t>0D17</t>
  </si>
  <si>
    <t>0D18</t>
  </si>
  <si>
    <t>0D19</t>
  </si>
  <si>
    <t>0D1A</t>
  </si>
  <si>
    <t>0D1B</t>
  </si>
  <si>
    <t>0D1C</t>
  </si>
  <si>
    <t>0D1D</t>
  </si>
  <si>
    <t>0D1E</t>
  </si>
  <si>
    <t>0D1F</t>
  </si>
  <si>
    <t>0D20</t>
  </si>
  <si>
    <t>0D21</t>
  </si>
  <si>
    <t>1707</t>
  </si>
  <si>
    <t>End of DTMS_Configuration</t>
  </si>
  <si>
    <t>17FF</t>
  </si>
  <si>
    <t>c_ECO_SPORT_Switch_Type</t>
  </si>
  <si>
    <t>c_ECO_SPORT_Switch_Type: (HARDWARE: 0, SERIAL_DATA: 1)</t>
  </si>
  <si>
    <t>c_ECO_SPORT_Control_Type</t>
  </si>
  <si>
    <t>c_ECO_SPORT_Control_Type: (HARDWARE: 0, SERIAL_DATA: 1)</t>
  </si>
  <si>
    <t>p_t_Autolight_Off_Delay</t>
  </si>
  <si>
    <t>p_t_Autolight_Off_Delay: The the ambient light change to bright, how soom shall low beam and position light shall be switch off</t>
  </si>
  <si>
    <t>c_EMS_Enabled</t>
  </si>
  <si>
    <t>c_EMS_Enabled: If EMS Is installed in the car ( FALSE = 0; TRUE = 1)</t>
  </si>
  <si>
    <t>MATERIAL_NUMBER_BYTE0</t>
  </si>
  <si>
    <t>Material Number Byte 0</t>
  </si>
  <si>
    <t>MATERIAL_NUMBER_BYTE1</t>
  </si>
  <si>
    <t>Material Number Byte 1</t>
  </si>
  <si>
    <t>MATERIAL_NUMBER_BYTE2</t>
  </si>
  <si>
    <t>Material Number Byte 2</t>
  </si>
  <si>
    <t>MATERIAL_NUMBER_BYTE3</t>
  </si>
  <si>
    <t>Material Number Byte 3</t>
  </si>
  <si>
    <t>MATERIAL_NUMBER_BYTE4</t>
  </si>
  <si>
    <t>Material Number Byte 4</t>
  </si>
  <si>
    <t>MATERIAL_NUMBER_BYTE5</t>
  </si>
  <si>
    <t>Material Number Byte 5</t>
  </si>
  <si>
    <t>MATERIAL_NUMBER_BYTE6</t>
  </si>
  <si>
    <t>Material Number Byte 6</t>
  </si>
  <si>
    <t>MATERIAL_NUMBER_BYTE7</t>
  </si>
  <si>
    <t>Material Number Byte 7</t>
  </si>
  <si>
    <t>MATERIAL_NUMBER_BYTE8</t>
  </si>
  <si>
    <t>Material Number Byte 8</t>
  </si>
  <si>
    <t>MATERIAL_NUMBER_BYTE9</t>
  </si>
  <si>
    <t>Material Number Byte 9</t>
  </si>
  <si>
    <t>CUSTOMER_PN_Byte9</t>
  </si>
  <si>
    <t>Block CRC</t>
  </si>
  <si>
    <t>48DF</t>
  </si>
  <si>
    <t>34E8</t>
  </si>
  <si>
    <t>0FD2</t>
  </si>
  <si>
    <t>0x7FD00~0x7FD09</t>
  </si>
  <si>
    <t>c_Roll_LIN_Control_Enable</t>
  </si>
  <si>
    <t>c_Roll_LIN_Control_Enable: if there is a roll module on LIN  (FALSE = 0; TRUE = 1)</t>
  </si>
  <si>
    <t>c_Welcome_Light_Enabled</t>
  </si>
  <si>
    <t>c_Welcome_Light_Enabled: Enable or Disable Welcome Light (ENABLED = 1, DISABLED = 0)</t>
  </si>
  <si>
    <t>c_Turn_Light_Anim_Enable</t>
  </si>
  <si>
    <t>c_Turn_Light_Anim_Enable: Enable or Disable Turnlight Animation feature ( DISABLE = 0, ENABLE = 1)</t>
  </si>
  <si>
    <t>c_Glove_Box_Enabled</t>
  </si>
  <si>
    <t>c_Glove_Box_switch_Input_Type</t>
  </si>
  <si>
    <t>c_Glove_Box_Enabled: Glove Box Switch Input Type (DIGITAL = 1, ANALOG = 0)</t>
  </si>
  <si>
    <t>c_Glove_Box_switch_Input_Type: Glove Box Switch Input Type (DIGITAL = 1, ANALOG = 0)</t>
  </si>
  <si>
    <t>c_Child_Switch_Input_Type</t>
  </si>
  <si>
    <t>c_Child_Switch_Input_Type: Child Lock Switch Input Type (DIGITAL = 1, ANALOG = 0)</t>
  </si>
  <si>
    <t>c_Conform_SPORT_Control_Type</t>
  </si>
  <si>
    <t>c_Conform_SPORT_Control_Type: HARDWARE = 0; SERIAL_DATA = 1</t>
  </si>
  <si>
    <t>c_Conform_Mode_Enabled</t>
  </si>
  <si>
    <t>c_Conform_Mode_Enabled: Comfort mode is Enable or Disable ( DISAB:LE = 0, ENABLE = 1)</t>
  </si>
  <si>
    <t>p_t_welcome_light</t>
  </si>
  <si>
    <t>p_t_welcome_light:</t>
  </si>
  <si>
    <t>p_t_Anim_Unlock_Time</t>
  </si>
  <si>
    <t>c_DoorHandle_Enabled</t>
  </si>
  <si>
    <t>c_DoorHandle_Enabled: Enable or Disable Door Handle Function (ENABLE = 1: DISABLE = 0)</t>
  </si>
  <si>
    <t>c_ChildLock_Enabled</t>
  </si>
  <si>
    <t>c_ChildLock_Enabled: Enable or Disable Child Lock Function (ENABLE = 1: DISABLE = 0)</t>
  </si>
  <si>
    <t>0FD3</t>
  </si>
  <si>
    <t>0FD5</t>
  </si>
  <si>
    <t>0FD6</t>
  </si>
  <si>
    <t>0FDA</t>
  </si>
  <si>
    <t>10A1</t>
  </si>
  <si>
    <t>10A2</t>
  </si>
  <si>
    <t>c_Diag_23_Enabled</t>
  </si>
  <si>
    <t>c_Diag_23_Enabled: Enable or Disable Write Memory services</t>
  </si>
  <si>
    <t>c_Diag_3D_Enabled</t>
  </si>
  <si>
    <t>c_Diag_3D_Enabled: Enable or Disable Write Memory services</t>
  </si>
  <si>
    <t>DTC_Lost_Communication_With_ACU_p</t>
  </si>
  <si>
    <t>DTC_Lost_Communication_With_MMI_p</t>
  </si>
  <si>
    <t>DTC_Lost_Communication_With_TBOX_p</t>
  </si>
  <si>
    <t>DTC_Lost_Communication_With_AC_p</t>
  </si>
  <si>
    <t>DTC_Lost_Communication_With_PEPS_p</t>
  </si>
  <si>
    <t>DTC_Lost_Communication_With_FLAPWL_p</t>
  </si>
  <si>
    <t>DTC_Lost_Communication_With_FRAPWL_p</t>
  </si>
  <si>
    <t>DTC_Lost_Communication_With_RLAPWL_p</t>
  </si>
  <si>
    <t>DTC_Lost_Communication_With_RRAPWL_p</t>
  </si>
  <si>
    <t>DTC_LIN1_Communication_Fault_p</t>
  </si>
  <si>
    <t>DTC_LIN2_Communication_Fault_p</t>
  </si>
  <si>
    <t>DTC_BCAN_Bus_Off_Fault_p</t>
  </si>
  <si>
    <t>DTC_System_Voltage_2_Under_Volt_Fault_p</t>
  </si>
  <si>
    <t>DTC_System_Voltage_2_Over_Volt_Fault_p</t>
  </si>
  <si>
    <t>DTC_FL_Tire_High_Temperature_p</t>
  </si>
  <si>
    <t>DTC_FR_Tire_High_Temperature_p</t>
  </si>
  <si>
    <t>DTC_RL_Tire_High_Temperature_p</t>
  </si>
  <si>
    <t>DTC_RR_Tire_High_Temperature_p</t>
  </si>
  <si>
    <t>DTC_FL_WE_Sensor_Battery_Low_p</t>
  </si>
  <si>
    <t>DTC_FR_WE_Sensor_Battery_Low_p</t>
  </si>
  <si>
    <t>DTC_RL_WE_Sensor_Battery_Low_p</t>
  </si>
  <si>
    <t>DTC_RR_WE_Sensor_Battery_Low_p</t>
  </si>
  <si>
    <t>DTC_FL_WE_Sensor_Mute_p</t>
  </si>
  <si>
    <t>DTC_FR_WE_Sensor_Mute_p</t>
  </si>
  <si>
    <t>DTC_RL_WE_Sensor_Mute_p</t>
  </si>
  <si>
    <t>DTC_RR_WE_Sensor_Mute_p</t>
  </si>
  <si>
    <t>DTC_FL_Tire_Low_Pressure_p</t>
  </si>
  <si>
    <t>DTC_FR_Tire_Low_Pressure_p</t>
  </si>
  <si>
    <t>DTC_RL_Tire_Low_Pressure_p</t>
  </si>
  <si>
    <t>DTC_RR_Tire_Low_Pressure_p</t>
  </si>
  <si>
    <t>DTC_RF_Receiver_Not_Responding_p</t>
  </si>
  <si>
    <t>DTC_WE_Sensor_IDs_Not_Programmed_p</t>
  </si>
  <si>
    <t>DTC_WE_Sensor_Localisation_Fault_p</t>
  </si>
  <si>
    <t>DTC_WE_Sensor_Positions_Assumed_p</t>
  </si>
  <si>
    <t>DTC_Invalid_Wheel_Tick_Number_p</t>
  </si>
  <si>
    <t>DTC_Wheel_Tick_Number_Not_Received_p</t>
  </si>
  <si>
    <t>DTC_Invalid_Vehicle_Speed_p</t>
  </si>
  <si>
    <t>DTC_Vehicle_Speed_Not_Received_p</t>
  </si>
  <si>
    <t>DTC_Rear_Fog_Short_To_Bat_p</t>
  </si>
  <si>
    <t>DTC_Rear_Fog_Open_Load_p</t>
  </si>
  <si>
    <t>DTC_Reverse_Lamp_Short_To_Bat_p</t>
  </si>
  <si>
    <t>DTC_Reverse_Lamp_Open_Load_p</t>
  </si>
  <si>
    <t>DTC_Brake_Light_Short_To_Bat_p</t>
  </si>
  <si>
    <t>DTC_Brake_Light_Open_Load_p</t>
  </si>
  <si>
    <t>DTC_CHMSL_Short_To_Bat_p</t>
  </si>
  <si>
    <t>DTC_FL_APWL_Under_Voltage_Error_p</t>
  </si>
  <si>
    <t>DTC_FL_APWL_Over_Voltage_Error_p</t>
  </si>
  <si>
    <t>DTC_FL_APWL_Motor_Relay_Error_p</t>
  </si>
  <si>
    <t>DTC_FL_APWL_Motor_Overheat_p</t>
  </si>
  <si>
    <t>DTC_FL_APWL_Switch_Stick_p</t>
  </si>
  <si>
    <t>DTC_FL_APWL_Hall_Sensor_Error_p</t>
  </si>
  <si>
    <t>DTC_FR_APWL_Under_Voltage_Error_p</t>
  </si>
  <si>
    <t>DTC_FR_APWL_Over_Voltage_Error_p</t>
  </si>
  <si>
    <t>DTC_FR_APWL_Motor_Relay_Error_p</t>
  </si>
  <si>
    <t>DTC_FR_APWL_Motor_Overheat_p</t>
  </si>
  <si>
    <t>DTC_FR_APWL_Switch_Stick_p</t>
  </si>
  <si>
    <t>DTC_FR_APWL_Hall_Sensor_Error_p</t>
  </si>
  <si>
    <t>DTC_RL_APWL_Under_Voltage_Error_p</t>
  </si>
  <si>
    <t>DTC_RL_APWL_Over_Voltage_Error_p</t>
  </si>
  <si>
    <t>DTC_RL_APWL_Motor_Relay_Error_p</t>
  </si>
  <si>
    <t>DTC_RL_APWL_Motor_Overheat_p</t>
  </si>
  <si>
    <t>DTC_RL_APWL_Switch_Stick_p</t>
  </si>
  <si>
    <t>DTC_RL_APWL_Hall_Sensor_Error_p</t>
  </si>
  <si>
    <t>DTC_RR_APWL_Under_Voltage_Error_p</t>
  </si>
  <si>
    <t>DTC_RR_APWL_Over_Voltage_Error_p</t>
  </si>
  <si>
    <t>DTC_RR_APWL_Motor_Relay_Error_p</t>
  </si>
  <si>
    <t>DTC_RR_APWL_Motor_Overheat_p</t>
  </si>
  <si>
    <t>DTC_RR_APWL_Switch_Stick_p</t>
  </si>
  <si>
    <t>DTC_RR_APWL_Hall_Sensor_Error_p</t>
  </si>
  <si>
    <t>DTC_Hazard_LED_Short_To_Gnd_p</t>
  </si>
  <si>
    <t>DTC_ATWS_LED_Short_To_Gnd_p</t>
  </si>
  <si>
    <t>DTC_Battery_Saver_Control_Short_To_Gnd_p</t>
  </si>
  <si>
    <t>DTC_Battery_Saver_Control_Short_To_Bat_p</t>
  </si>
  <si>
    <t>DTC_Left_DRL_Short_To_Bat_p</t>
  </si>
  <si>
    <t>DTC_Right_DRL_Short_To_Bat_p</t>
  </si>
  <si>
    <t>DTC_Rear_Wiper_Short_To_Gnd_or_Open_Load_p</t>
  </si>
  <si>
    <t>DTC_CDL_Switch_Implausible_p</t>
  </si>
  <si>
    <t>DTC_CDL_Lock_Short_To_Gnd_or_Open_Load_p</t>
  </si>
  <si>
    <t>DTC_Tailgate_Release_Short_To_Gnd_or_Open_Load_p</t>
  </si>
  <si>
    <t>DTC_cdl_Indicator_Overload_p</t>
  </si>
  <si>
    <t>DTC_Front_Washer_Short_To_Gnd_or_Open_Load_p</t>
  </si>
  <si>
    <t>DTC_Rear_Washer_Short_To_Gnd_or_Open_Load_p</t>
  </si>
  <si>
    <t>DTC_Front_Mirror_Fold_Short_To_Gnd_or_Open_Load_p</t>
  </si>
  <si>
    <t>DTC_Front_Mirror_Unfold_Short_To_Gnd_or_Open_Load_p</t>
  </si>
  <si>
    <t>DTC_Drv_Pass_PWL_Swich_Implausible_p</t>
  </si>
  <si>
    <t>DTC_Drv_RL_PWL_Swich_Implausible_p</t>
  </si>
  <si>
    <t>DTC_Drv_RR_PWL_Swich_Implausible_p</t>
  </si>
  <si>
    <t>DTC_Inhibit_Indicator_Over_Load_p</t>
  </si>
  <si>
    <t>DTC_Backlight_Over_Load_p</t>
  </si>
  <si>
    <t>DTC_CDL_Electrical_Error_p</t>
  </si>
  <si>
    <t>DTC_Invalid_Hardwire_Crash_PWM_Signal_p</t>
  </si>
  <si>
    <t xml:space="preserve"> </t>
  </si>
  <si>
    <t>Platform: Platform Selection. 0: FE6, 1: NL5, 2: FE5, 3: NL3B, 4: FE7, 5: GE, 6: CMA</t>
  </si>
  <si>
    <t>Winter_Mode: WinterMode. 1: disable, 2: enable</t>
  </si>
  <si>
    <t>Tpms_Standard: Standard Of TPMS. 1: China GB, 2: Europe, 3: US</t>
  </si>
  <si>
    <t>High_Temperature_Config: High temperature alarm threshold configuration. 1: 75 degC, 2: 80 degC, 3: 85 degC, 4: 90 degC</t>
  </si>
  <si>
    <t>kpa</t>
  </si>
  <si>
    <t>Dtms_Active (addr 1707h): TPMS Enable/Disable, 0: disable, 1: enable</t>
  </si>
  <si>
    <t>1702</t>
  </si>
  <si>
    <t>1703</t>
  </si>
  <si>
    <t>1704</t>
  </si>
  <si>
    <t>1705</t>
  </si>
  <si>
    <t>1706</t>
  </si>
  <si>
    <t>1708</t>
  </si>
  <si>
    <t>Diag_Topology0</t>
  </si>
  <si>
    <t>Diag_Topology</t>
  </si>
  <si>
    <t>Diag_Topology1</t>
  </si>
  <si>
    <t>Diag_Topology2</t>
  </si>
  <si>
    <t>Diag_Topology3</t>
  </si>
  <si>
    <t>Diag_Topology4</t>
  </si>
  <si>
    <t>Diag_Topology5</t>
  </si>
  <si>
    <t>Diag_Topology6</t>
  </si>
  <si>
    <t>Diag_Topology7</t>
  </si>
  <si>
    <t>Diag_Topology8</t>
  </si>
  <si>
    <t>Diag_Topology9</t>
  </si>
  <si>
    <t>Diag_Topology10</t>
  </si>
  <si>
    <t>Diag_Topology11</t>
  </si>
  <si>
    <t>Diag_Topology12</t>
  </si>
  <si>
    <t>Diag_Topology13</t>
  </si>
  <si>
    <t>Diag_Topology14</t>
  </si>
  <si>
    <t>Diag_Topology15</t>
  </si>
  <si>
    <t>DTC_Lost_Communication_With_FCS_p</t>
  </si>
  <si>
    <t>DTC_CDL_Child_Lock_Short_To_Ground_or_Power_Open_p</t>
  </si>
  <si>
    <t>DTC_Lost_Communication_With_VCU_HBCAN_p</t>
  </si>
  <si>
    <t>Rcp_Front_Wheels_p</t>
  </si>
  <si>
    <t>Rcp_Rear_Wheels_p</t>
  </si>
  <si>
    <t>High_Temperature_Config_p</t>
  </si>
  <si>
    <t>Winter_Mode_p</t>
  </si>
  <si>
    <t>Tpms_Standard_p</t>
  </si>
  <si>
    <t>Tyre_High_Pressure_p</t>
  </si>
  <si>
    <t>Dtms_Active_p</t>
  </si>
  <si>
    <t>Platform_p</t>
  </si>
  <si>
    <t>6413</t>
  </si>
  <si>
    <t>0302</t>
  </si>
  <si>
    <t>0303</t>
  </si>
  <si>
    <t>0304</t>
  </si>
  <si>
    <t>0305</t>
  </si>
  <si>
    <t>0306</t>
  </si>
  <si>
    <t>0307</t>
  </si>
  <si>
    <t>0308</t>
  </si>
  <si>
    <t>0309</t>
  </si>
  <si>
    <t>030A</t>
  </si>
  <si>
    <t>030B</t>
  </si>
  <si>
    <t>030C</t>
  </si>
  <si>
    <t>030D</t>
  </si>
  <si>
    <t>030E</t>
  </si>
  <si>
    <t>030F</t>
  </si>
  <si>
    <t>0310</t>
  </si>
  <si>
    <t>0311</t>
  </si>
  <si>
    <t>0312</t>
  </si>
  <si>
    <t>0313</t>
  </si>
  <si>
    <t>0314</t>
  </si>
  <si>
    <t>0315</t>
  </si>
  <si>
    <t>0316</t>
  </si>
  <si>
    <t>0317</t>
  </si>
  <si>
    <t>0318</t>
  </si>
  <si>
    <t>0319</t>
  </si>
  <si>
    <t>031A</t>
  </si>
  <si>
    <t>031B</t>
  </si>
  <si>
    <t>031C</t>
  </si>
  <si>
    <t>031D</t>
  </si>
  <si>
    <t>0321</t>
  </si>
  <si>
    <t>0322</t>
  </si>
  <si>
    <t>0323</t>
  </si>
  <si>
    <t>0324</t>
  </si>
  <si>
    <t>0325</t>
  </si>
  <si>
    <t>0326</t>
  </si>
  <si>
    <t>0327</t>
  </si>
  <si>
    <t>0328</t>
  </si>
  <si>
    <t>0329</t>
  </si>
  <si>
    <t>032A</t>
  </si>
  <si>
    <t>032B</t>
  </si>
  <si>
    <t>032C</t>
  </si>
  <si>
    <t>032D</t>
  </si>
  <si>
    <t>032E</t>
  </si>
  <si>
    <t>032F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</si>
  <si>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</si>
  <si>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</si>
  <si>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</si>
  <si>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</si>
  <si>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</si>
  <si>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</si>
  <si>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</si>
  <si>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</si>
  <si>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</si>
  <si>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</si>
  <si>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033A</t>
  </si>
  <si>
    <t>033B</t>
  </si>
  <si>
    <t>033C</t>
  </si>
  <si>
    <t>033D</t>
  </si>
  <si>
    <t>033E</t>
  </si>
  <si>
    <t>033F</t>
  </si>
  <si>
    <t>0340</t>
  </si>
  <si>
    <t>0341</t>
  </si>
  <si>
    <t>0342</t>
  </si>
  <si>
    <t>0343</t>
  </si>
  <si>
    <t>0344</t>
  </si>
  <si>
    <t>0345</t>
  </si>
  <si>
    <t>0346</t>
  </si>
  <si>
    <t>0347</t>
  </si>
  <si>
    <t>0348</t>
  </si>
  <si>
    <t>End of HellaProductionData</t>
  </si>
  <si>
    <t>3FF</t>
  </si>
  <si>
    <t>1202</t>
  </si>
  <si>
    <t>1203</t>
  </si>
  <si>
    <t>1204</t>
  </si>
  <si>
    <t>1205</t>
  </si>
  <si>
    <t>1206</t>
  </si>
  <si>
    <t>1207</t>
  </si>
  <si>
    <t>1208</t>
  </si>
  <si>
    <t>1209</t>
  </si>
  <si>
    <t>120A</t>
  </si>
  <si>
    <t>120B</t>
  </si>
  <si>
    <t>120C</t>
  </si>
  <si>
    <t>120D</t>
  </si>
  <si>
    <t>120E</t>
  </si>
  <si>
    <t>120F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</si>
  <si>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</si>
  <si>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</si>
  <si>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</si>
  <si>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</si>
  <si>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</si>
  <si>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</si>
  <si>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</si>
  <si>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</si>
  <si>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</si>
  <si>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</si>
  <si>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121A</t>
  </si>
  <si>
    <t>121B</t>
  </si>
  <si>
    <t>121C</t>
  </si>
  <si>
    <t>121D</t>
  </si>
  <si>
    <t>121E</t>
  </si>
  <si>
    <t>121F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</si>
  <si>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</si>
  <si>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</si>
  <si>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</si>
  <si>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</si>
  <si>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</si>
  <si>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</si>
  <si>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</si>
  <si>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</si>
  <si>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</si>
  <si>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</si>
  <si>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122A</t>
  </si>
  <si>
    <t>122B</t>
  </si>
  <si>
    <t>122C</t>
  </si>
  <si>
    <t>122D</t>
  </si>
  <si>
    <t>122E</t>
  </si>
  <si>
    <t>122F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</si>
  <si>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</si>
  <si>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</si>
  <si>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</si>
  <si>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</si>
  <si>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</si>
  <si>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</si>
  <si>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</si>
  <si>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</si>
  <si>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</si>
  <si>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</si>
  <si>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123A</t>
  </si>
  <si>
    <t>123B</t>
  </si>
  <si>
    <t>123C</t>
  </si>
  <si>
    <t>123D</t>
  </si>
  <si>
    <t>123E</t>
  </si>
  <si>
    <t>123F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</si>
  <si>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</si>
  <si>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</si>
  <si>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</si>
  <si>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</si>
  <si>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</si>
  <si>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</si>
  <si>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</si>
  <si>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</si>
  <si>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</si>
  <si>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</si>
  <si>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124A</t>
  </si>
  <si>
    <t>124B</t>
  </si>
  <si>
    <t>124C</t>
  </si>
  <si>
    <t>124D</t>
  </si>
  <si>
    <t>124E</t>
  </si>
  <si>
    <t>124F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</si>
  <si>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</si>
  <si>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</si>
  <si>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</si>
  <si>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</si>
  <si>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</si>
  <si>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</si>
  <si>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</si>
  <si>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</si>
  <si>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</si>
  <si>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</si>
  <si>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125A</t>
  </si>
  <si>
    <t>125B</t>
  </si>
  <si>
    <t>125C</t>
  </si>
  <si>
    <t>125D</t>
  </si>
  <si>
    <t>125E</t>
  </si>
  <si>
    <t>125F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</si>
  <si>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</si>
  <si>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</si>
  <si>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</si>
  <si>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</si>
  <si>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</si>
  <si>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</si>
  <si>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</si>
  <si>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</si>
  <si>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</si>
  <si>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</si>
  <si>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126A</t>
  </si>
  <si>
    <t>126B</t>
  </si>
  <si>
    <t>126C</t>
  </si>
  <si>
    <t>126D</t>
  </si>
  <si>
    <t>126E</t>
  </si>
  <si>
    <t>126F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</si>
  <si>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</si>
  <si>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</si>
  <si>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</si>
  <si>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</si>
  <si>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</si>
  <si>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</si>
  <si>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</si>
  <si>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</si>
  <si>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</si>
  <si>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</si>
  <si>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127A</t>
  </si>
  <si>
    <t>127B</t>
  </si>
  <si>
    <t>127C</t>
  </si>
  <si>
    <t>127D</t>
  </si>
  <si>
    <t>127E</t>
  </si>
  <si>
    <t>127F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</si>
  <si>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</si>
  <si>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</si>
  <si>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</si>
  <si>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</si>
  <si>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</si>
  <si>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</si>
  <si>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</si>
  <si>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</si>
  <si>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</si>
  <si>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</si>
  <si>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128A</t>
  </si>
  <si>
    <t>128B</t>
  </si>
  <si>
    <t>128C</t>
  </si>
  <si>
    <t>128D</t>
  </si>
  <si>
    <t>128E</t>
  </si>
  <si>
    <t>128F</t>
  </si>
  <si>
    <t>1290</t>
  </si>
  <si>
    <t>1291</t>
  </si>
  <si>
    <t>End of KDTCCalibrationByte0</t>
  </si>
  <si>
    <t>12FF</t>
  </si>
  <si>
    <t>p_t_Childlockotor_Act_12V</t>
  </si>
  <si>
    <t>p_t_Childlockotor_Act_12V:</t>
  </si>
  <si>
    <t>p_t_Childlock_Motor_Act_9V</t>
  </si>
  <si>
    <t>p_t_Childlock_Motor_Act_9V:</t>
  </si>
  <si>
    <t>p_t_Childlock_Motor_Act_14V</t>
  </si>
  <si>
    <t>p_t_Childlock_Motor_Act_14V:</t>
  </si>
  <si>
    <t>84A0</t>
  </si>
  <si>
    <t>0E10</t>
  </si>
  <si>
    <t>0E11</t>
  </si>
  <si>
    <t>0E12</t>
  </si>
  <si>
    <t>2102</t>
  </si>
  <si>
    <t>2103</t>
  </si>
  <si>
    <t>2104</t>
  </si>
  <si>
    <t>End of Odometer</t>
  </si>
  <si>
    <t>21FF</t>
  </si>
  <si>
    <t>10A3</t>
  </si>
  <si>
    <t>10A4</t>
  </si>
  <si>
    <t>10A5</t>
  </si>
  <si>
    <t>10A6</t>
  </si>
  <si>
    <t>DTC_Lost_Communication_With_IPK_p</t>
  </si>
  <si>
    <t>DTC_Lost_Communication_With_GW_p</t>
  </si>
  <si>
    <t>DTC_Lost_Communication_With_ESC_p</t>
  </si>
  <si>
    <t>p_t_Back_Light_Ttime</t>
  </si>
  <si>
    <t>p_t_Back_Light_Ttime: back light fade in/out time per 10% change</t>
  </si>
  <si>
    <t>0FDD</t>
  </si>
  <si>
    <t>p_t_EL_RCW_Flashing_Ontime</t>
  </si>
  <si>
    <t>p_t_EL_RCW_Flashing_Offtime</t>
  </si>
  <si>
    <t>p_t_EL_RCW_Flashing_Ontime: RCW bright time for turn lamp</t>
  </si>
  <si>
    <t>p_t_EL_RCW_Flashing_Offtime: RCW dark time for turn lamp</t>
  </si>
  <si>
    <t>0FDE</t>
  </si>
  <si>
    <t>0FDF</t>
  </si>
  <si>
    <t>p_n_EL_SATO_Flash_Cycle</t>
  </si>
  <si>
    <t>the PEPS SATO flashing cycle counts</t>
  </si>
  <si>
    <t>p_t_EL_SATO_Ontime</t>
  </si>
  <si>
    <t>p_t_EL_SATO_Offtime</t>
  </si>
  <si>
    <t>PEPS SATO flashing bright time</t>
  </si>
  <si>
    <t>PEPS SATO Flashing dark time</t>
  </si>
  <si>
    <t>0FE0</t>
  </si>
  <si>
    <t>0FE1</t>
  </si>
  <si>
    <t>0FE2</t>
  </si>
  <si>
    <t>0FCD</t>
  </si>
  <si>
    <t>p_t_Doorhandle_unFold_Failure_Time</t>
  </si>
  <si>
    <t>p_t_EL_HazardIndicator_LED_Diag_Delay</t>
  </si>
  <si>
    <t>p_t_EL_HazardIndicator_LED_Diag_Delay :</t>
  </si>
  <si>
    <t>p_t_EL_HazardIndicator_LED_Diag_Mature</t>
  </si>
  <si>
    <t>p_t_EL_HazardIndicator_LED_Diag_Mature :</t>
  </si>
  <si>
    <t>p_t_EL_HazardIndicator_LED_Diag_Demature</t>
  </si>
  <si>
    <t>p_t_EL_HazardIndicator_LED_Diag_Demature:</t>
  </si>
  <si>
    <t>0E13</t>
  </si>
  <si>
    <t>0E14</t>
  </si>
  <si>
    <t>0E15</t>
  </si>
  <si>
    <t>p_t_DriveMode_KeepConditionWait</t>
  </si>
  <si>
    <t>p_t_DriveMode_KeepConditionWait: wait for valid input signal</t>
  </si>
  <si>
    <t>0F08</t>
  </si>
  <si>
    <t>Tien Le</t>
  </si>
  <si>
    <t xml:space="preserve"> - For ChinaBCM Geely-MPC_1</t>
  </si>
  <si>
    <t>0D22</t>
  </si>
  <si>
    <t>0D23</t>
  </si>
  <si>
    <t>0D24</t>
  </si>
  <si>
    <t>p_t_FuelLid_Motor_Act_9V</t>
  </si>
  <si>
    <t>p_t_FuelLid_Motor_Act_12V</t>
  </si>
  <si>
    <t>p_t_FuelLid_Motor_Act_14V</t>
  </si>
  <si>
    <t>6F07</t>
  </si>
  <si>
    <t>DTC_Fuel_Lid_Unlock_Short_To_Gnd_or_Power_Open_p</t>
  </si>
  <si>
    <t>DTC_Fuel_Lid_Lock_Short_To_Gnd_or_Power_Open_p</t>
  </si>
  <si>
    <t>ATWStack</t>
  </si>
  <si>
    <t>c_Rear_Left_Logo_Lamp_Enabled</t>
  </si>
  <si>
    <t>c_Rear_Right_Logo_Lamp_Enabled</t>
  </si>
  <si>
    <t>c_Rear_Left_Logo_Lamp_Enabled: Rear left logo lamp is equiped in the car or not. (UNCODED = 0; CODED = 1)</t>
  </si>
  <si>
    <t>c_Rear_Right_Logo_Lamp_Enabled: Rear right logo lamp is equiped in the car or not. (UNCODED = 0; CODED = 1)</t>
  </si>
  <si>
    <t>p_n_Childlock_Speed</t>
  </si>
  <si>
    <t>c_Vehicle_Seek_Horn_Enable</t>
  </si>
  <si>
    <t>c_Vehicle_Seek_Horn_Enable: Vehicle search warning set ((UNCODED = 0; CODED = 1)</t>
  </si>
  <si>
    <t>c_Rear_Wiper_Auto_Enabled</t>
  </si>
  <si>
    <t>c_Rear_Wiper_Auto_Enabled: Auto active rear wiper at reverse if front wiper is actived Response (FALSE=0; TRUE=1)</t>
  </si>
  <si>
    <t>p_n_CDL_Master_Switch_Debounce</t>
  </si>
  <si>
    <t>p_n_CDL_Master_Switch_Debounce: debounce time for Central Door Lock/Unlock</t>
  </si>
  <si>
    <t>p_t_FulidNotClsd_Warning</t>
  </si>
  <si>
    <t>p_t_FulidNotClsd_Warning: Warning time for fuel lid cap forget closed</t>
  </si>
  <si>
    <t>p_t_Wiper_Maintenance_Delay</t>
  </si>
  <si>
    <t>p_t_Wiper_Maintenance_Deny_Delay</t>
  </si>
  <si>
    <t>p_n_Defroster_Indicator_OverL_M</t>
  </si>
  <si>
    <t>p_n_Defroster_Indicator_OverL_DM</t>
  </si>
  <si>
    <t>p_n_Defroster_Indicator_OverL_M: the threshold of over load mature.</t>
  </si>
  <si>
    <t>p_n_Defroster_Indicator_OverL_DM: the threshold of over load demature.</t>
  </si>
  <si>
    <t>p_n_Rear_Turn_Lamp_Right_S2G_M</t>
  </si>
  <si>
    <t>p_n_Rear_Turn_Lamp_Right_S2G_DM</t>
  </si>
  <si>
    <t>p_n_Rear_Turn_Lamp_Right_OPEN</t>
  </si>
  <si>
    <t>p_n_Rear_Turn_Lamp_Left_S2G_M</t>
  </si>
  <si>
    <t>p_n_Rear_Turn_Lamp_Left_S2G_DM</t>
  </si>
  <si>
    <t>p_n_Rear_Turn_Lamp_Left_OPEN</t>
  </si>
  <si>
    <t>p_n_Rear_Turn_Lamp_Right_S2G_M: the threshold of S2G mature</t>
  </si>
  <si>
    <t>p_n_Rear_Turn_Lamp_Left_S2G_M: the threshold of S2G mature</t>
  </si>
  <si>
    <t>p_n_Rear_Turn_Lamp_Left_S2G_DM: the threshold of S2G demature</t>
  </si>
  <si>
    <t>p_n_Rear_Turn_Lamp_Right_S2G_DM: the threshold of S2G demature</t>
  </si>
  <si>
    <t>p_n_Rear_Turn_Lamp_Right_OPEN: the threshold of open</t>
  </si>
  <si>
    <t>p_n_Rear_Turn_Lamp_Left_OPEN: the threshold of open</t>
  </si>
  <si>
    <t>#define NvMBlockLength_ATWStack    EEP_ATWSTACK_BYTE_NUMBER</t>
  </si>
  <si>
    <t>DTC_Front_Right_Turn_Light_Short_To_Gnd_p</t>
  </si>
  <si>
    <t>DTC_Front_Right_Turn_Light_Short_To_Bat_p</t>
  </si>
  <si>
    <t>DTC_Front_Left_Turn_Light_Short_To_Gnd_p</t>
  </si>
  <si>
    <t>DTC_Front_Left_Turn_Light_Short_To_Bat_p</t>
  </si>
  <si>
    <t>DTC_Rear_Right_Turn_Light_Short_To_Gnd_p</t>
  </si>
  <si>
    <t>DTC_Rear_Right_Turn_Light_Short_To_Bat_p</t>
  </si>
  <si>
    <t>DTC_Rear_Left_Turn_Light_Short_To_Gnd_p</t>
  </si>
  <si>
    <t>DTC_Rear_Left_Turn_Light_Short_To_Bat_p</t>
  </si>
  <si>
    <t>p_n_Child_Lock_Int_Relay_Control_S2G_M</t>
  </si>
  <si>
    <t>p_n_Child_Lock_Int_Relay_Control_S2G_DM</t>
  </si>
  <si>
    <t>p_n_Fuel_Lid_Unlock_S2G_M</t>
  </si>
  <si>
    <t>p_n_Fuel_Lid_Unlock_S2G_DM</t>
  </si>
  <si>
    <t>p_n_Fuel_Lid_Lock_S2G_M</t>
  </si>
  <si>
    <t>p_n_Fuel_Lid_Lock_S2G_DM</t>
  </si>
  <si>
    <t>p_n_Central_Lock_S2G_M</t>
  </si>
  <si>
    <t>p_n_Central_Lock_S2G_DM</t>
  </si>
  <si>
    <t>p_n_Central_UnLock_S2G_M</t>
  </si>
  <si>
    <t>p_n_Central_UnLock_S2G_DM</t>
  </si>
  <si>
    <t>p_n_Trunk_Release_S2G_M</t>
  </si>
  <si>
    <t>p_n_Trunk_Release_S2G_DM</t>
  </si>
  <si>
    <t>p_n_Mirror_Unfold_S2G_M</t>
  </si>
  <si>
    <t>p_n_Mirror_Unfold_S2G_DM</t>
  </si>
  <si>
    <t>p_n_Mirror_Fold_S2G_M</t>
  </si>
  <si>
    <t>p_n_Mirror_Fold_S2G_DM</t>
  </si>
  <si>
    <t>p_n_Rear_Washer_Relay_S2G_M</t>
  </si>
  <si>
    <t>p_n_Rear_Washer_Relay_S2G_DM</t>
  </si>
  <si>
    <t>p_n_Child_Lock_Int_Relay_Control_S2G_M: the threshold of S2G mature</t>
  </si>
  <si>
    <t>p_n_Child_Lock_Int_Relay_Control_S2G_DM: the threshold of S2G demature</t>
  </si>
  <si>
    <t>p_n_Fuel_Lid_Unlock_S2G_M: the threshold of S2G mature</t>
  </si>
  <si>
    <t>p_n_Fuel_Lid_Unlock_S2G_DM: the threshold of S2G demature</t>
  </si>
  <si>
    <t>p_n_Fuel_Lid_Lock_S2G_M: the threshold of S2G mature</t>
  </si>
  <si>
    <t>p_n_Fuel_Lid_Lock_S2G_DM: the threshold of S2G demature</t>
  </si>
  <si>
    <t>p_n_Central_Lock_S2G_M: the threshold of S2G mature</t>
  </si>
  <si>
    <t>p_n_Central_Lock_S2G_DM: the threshold of S2G demature</t>
  </si>
  <si>
    <t>p_n_Central_UnLock_S2G_M: the threshold of S2G mature</t>
  </si>
  <si>
    <t>p_n_Central_UnLock_S2G_DM: the threshold of S2G demature</t>
  </si>
  <si>
    <t>p_n_Trunk_Release_S2G_M: the threshold of S2G mature</t>
  </si>
  <si>
    <t>p_n_Trunk_Release_S2G_DM: the threshold of S2G demature</t>
  </si>
  <si>
    <t>p_n_Mirror_Unfold_S2G_M: the threshold of S2G mature</t>
  </si>
  <si>
    <t>p_n_Mirror_Unfold_S2G_DM: the threshold of S2G demature</t>
  </si>
  <si>
    <t>p_n_Mirror_Fold_S2G_M: the threshold of S2G mature</t>
  </si>
  <si>
    <t>p_n_Mirror_Fold_S2G_DM: the threshold of S2G demature</t>
  </si>
  <si>
    <t>p_n_Rear_Washer_Relay_S2G_M: the threshold of S2G mature</t>
  </si>
  <si>
    <t>p_n_Rear_Washer_Relay_S2G_DM: the threshold of S2G demature</t>
  </si>
  <si>
    <t>312.379-01</t>
  </si>
  <si>
    <t>6600014734</t>
  </si>
  <si>
    <t>720</t>
  </si>
  <si>
    <t>p_t_RLSM_Monitor</t>
  </si>
  <si>
    <t>p_t_RLSM_Monitor: Monitor RLSM LIN schedule</t>
  </si>
  <si>
    <t>p_n_Rear_Turn_Left_Control_S2B_M</t>
  </si>
  <si>
    <t>p_n_Rear_Turn_Left_Control_S2B_DM</t>
  </si>
  <si>
    <t>p_n_Rear_Turn_Left_Control_S2B_M: the mature thershold of short to battery</t>
  </si>
  <si>
    <t>p_n_Rear_Turn_Left_Control_S2B_DM: the demature threshold of short to battery</t>
  </si>
  <si>
    <t>p_n_Rear_Turn_Right_Control_S2B_M</t>
  </si>
  <si>
    <t>p_n_Rear_Turn_Right_Control_S2B_DM</t>
  </si>
  <si>
    <t>p_n_Rear_Turn_Right_Control_S2B_M: the mature thershold of short to battery</t>
  </si>
  <si>
    <t>p_n_Rear_Turn_Right_Control_S2B_DM: the demature threshold of short to battery</t>
  </si>
  <si>
    <t>DTC_Defroster_Circuit_Short_To_Gnd_or_Open_Load_p</t>
  </si>
  <si>
    <t>DTC_Defroster_Circuit_Over_Load_or_Over_Temp_p</t>
  </si>
  <si>
    <t>DTC_Interior_Light_Circuit_Short_To_Bat_p</t>
  </si>
  <si>
    <t>DTC_L_Low_Beam_Lamp_Feedback_Fault_p</t>
  </si>
  <si>
    <t>DTC_Left_Low_Beam_Circuit_Short_To_Bat_p</t>
  </si>
  <si>
    <t>DTC_Left_Low_Beam_Circuit_Short_To_Gnd_or_Open_Load_p</t>
  </si>
  <si>
    <t>DTC_Position_Lamp_Feedback_Fault_p</t>
  </si>
  <si>
    <t>DTC_Position_Light_Circuit_Short_To_Bat_p</t>
  </si>
  <si>
    <t>DTC_Position_Light_Circuit_Short_To_Gnd_or_Open_Load_p</t>
  </si>
  <si>
    <t>DTC_High_Beam_Feedback_Fault_p</t>
  </si>
  <si>
    <t>DTC_High_Beam_Circuit_Short_To_Bat_p</t>
  </si>
  <si>
    <t>DTC_High_Beam_Circuit_Short_To_Gnd_or_Open_Load_p</t>
  </si>
  <si>
    <t>DTC_R_Low_Beam_Lamp_Feedback_Fault_p</t>
  </si>
  <si>
    <t>DTC_Right_Low_Beam_Circuit_Short_To_Bat_p</t>
  </si>
  <si>
    <t>DTC_Right_Low_Beam_Circuit_Short_To_Gnd_or_Open_Load_p</t>
  </si>
  <si>
    <t>DTC_EPB_Circuit_Short_To_Gnd_p</t>
  </si>
  <si>
    <t>DTC_Child_Lock_Indicator_Circuit_Short_To_Gnd_or_Open_Load_p</t>
  </si>
  <si>
    <t>DTC_Child_Lock_Indicator_Circuit_Over_Load_or_Over_Temp_p</t>
  </si>
  <si>
    <t>DTC_Arlarm_Horn_Circuit_Over_Load_or_Over_Temp_p</t>
  </si>
  <si>
    <t>DTC_Rear_Fog_Short_To_Gnd_or_Over_Load_p</t>
  </si>
  <si>
    <t>DTC_Reverse_Lamp_Short_To_Gnd_or_Over_Load_p</t>
  </si>
  <si>
    <t>DTC_Brake_Light_Short_To_Gnd_or_Over_Load_p</t>
  </si>
  <si>
    <t>DTC_CHMSL_Short_To_Gnd_or_Over_Load_p</t>
  </si>
  <si>
    <t>DTC_Front_Right_Turn_Light_One_Bulb_is_Outage_or_Open_Load_p</t>
  </si>
  <si>
    <t>DTC_Front_Left_Turn_Light_One_Bulb_is_Outage_or_Open_Load_p</t>
  </si>
  <si>
    <t>DTC_Super_Lock_S2G_or_Power_Open_p</t>
  </si>
  <si>
    <t>DTC_Rear_Left_Turn_Light_One_Bulb_is_Outage_or_Open_Load_p</t>
  </si>
  <si>
    <t>DTC_Rear_Right_Turn_Light_One_Bulb_is_Outage_or_Open_Load_p</t>
  </si>
  <si>
    <t>DTC_Left_DRL_Short_To_Gnd_or_Over_Load_p</t>
  </si>
  <si>
    <t>DTC_Right_DRL_Short_To_Gnd_or_Over_Load_p</t>
  </si>
  <si>
    <t>DTC_Rear_Wiper_Over_Load_or_Over_Temp_p</t>
  </si>
  <si>
    <t>DTC_Defroster_Indicator_Over_Load_or_Over_Temp_p</t>
  </si>
  <si>
    <t>DTC_Rear_Left_Logo_Lamp_Circuit_Short_To_Gnd_or_Open_Load_p</t>
  </si>
  <si>
    <t>DTC_Rear_Left_Logo_Lamp_Over_Load_or_Over_Temp_p</t>
  </si>
  <si>
    <t>DTC_Rear_Right_Logo_Lamp_Circuit_Short_To_Gnd_or_Open_Load_p</t>
  </si>
  <si>
    <t>DTC_Rear_Right_Logo_Lamp_Over_Load_or_Over_Temp_p</t>
  </si>
  <si>
    <t>DTC_Child_Lock_CDL_Electrical_Error_p</t>
  </si>
  <si>
    <t>DTC_Lost_Communication_With_RLS_p</t>
  </si>
  <si>
    <t>DTC_Wheel_Tick_Number_Not_Received (0 = Disable, 1 = Enable)</t>
  </si>
  <si>
    <t>DTC_FL_Tire_High_Temperature (0 = Disable, 1 = Enable)</t>
  </si>
  <si>
    <t>DTC_FR_Tire_High_Temperature (0 = Disable, 1 = Enable)</t>
  </si>
  <si>
    <t>DTC_RL_Tire_High_Temperature (0 = Disable, 1 = Enable)</t>
  </si>
  <si>
    <t>DTC_RR_Tire_High_Temperature (0 = Disable, 1 = Enable)</t>
  </si>
  <si>
    <t>DTC_FL_WE_Sensor_Battery_Low (0 = Disable, 1 = Enable)</t>
  </si>
  <si>
    <t>DTC_FR_WE_Sensor_Battery_Low (0 = Disable, 1 = Enable)</t>
  </si>
  <si>
    <t>DTC_RL_WE_Sensor_Battery_Low (0 = Disable, 1 = Enable)</t>
  </si>
  <si>
    <t>DTC_RR_WE_Sensor_Battery_Low (0 = Disable, 1 = Enable)</t>
  </si>
  <si>
    <t>DTC_FL_WE_Sensor_Mute (0 = Disable, 1 = Enable)</t>
  </si>
  <si>
    <t>DTC_FR_WE_Sensor_Mute (0 = Disable, 1 = Enable)</t>
  </si>
  <si>
    <t>DTC_RL_WE_Sensor_Mute (0 = Disable, 1 = Enable)</t>
  </si>
  <si>
    <t>DTC_RR_WE_Sensor_Mute (0 = Disable, 1 = Enable)</t>
  </si>
  <si>
    <t>DTC_FL_Tire_Low_Pressure (0 = Disable, 1 = Enable)</t>
  </si>
  <si>
    <t>DTC_FR_Tire_Low_Pressure (0 = Disable, 1 = Enable)</t>
  </si>
  <si>
    <t>DTC_RL_Tire_Low_Pressure (0 = Disable, 1 = Enable)</t>
  </si>
  <si>
    <t>DTC_RR_Tire_Low_Pressure (0 = Disable, 1 = Enable)</t>
  </si>
  <si>
    <t>DTC_RF_Receiver_Not_Responding (0 = Disable, 1 = Enable)</t>
  </si>
  <si>
    <t>DTC_Invalid_Wheel_Tick_Number (0 = Disable, 1 = Enable)</t>
  </si>
  <si>
    <t>DTC_WE_Sensor_IDs_Not_Programmed (0 = Disable, 1 = Enable)</t>
  </si>
  <si>
    <t>DTC_WE_Sensor_Localisation_Fault (0 = Disable, 1 = Enable)</t>
  </si>
  <si>
    <t>DTC_WE_Sensor_Positions_Assumed (0 = Disable, 1 = Enable)</t>
  </si>
  <si>
    <t>DTC_Invalid_Vehicle_Speed (0 = Disable, 1 = Enable)</t>
  </si>
  <si>
    <t>DTC_Vehicle_Speed_Not_Received (0 = Disable, 1 = Enable)</t>
  </si>
  <si>
    <t>DTC_Defroster_Circuit_Short_To_Gnd_or_Open_Load (0 = Disable, 1 = Enable)</t>
  </si>
  <si>
    <t>DTC_Defroster_Circuit_Over_Load_or_Over_Temp (0 = Disable, 1 = Enable)</t>
  </si>
  <si>
    <t>DTC_Interior_Light_Circuit_Short_To_Bat (0 = Disable, 1 = Enable)</t>
  </si>
  <si>
    <t>DTC_L_Low_Beam_Lamp_Feedback_Fault (0 = Disable, 1 = Enable)</t>
  </si>
  <si>
    <t>DTC_Left_Low_Beam_Circuit_Short_To_Bat (0 = Disable, 1 = Enable)</t>
  </si>
  <si>
    <t>DTC_Left_Low_Beam_Circuit_Short_To_Gnd_or_Open_Load (0 = Disable, 1 = Enable)</t>
  </si>
  <si>
    <t>DTC_Position_Lamp_Feedback_Fault (0 = Disable, 1 = Enable)</t>
  </si>
  <si>
    <t>DTC_Position_Light_Circuit_Short_To_Bat (0 = Disable, 1 = Enable)</t>
  </si>
  <si>
    <t>DTC_Position_Light_Circuit_Short_To_Gnd_or_Open_Load (0 = Disable, 1 = Enable)</t>
  </si>
  <si>
    <t>DTC_High_Beam_Feedback_Fault (0 = Disable, 1 = Enable)</t>
  </si>
  <si>
    <t>DTC_High_Beam_Circuit_Short_To_Bat (0 = Disable, 1 = Enable)</t>
  </si>
  <si>
    <t>DTC_High_Beam_Circuit_Short_To_Gnd_or_Open_Load (0 = Disable, 1 = Enable)</t>
  </si>
  <si>
    <t>DTC_R_Low_Beam_Lamp_Feedback_Fault (0 = Disable, 1 = Enable)</t>
  </si>
  <si>
    <t>DTC_Right_Low_Beam_Circuit_Short_To_Bat (0 = Disable, 1 = Enable)</t>
  </si>
  <si>
    <t>DTC_Right_Low_Beam_Circuit_Short_To_Gnd_or_Open_Load (0 = Disable, 1 = Enable)</t>
  </si>
  <si>
    <t>DTC_EPB_Circuit_Short_To_Gnd (0 = Disable, 1 = Enable)</t>
  </si>
  <si>
    <t>DTC_Child_Lock_Indicator_Circuit_Short_To_Gnd_or_Open_Load (0 = Disable, 1 = Enable)</t>
  </si>
  <si>
    <t>DTC_Child_Lock_Indicator_Circuit_Over_Load_or_Over_Temp (0 = Disable, 1 = Enable)</t>
  </si>
  <si>
    <t>DTC_Arlarm_Horn_Circuit_Over_Load_or_Over_Temp (0 = Disable, 1 = Enable)</t>
  </si>
  <si>
    <t>DTC_Rear_Fog_Short_To_Gnd_or_Over_Load (0 = Disable, 1 = Enable)</t>
  </si>
  <si>
    <t>DTC_Rear_Fog_Short_To_Bat (0 = Disable, 1 = Enable)</t>
  </si>
  <si>
    <t>DTC_Rear_Fog_Open_Load (0 = Disable, 1 = Enable)</t>
  </si>
  <si>
    <t>DTC_Reverse_Lamp_Short_To_Gnd_or_Over_Load (0 = Disable, 1 = Enable)</t>
  </si>
  <si>
    <t>DTC_Reverse_Lamp_Short_To_Bat (0 = Disable, 1 = Enable)</t>
  </si>
  <si>
    <t>DTC_Reverse_Lamp_Open_Load (0 = Disable, 1 = Enable)</t>
  </si>
  <si>
    <t>DTC_Brake_Light_Short_To_Gnd_or_Over_Load (0 = Disable, 1 = Enable)</t>
  </si>
  <si>
    <t>DTC_Brake_Light_Short_To_Bat (0 = Disable, 1 = Enable)</t>
  </si>
  <si>
    <t>DTC_Brake_Light_Open_Load (0 = Disable, 1 = Enable)</t>
  </si>
  <si>
    <t>DTC_CHMSL_Short_To_Gnd_or_Over_Load (0 = Disable, 1 = Enable)</t>
  </si>
  <si>
    <t>DTC_CHMSL_Short_To_Bat (0 = Disable, 1 = Enable)</t>
  </si>
  <si>
    <t>DTC_Front_Right_Turn_Light_Short_To_Gnd (0 = Disable, 1 = Enable)</t>
  </si>
  <si>
    <t>DTC_Front_Right_Turn_Light_Short_To_Bat (0 = Disable, 1 = Enable)</t>
  </si>
  <si>
    <t>DTC_Front_Right_Turn_Light_One_Bulb_is_Outage_or_Open_Load (0 = Disable, 1 = Enable)</t>
  </si>
  <si>
    <t>DTC_Front_Left_Turn_Light_Short_To_Gnd (0 = Disable, 1 = Enable)</t>
  </si>
  <si>
    <t>DTC_Front_Left_Turn_Light_Short_To_Bat (0 = Disable, 1 = Enable)</t>
  </si>
  <si>
    <t>DTC_Front_Left_Turn_Light_One_Bulb_is_Outage_or_Open_Load (0 = Disable, 1 = Enable)</t>
  </si>
  <si>
    <t>DTC_Super_Lock_S2G_or_Power_Open (0 = Disable, 1 = Enable)</t>
  </si>
  <si>
    <t>DTC_FL_APWL_Under_Voltage_Error (0 = Disable, 1 = Enable)</t>
  </si>
  <si>
    <t>DTC_FL_APWL_Over_Voltage_Error (0 = Disable, 1 = Enable)</t>
  </si>
  <si>
    <t>DTC_FL_APWL_Motor_Relay_Error (0 = Disable, 1 = Enable)</t>
  </si>
  <si>
    <t>DTC_FL_APWL_Motor_Overheat (0 = Disable, 1 = Enable)</t>
  </si>
  <si>
    <t>DTC_FL_APWL_Switch_Stick (0 = Disable, 1 = Enable)</t>
  </si>
  <si>
    <t>DTC_FL_APWL_Hall_Sensor_Error (0 = Disable, 1 = Enable)</t>
  </si>
  <si>
    <t>DTC_FR_APWL_Under_Voltage_Error (0 = Disable, 1 = Enable)</t>
  </si>
  <si>
    <t>DTC_FR_APWL_Over_Voltage_Error (0 = Disable, 1 = Enable)</t>
  </si>
  <si>
    <t>DTC_FR_APWL_Motor_Relay_Error (0 = Disable, 1 = Enable)</t>
  </si>
  <si>
    <t>DTC_FR_APWL_Motor_Overheat (0 = Disable, 1 = Enable)</t>
  </si>
  <si>
    <t>DTC_FR_APWL_Switch_Stick (0 = Disable, 1 = Enable)</t>
  </si>
  <si>
    <t>DTC_FR_APWL_Hall_Sensor_Error (0 = Disable, 1 = Enable)</t>
  </si>
  <si>
    <t>DTC_RL_APWL_Under_Voltage_Error (0 = Disable, 1 = Enable)</t>
  </si>
  <si>
    <t>DTC_RL_APWL_Over_Voltage_Error (0 = Disable, 1 = Enable)</t>
  </si>
  <si>
    <t>DTC_RL_APWL_Motor_Relay_Error (0 = Disable, 1 = Enable)</t>
  </si>
  <si>
    <t>DTC_RL_APWL_Motor_Overheat (0 = Disable, 1 = Enable)</t>
  </si>
  <si>
    <t>DTC_RL_APWL_Switch_Stick (0 = Disable, 1 = Enable)</t>
  </si>
  <si>
    <t>DTC_RL_APWL_Hall_Sensor_Error (0 = Disable, 1 = Enable)</t>
  </si>
  <si>
    <t>DTC_RR_APWL_Under_Voltage_Error (0 = Disable, 1 = Enable)</t>
  </si>
  <si>
    <t>DTC_RR_APWL_Over_Voltage_Error (0 = Disable, 1 = Enable)</t>
  </si>
  <si>
    <t>DTC_RR_APWL_Motor_Relay_Error (0 = Disable, 1 = Enable)</t>
  </si>
  <si>
    <t>DTC_RR_APWL_Motor_Overheat (0 = Disable, 1 = Enable)</t>
  </si>
  <si>
    <t>DTC_RR_APWL_Switch_Stick (0 = Disable, 1 = Enable)</t>
  </si>
  <si>
    <t>DTC_RR_APWL_Hall_Sensor_Error (0 = Disable, 1 = Enable)</t>
  </si>
  <si>
    <t>DTC_Rear_Left_Turn_Light_Short_To_Gnd (0 = Disable, 1 = Enable)</t>
  </si>
  <si>
    <t>DTC_Rear_Left_Turn_Light_Short_To_Bat (0 = Disable, 1 = Enable)</t>
  </si>
  <si>
    <t>DTC_Rear_Left_Turn_Light_One_Bulb_is_Outage_or_Open_Load (0 = Disable, 1 = Enable)</t>
  </si>
  <si>
    <t>DTC_Rear_Right_Turn_Light_Short_To_Gnd (0 = Disable, 1 = Enable)</t>
  </si>
  <si>
    <t>DTC_Rear_Right_Turn_Light_Short_To_Bat (0 = Disable, 1 = Enable)</t>
  </si>
  <si>
    <t>DTC_Rear_Right_Turn_Light_One_Bulb_is_Outage_or_Open_Load (0 = Disable, 1 = Enable)</t>
  </si>
  <si>
    <t>DTC_Hazard_LED_Short_To_Gnd (0 = Disable, 1 = Enable)</t>
  </si>
  <si>
    <t>DTC_ATWS_LED_Short_To_Gnd (0 = Disable, 1 = Enable)</t>
  </si>
  <si>
    <t>DTC_Battery_Saver_Control_Short_To_Gnd (0 = Disable, 1 = Enable)</t>
  </si>
  <si>
    <t>DTC_Battery_Saver_Control_Short_To_Bat (0 = Disable, 1 = Enable)</t>
  </si>
  <si>
    <t>DTC_Left_DRL_Short_To_Gnd_or_Over_Load (0 = Disable, 1 = Enable)</t>
  </si>
  <si>
    <t>DTC_Left_DRL_Short_To_Bat (0 = Disable, 1 = Enable)</t>
  </si>
  <si>
    <t>DTC_Right_DRL_Short_To_Gnd_or_Over_Load (0 = Disable, 1 = Enable)</t>
  </si>
  <si>
    <t>DTC_Right_DRL_Short_To_Bat (0 = Disable, 1 = Enable)</t>
  </si>
  <si>
    <t>DTC_Rear_Wiper_Short_To_Gnd_or_Open_Load (0 = Disable, 1 = Enable)</t>
  </si>
  <si>
    <t>DTC_Rear_Wiper_Over_Load_or_Over_Temp (0 = Disable, 1 = Enable)</t>
  </si>
  <si>
    <t>DTC_CDL_Switch_Implausible (0 = Disable, 1 = Enable)</t>
  </si>
  <si>
    <t>DTC_CDL_Lock_Short_To_Gnd_or_Open_Load (0 = Disable, 1 = Enable)</t>
  </si>
  <si>
    <t>DTC_cdl_Indicator_Overload (0 = Disable, 1 = Enable)</t>
  </si>
  <si>
    <t>DTC_Front_Mirror_Fold_Short_To_Gnd_or_Open_Load (0 = Disable, 1 = Enable)</t>
  </si>
  <si>
    <t>DTC_Front_Mirror_Unfold_Short_To_Gnd_or_Open_Load (0 = Disable, 1 = Enable)</t>
  </si>
  <si>
    <t>DTC_CDL_Electrical_Error (0 = Disable, 1 = Enable)</t>
  </si>
  <si>
    <t>DTC_Invalid_Hardwire_Crash_PWM_Signal (0 = Disable, 1 = Enable)</t>
  </si>
  <si>
    <t>DTC_Fuel_Lid_Lock_Short_To_Gnd_or_Power_Open (0 = Disable, 1 = Enable)</t>
  </si>
  <si>
    <t>DTC_Fuel_Lid_Unlock_Short_To_Gnd_or_Power_Open (0 = Disable, 1 = Enable)</t>
  </si>
  <si>
    <t>DTC_Defroster_Indicator_Over_Load_or_Over_Temp (0 = Disable, 1 = Enable)</t>
  </si>
  <si>
    <t>DTC_Rear_Left_Logo_Lamp_Circuit_Short_To_Gnd_or_Open_Load (0 = Disable, 1 = Enable)</t>
  </si>
  <si>
    <t>DTC_Rear_Left_Logo_Lamp_Over_Load_or_Over_Temp (0 = Disable, 1 = Enable)</t>
  </si>
  <si>
    <t>DTC_Rear_Right_Logo_Lamp_Circuit_Short_To_Gnd_or_Open_Load (0 = Disable, 1 = Enable)</t>
  </si>
  <si>
    <t>DTC_Rear_Right_Logo_Lamp_Over_Load_or_Over_Temp (0 = Disable, 1 = Enable)</t>
  </si>
  <si>
    <t>DTC_Tailgate_Release_Short_To_Gnd_or_Open_Load (0 = Disable, 1 = Enable)</t>
  </si>
  <si>
    <t>DTC_Front_Washer_Short_To_Gnd_or_Open_Load (0 = Disable, 1 = Enable)</t>
  </si>
  <si>
    <t>DTC_Rear_Washer_Short_To_Gnd_or_Open_Load (0 = Disable, 1 = Enable)</t>
  </si>
  <si>
    <t>DTC_Drv_Pass_PWL_Swich_Implausible (0 = Disable, 1 = Enable)</t>
  </si>
  <si>
    <t>DTC_Drv_RL_PWL_Swich_Implausible (0 = Disable, 1 = Enable)</t>
  </si>
  <si>
    <t>DTC_Drv_RR_PWL_Swich_Implausible (0 = Disable, 1 = Enable)</t>
  </si>
  <si>
    <t>DTC_Inhibit_Indicator_Over_Load (0 = Disable, 1 = Enable)</t>
  </si>
  <si>
    <t>DTC_Backlight_Over_Load (0 = Disable, 1 = Enable)</t>
  </si>
  <si>
    <t>DTC_CDL_Child_Lock_Short_To_Ground_or_Power_Open (0 = Disable, 1 = Enable)</t>
  </si>
  <si>
    <t>DTC_Child_Lock_CDL_Electrical_Error (0 = Disable, 1 = Enable)</t>
  </si>
  <si>
    <t>DTC_BCAN_Bus_Off_Fault (0 = Disable, 1 = Enable)</t>
  </si>
  <si>
    <t>DTC_Lost_Communication_With_ESC (0 = Disable, 1 = Enable)</t>
  </si>
  <si>
    <t>DTC_Lost_Communication_With_GW (0 = Disable, 1 = Enable)</t>
  </si>
  <si>
    <t>DTC_Lost_Communication_With_ACU (0 = Disable, 1 = Enable)</t>
  </si>
  <si>
    <t>DTC_Lost_Communication_With_IPK (0 = Disable, 1 = Enable)</t>
  </si>
  <si>
    <t>DTC_Lost_Communication_With_MMI (0 = Disable, 1 = Enable)</t>
  </si>
  <si>
    <t>DTC_Lost_Communication_With_AC (0 = Disable, 1 = Enable)</t>
  </si>
  <si>
    <t>DTC_Lost_Communication_With_TBOX (0 = Disable, 1 = Enable)</t>
  </si>
  <si>
    <t>DTC_Lost_Communication_With_PEPS (0 = Disable, 1 = Enable)</t>
  </si>
  <si>
    <t>DTC_Lost_Communication_With_FLAPWL (0 = Disable, 1 = Enable)</t>
  </si>
  <si>
    <t>DTC_Lost_Communication_With_FRAPWL (0 = Disable, 1 = Enable)</t>
  </si>
  <si>
    <t>DTC_Lost_Communication_With_RLAPWL (0 = Disable, 1 = Enable)</t>
  </si>
  <si>
    <t>DTC_Lost_Communication_With_RRAPWL (0 = Disable, 1 = Enable)</t>
  </si>
  <si>
    <t>DTC_Lost_Communication_With_RLS (0 = Disable, 1 = Enable)</t>
  </si>
  <si>
    <t>DTC_LIN1_Communication_Fault (0 = Disable, 1 = Enable)</t>
  </si>
  <si>
    <t>DTC_LIN2_Communication_Fault (0 = Disable, 1 = Enable)</t>
  </si>
  <si>
    <t>DTC_Lost_Communication_With_VCU_HBCAN (0 = Disable, 1 = Enable)</t>
  </si>
  <si>
    <t>DTC_Lost_Communication_With_FCS (0 = Disable, 1 = Enable)</t>
  </si>
  <si>
    <t>DTC_System_Voltage_2_Under_Volt_Fault (0 = Disable, 1 = Enable)</t>
  </si>
  <si>
    <t>DTC_System_Voltage_2_Over_Volt_Fault (0 = Disable, 1 = Enable)</t>
  </si>
  <si>
    <t>p_n_Front_Washer_Relay_S2G_M</t>
  </si>
  <si>
    <t>p_n_Front_Washer_Relay_S2G_DM</t>
  </si>
  <si>
    <t>p_n_Front_Washer_Relay_S2G_M: the threshold of S2G mature</t>
  </si>
  <si>
    <t>p_n_Front_Washer_Relay_S2G_DM: the threshold of S2G demature</t>
  </si>
  <si>
    <t>683F</t>
  </si>
  <si>
    <t>E472</t>
  </si>
  <si>
    <t>EBBF</t>
  </si>
  <si>
    <t>3EDD</t>
  </si>
  <si>
    <t>C4A1</t>
  </si>
  <si>
    <t>20E6</t>
  </si>
  <si>
    <t>7B9F</t>
  </si>
  <si>
    <t>EE4F</t>
  </si>
  <si>
    <t>0F13</t>
  </si>
  <si>
    <t>0F5E</t>
  </si>
  <si>
    <t>0FD4</t>
  </si>
  <si>
    <t>10A7</t>
  </si>
  <si>
    <t>10A8</t>
  </si>
  <si>
    <t>10A9</t>
  </si>
  <si>
    <t>10AA</t>
  </si>
  <si>
    <t>10AB</t>
  </si>
  <si>
    <t>10AC</t>
  </si>
  <si>
    <t>10AD</t>
  </si>
  <si>
    <t>10AE</t>
  </si>
  <si>
    <t>10AF</t>
  </si>
  <si>
    <t>10B0</t>
  </si>
  <si>
    <t>10B1</t>
  </si>
  <si>
    <t>10B2</t>
  </si>
  <si>
    <t>10B3</t>
  </si>
  <si>
    <t>10B4</t>
  </si>
  <si>
    <t>10B5</t>
  </si>
  <si>
    <t>10B6</t>
  </si>
  <si>
    <t>10B7</t>
  </si>
  <si>
    <t>10B8</t>
  </si>
  <si>
    <t>10B9</t>
  </si>
  <si>
    <t>10BA</t>
  </si>
  <si>
    <t>Rcp_Front_Wheels: Standard Pressure Value For FrontWheel. phy = XX * (2.5)</t>
  </si>
  <si>
    <t>Rcp_Rear_Wheels: Standard Pressure Value For RearWheel. phy = XX * (2.5)</t>
  </si>
  <si>
    <t>Tyre_High_Pressure: TyreHighPressure For RearWheel. phy = XX * (2.5)</t>
  </si>
  <si>
    <t>6380</t>
  </si>
  <si>
    <t>EF1E</t>
  </si>
  <si>
    <t>0E16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</si>
</sst>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"/>
  </numFmts>
  <fonts count="5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24"/>
      <name val="Arial"/>
      <family val="2"/>
    </font>
    <font>
      <b/>
      <sz val="36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b/>
      <sz val="28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14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trike/>
      <sz val="12"/>
      <color theme="1"/>
      <name val="Calibri"/>
      <family val="2"/>
      <scheme val="minor"/>
    </font>
    <font>
      <b/>
      <sz val="11"/>
      <color rgb="FF6638E8"/>
      <name val="Calibri"/>
      <family val="2"/>
      <scheme val="minor"/>
    </font>
    <font>
      <sz val="11"/>
      <name val="Calibri"/>
      <family val="2"/>
      <scheme val="minor"/>
    </font>
    <font>
      <strike/>
      <sz val="11"/>
      <name val="Calibri"/>
      <family val="2"/>
      <scheme val="minor"/>
    </font>
    <font>
      <b/>
      <sz val="10"/>
      <color rgb="FF6638E8"/>
      <name val="Arial"/>
      <family val="2"/>
    </font>
    <font>
      <strike/>
      <sz val="10"/>
      <name val="Arial"/>
      <family val="2"/>
    </font>
    <font>
      <b/>
      <sz val="18"/>
      <color theme="3"/>
      <name val="Cambria"/>
      <family val="1"/>
      <scheme val="major"/>
    </font>
    <font>
      <sz val="11"/>
      <color theme="1"/>
      <name val="Calibri"/>
      <family val="2"/>
      <charset val="134"/>
      <scheme val="minor"/>
    </font>
    <font>
      <sz val="11"/>
      <color rgb="FF333333"/>
      <name val="Helvetica"/>
      <family val="2"/>
    </font>
  </fonts>
  <fills count="4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91">
    <xf numFmtId="0" fontId="0" fillId="0" borderId="0"/>
    <xf numFmtId="0" fontId="16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" fillId="16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0" fillId="38" borderId="0" applyNumberFormat="0" applyBorder="0" applyAlignment="0" applyProtection="0">
      <alignment vertical="center"/>
    </xf>
    <xf numFmtId="0" fontId="40" fillId="38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4" fillId="12" borderId="17" applyNumberFormat="0" applyAlignment="0" applyProtection="0">
      <alignment vertical="center"/>
    </xf>
    <xf numFmtId="0" fontId="34" fillId="12" borderId="17" applyNumberFormat="0" applyAlignment="0" applyProtection="0">
      <alignment vertical="center"/>
    </xf>
    <xf numFmtId="0" fontId="36" fillId="13" borderId="20" applyNumberFormat="0" applyAlignment="0" applyProtection="0">
      <alignment vertical="center"/>
    </xf>
    <xf numFmtId="0" fontId="36" fillId="13" borderId="20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2" fillId="11" borderId="17" applyNumberFormat="0" applyAlignment="0" applyProtection="0">
      <alignment vertical="center"/>
    </xf>
    <xf numFmtId="0" fontId="32" fillId="11" borderId="17" applyNumberFormat="0" applyAlignment="0" applyProtection="0">
      <alignment vertical="center"/>
    </xf>
    <xf numFmtId="0" fontId="35" fillId="0" borderId="19" applyNumberFormat="0" applyFill="0" applyAlignment="0" applyProtection="0">
      <alignment vertical="center"/>
    </xf>
    <xf numFmtId="0" fontId="35" fillId="0" borderId="19" applyNumberFormat="0" applyFill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14" borderId="21" applyNumberFormat="0" applyFont="0" applyAlignment="0" applyProtection="0">
      <alignment vertical="center"/>
    </xf>
    <xf numFmtId="0" fontId="2" fillId="14" borderId="21" applyNumberFormat="0" applyFont="0" applyAlignment="0" applyProtection="0">
      <alignment vertical="center"/>
    </xf>
    <xf numFmtId="0" fontId="2" fillId="14" borderId="21" applyNumberFormat="0" applyFont="0" applyAlignment="0" applyProtection="0">
      <alignment vertical="center"/>
    </xf>
    <xf numFmtId="0" fontId="2" fillId="14" borderId="21" applyNumberFormat="0" applyFont="0" applyAlignment="0" applyProtection="0">
      <alignment vertical="center"/>
    </xf>
    <xf numFmtId="0" fontId="2" fillId="14" borderId="21" applyNumberFormat="0" applyFont="0" applyAlignment="0" applyProtection="0">
      <alignment vertical="center"/>
    </xf>
    <xf numFmtId="0" fontId="2" fillId="14" borderId="21" applyNumberFormat="0" applyFont="0" applyAlignment="0" applyProtection="0">
      <alignment vertical="center"/>
    </xf>
    <xf numFmtId="0" fontId="2" fillId="14" borderId="21" applyNumberFormat="0" applyFont="0" applyAlignment="0" applyProtection="0">
      <alignment vertical="center"/>
    </xf>
    <xf numFmtId="0" fontId="2" fillId="14" borderId="21" applyNumberFormat="0" applyFont="0" applyAlignment="0" applyProtection="0">
      <alignment vertical="center"/>
    </xf>
    <xf numFmtId="0" fontId="33" fillId="12" borderId="18" applyNumberFormat="0" applyAlignment="0" applyProtection="0">
      <alignment vertical="center"/>
    </xf>
    <xf numFmtId="0" fontId="33" fillId="12" borderId="18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9" fillId="0" borderId="22" applyNumberFormat="0" applyFill="0" applyAlignment="0" applyProtection="0">
      <alignment vertical="center"/>
    </xf>
    <xf numFmtId="0" fontId="39" fillId="0" borderId="22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9" fillId="0" borderId="0"/>
    <xf numFmtId="0" fontId="3" fillId="0" borderId="0"/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21" applyNumberFormat="0" applyFont="0" applyAlignment="0" applyProtection="0">
      <alignment vertical="center"/>
    </xf>
    <xf numFmtId="0" fontId="1" fillId="14" borderId="21" applyNumberFormat="0" applyFont="0" applyAlignment="0" applyProtection="0">
      <alignment vertical="center"/>
    </xf>
    <xf numFmtId="0" fontId="1" fillId="14" borderId="21" applyNumberFormat="0" applyFont="0" applyAlignment="0" applyProtection="0">
      <alignment vertical="center"/>
    </xf>
    <xf numFmtId="0" fontId="1" fillId="14" borderId="21" applyNumberFormat="0" applyFont="0" applyAlignment="0" applyProtection="0">
      <alignment vertical="center"/>
    </xf>
    <xf numFmtId="0" fontId="1" fillId="14" borderId="21" applyNumberFormat="0" applyFont="0" applyAlignment="0" applyProtection="0">
      <alignment vertical="center"/>
    </xf>
    <xf numFmtId="0" fontId="1" fillId="14" borderId="21" applyNumberFormat="0" applyFont="0" applyAlignment="0" applyProtection="0">
      <alignment vertical="center"/>
    </xf>
    <xf numFmtId="0" fontId="1" fillId="14" borderId="21" applyNumberFormat="0" applyFont="0" applyAlignment="0" applyProtection="0">
      <alignment vertical="center"/>
    </xf>
    <xf numFmtId="0" fontId="1" fillId="14" borderId="21" applyNumberFormat="0" applyFont="0" applyAlignment="0" applyProtection="0">
      <alignment vertical="center"/>
    </xf>
  </cellStyleXfs>
  <cellXfs count="368">
    <xf numFmtId="0" fontId="0" fillId="0" borderId="0" xfId="0"/>
    <xf numFmtId="0" fontId="4" fillId="2" borderId="1" xfId="0" applyFont="1" applyFill="1" applyBorder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5" fillId="0" borderId="1" xfId="0" applyFont="1" applyBorder="1"/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horizontal="center" vertical="top" wrapText="1"/>
    </xf>
    <xf numFmtId="0" fontId="6" fillId="0" borderId="0" xfId="0" applyNumberFormat="1" applyFont="1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NumberFormat="1" applyBorder="1" applyAlignment="1">
      <alignment horizontal="center" vertical="center"/>
    </xf>
    <xf numFmtId="0" fontId="7" fillId="0" borderId="0" xfId="6" applyNumberFormat="1" applyFont="1" applyFill="1" applyBorder="1" applyAlignment="1">
      <alignment horizontal="center" vertical="center"/>
    </xf>
    <xf numFmtId="0" fontId="8" fillId="0" borderId="0" xfId="6" applyNumberFormat="1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vertical="top"/>
    </xf>
    <xf numFmtId="0" fontId="0" fillId="0" borderId="0" xfId="0" applyNumberFormat="1" applyBorder="1" applyAlignment="1">
      <alignment horizontal="centerContinuous" vertical="center"/>
    </xf>
    <xf numFmtId="0" fontId="10" fillId="0" borderId="0" xfId="6" applyNumberFormat="1" applyFont="1" applyFill="1" applyBorder="1" applyAlignment="1">
      <alignment horizontal="center" vertical="center"/>
    </xf>
    <xf numFmtId="0" fontId="11" fillId="0" borderId="0" xfId="0" applyNumberFormat="1" applyFont="1" applyBorder="1" applyAlignment="1">
      <alignment horizontal="right" vertical="center"/>
    </xf>
    <xf numFmtId="0" fontId="12" fillId="0" borderId="0" xfId="0" applyNumberFormat="1" applyFont="1" applyBorder="1" applyAlignment="1">
      <alignment vertical="top"/>
    </xf>
    <xf numFmtId="14" fontId="11" fillId="0" borderId="0" xfId="0" applyNumberFormat="1" applyFont="1" applyBorder="1" applyAlignment="1">
      <alignment horizontal="left" vertical="center"/>
    </xf>
    <xf numFmtId="0" fontId="12" fillId="0" borderId="0" xfId="0" applyNumberFormat="1" applyFont="1" applyBorder="1" applyAlignment="1">
      <alignment horizontal="center" vertical="top"/>
    </xf>
    <xf numFmtId="3" fontId="0" fillId="0" borderId="0" xfId="0" applyNumberFormat="1" applyBorder="1" applyAlignment="1">
      <alignment vertical="top"/>
    </xf>
    <xf numFmtId="0" fontId="13" fillId="0" borderId="0" xfId="0" applyNumberFormat="1" applyFont="1" applyBorder="1" applyAlignment="1">
      <alignment horizontal="right" vertical="center"/>
    </xf>
    <xf numFmtId="0" fontId="13" fillId="0" borderId="0" xfId="0" applyNumberFormat="1" applyFont="1" applyBorder="1" applyAlignment="1">
      <alignment horizontal="left" vertical="center"/>
    </xf>
    <xf numFmtId="3" fontId="12" fillId="0" borderId="0" xfId="0" applyNumberFormat="1" applyFont="1" applyBorder="1" applyAlignment="1">
      <alignment vertical="top"/>
    </xf>
    <xf numFmtId="0" fontId="5" fillId="0" borderId="0" xfId="0" applyFont="1"/>
    <xf numFmtId="0" fontId="5" fillId="0" borderId="0" xfId="0" applyFont="1" applyFill="1"/>
    <xf numFmtId="4" fontId="11" fillId="0" borderId="0" xfId="0" applyNumberFormat="1" applyFont="1" applyBorder="1" applyAlignment="1">
      <alignment horizontal="left" vertical="center"/>
    </xf>
    <xf numFmtId="0" fontId="5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3" fillId="0" borderId="1" xfId="0" applyNumberFormat="1" applyFont="1" applyBorder="1"/>
    <xf numFmtId="0" fontId="3" fillId="0" borderId="1" xfId="0" applyFont="1" applyBorder="1" applyAlignment="1">
      <alignment wrapText="1" shrinkToFit="1"/>
    </xf>
    <xf numFmtId="0" fontId="0" fillId="0" borderId="0" xfId="0" applyAlignment="1">
      <alignment horizontal="center" vertical="top"/>
    </xf>
    <xf numFmtId="0" fontId="3" fillId="4" borderId="1" xfId="0" applyFont="1" applyFill="1" applyBorder="1"/>
    <xf numFmtId="0" fontId="4" fillId="5" borderId="1" xfId="0" applyFont="1" applyFill="1" applyBorder="1"/>
    <xf numFmtId="164" fontId="4" fillId="4" borderId="1" xfId="0" applyNumberFormat="1" applyFont="1" applyFill="1" applyBorder="1" applyAlignment="1">
      <alignment horizontal="right"/>
    </xf>
    <xf numFmtId="0" fontId="4" fillId="4" borderId="2" xfId="0" applyFont="1" applyFill="1" applyBorder="1" applyAlignment="1">
      <alignment horizontal="center" vertical="top"/>
    </xf>
    <xf numFmtId="0" fontId="0" fillId="4" borderId="4" xfId="0" applyFill="1" applyBorder="1" applyAlignment="1">
      <alignment horizontal="center" vertical="top"/>
    </xf>
    <xf numFmtId="0" fontId="4" fillId="4" borderId="4" xfId="0" applyFont="1" applyFill="1" applyBorder="1" applyAlignment="1">
      <alignment horizontal="center" vertical="top"/>
    </xf>
    <xf numFmtId="0" fontId="4" fillId="2" borderId="3" xfId="0" applyFont="1" applyFill="1" applyBorder="1"/>
    <xf numFmtId="0" fontId="3" fillId="4" borderId="3" xfId="0" applyFont="1" applyFill="1" applyBorder="1"/>
    <xf numFmtId="0" fontId="0" fillId="4" borderId="5" xfId="0" applyFill="1" applyBorder="1" applyAlignment="1">
      <alignment horizontal="center" vertical="top"/>
    </xf>
    <xf numFmtId="0" fontId="3" fillId="4" borderId="6" xfId="0" applyNumberFormat="1" applyFont="1" applyFill="1" applyBorder="1"/>
    <xf numFmtId="0" fontId="5" fillId="4" borderId="6" xfId="0" applyFont="1" applyFill="1" applyBorder="1"/>
    <xf numFmtId="0" fontId="3" fillId="4" borderId="6" xfId="0" applyFont="1" applyFill="1" applyBorder="1" applyAlignment="1">
      <alignment wrapText="1" shrinkToFit="1"/>
    </xf>
    <xf numFmtId="0" fontId="5" fillId="4" borderId="5" xfId="0" applyFont="1" applyFill="1" applyBorder="1"/>
    <xf numFmtId="0" fontId="3" fillId="4" borderId="6" xfId="0" applyFont="1" applyFill="1" applyBorder="1"/>
    <xf numFmtId="164" fontId="4" fillId="4" borderId="4" xfId="0" applyNumberFormat="1" applyFont="1" applyFill="1" applyBorder="1" applyAlignment="1">
      <alignment horizontal="right"/>
    </xf>
    <xf numFmtId="0" fontId="5" fillId="4" borderId="4" xfId="0" applyFont="1" applyFill="1" applyBorder="1"/>
    <xf numFmtId="0" fontId="3" fillId="4" borderId="4" xfId="0" applyFont="1" applyFill="1" applyBorder="1"/>
    <xf numFmtId="0" fontId="13" fillId="3" borderId="1" xfId="0" applyFont="1" applyFill="1" applyBorder="1" applyAlignment="1">
      <alignment vertical="top"/>
    </xf>
    <xf numFmtId="0" fontId="13" fillId="3" borderId="1" xfId="0" applyFont="1" applyFill="1" applyBorder="1" applyAlignment="1">
      <alignment vertical="top" wrapText="1"/>
    </xf>
    <xf numFmtId="3" fontId="13" fillId="3" borderId="1" xfId="0" applyNumberFormat="1" applyFont="1" applyFill="1" applyBorder="1" applyAlignment="1">
      <alignment vertical="top"/>
    </xf>
    <xf numFmtId="0" fontId="18" fillId="0" borderId="0" xfId="0" applyFont="1" applyAlignment="1">
      <alignment vertical="top"/>
    </xf>
    <xf numFmtId="0" fontId="18" fillId="0" borderId="0" xfId="0" applyFont="1" applyAlignment="1">
      <alignment vertical="center"/>
    </xf>
    <xf numFmtId="0" fontId="20" fillId="0" borderId="0" xfId="6" applyNumberFormat="1" applyFont="1" applyFill="1" applyBorder="1" applyAlignment="1">
      <alignment horizontal="center" vertical="center"/>
    </xf>
    <xf numFmtId="0" fontId="9" fillId="0" borderId="0" xfId="6" applyNumberFormat="1" applyFont="1" applyFill="1" applyBorder="1" applyAlignment="1">
      <alignment horizontal="center" vertical="center"/>
    </xf>
    <xf numFmtId="0" fontId="5" fillId="0" borderId="7" xfId="2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 wrapText="1"/>
    </xf>
    <xf numFmtId="3" fontId="5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164" fontId="4" fillId="4" borderId="2" xfId="0" applyNumberFormat="1" applyFont="1" applyFill="1" applyBorder="1" applyAlignment="1">
      <alignment horizontal="right"/>
    </xf>
    <xf numFmtId="164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/>
    </xf>
    <xf numFmtId="0" fontId="5" fillId="6" borderId="0" xfId="2" applyFill="1" applyAlignment="1">
      <alignment horizontal="center" vertical="center"/>
    </xf>
    <xf numFmtId="0" fontId="4" fillId="6" borderId="1" xfId="2" applyFont="1" applyFill="1" applyBorder="1" applyAlignment="1">
      <alignment horizontal="center" vertical="center" wrapText="1"/>
    </xf>
    <xf numFmtId="0" fontId="4" fillId="6" borderId="1" xfId="2" applyFont="1" applyFill="1" applyBorder="1" applyAlignment="1">
      <alignment horizontal="center" vertical="center"/>
    </xf>
    <xf numFmtId="0" fontId="5" fillId="6" borderId="1" xfId="2" applyFill="1" applyBorder="1" applyAlignment="1">
      <alignment horizontal="center" vertical="center"/>
    </xf>
    <xf numFmtId="0" fontId="3" fillId="6" borderId="1" xfId="2" applyFont="1" applyFill="1" applyBorder="1" applyAlignment="1">
      <alignment horizontal="center" vertical="center"/>
    </xf>
    <xf numFmtId="164" fontId="5" fillId="6" borderId="1" xfId="2" applyNumberFormat="1" applyFill="1" applyBorder="1" applyAlignment="1">
      <alignment horizontal="center" vertical="center"/>
    </xf>
    <xf numFmtId="0" fontId="4" fillId="6" borderId="0" xfId="2" applyFont="1" applyFill="1" applyBorder="1" applyAlignment="1">
      <alignment horizontal="center" vertical="center"/>
    </xf>
    <xf numFmtId="0" fontId="4" fillId="0" borderId="0" xfId="2" applyFont="1" applyBorder="1" applyAlignment="1">
      <alignment horizontal="center" vertical="center"/>
    </xf>
    <xf numFmtId="0" fontId="5" fillId="6" borderId="0" xfId="2" applyFill="1" applyBorder="1" applyAlignment="1">
      <alignment horizontal="center" vertical="center"/>
    </xf>
    <xf numFmtId="0" fontId="5" fillId="0" borderId="0" xfId="2" applyBorder="1" applyAlignment="1">
      <alignment horizontal="center" vertical="center"/>
    </xf>
    <xf numFmtId="0" fontId="3" fillId="0" borderId="1" xfId="0" applyFont="1" applyFill="1" applyBorder="1" applyAlignment="1">
      <alignment vertical="center" wrapText="1"/>
    </xf>
    <xf numFmtId="0" fontId="3" fillId="6" borderId="1" xfId="8" applyFill="1" applyBorder="1" applyAlignment="1">
      <alignment horizontal="center" vertical="center"/>
    </xf>
    <xf numFmtId="0" fontId="3" fillId="6" borderId="1" xfId="8" applyFont="1" applyFill="1" applyBorder="1" applyAlignment="1">
      <alignment horizontal="center" vertical="center"/>
    </xf>
    <xf numFmtId="0" fontId="0" fillId="0" borderId="1" xfId="0" applyBorder="1"/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1" fontId="0" fillId="0" borderId="8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" fontId="0" fillId="0" borderId="10" xfId="0" applyNumberFormat="1" applyFill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2" xfId="0" applyFont="1" applyBorder="1" applyAlignment="1">
      <alignment wrapText="1"/>
    </xf>
    <xf numFmtId="0" fontId="3" fillId="0" borderId="9" xfId="0" applyFont="1" applyBorder="1" applyAlignment="1">
      <alignment wrapText="1"/>
    </xf>
    <xf numFmtId="20" fontId="3" fillId="0" borderId="9" xfId="0" applyNumberFormat="1" applyFont="1" applyBorder="1" applyAlignment="1">
      <alignment horizontal="left" vertical="center" wrapText="1"/>
    </xf>
    <xf numFmtId="2" fontId="19" fillId="0" borderId="1" xfId="0" applyNumberFormat="1" applyFont="1" applyBorder="1" applyAlignment="1">
      <alignment horizontal="right" vertical="center" wrapText="1"/>
    </xf>
    <xf numFmtId="0" fontId="19" fillId="0" borderId="1" xfId="0" applyFont="1" applyBorder="1" applyAlignment="1">
      <alignment vertical="center" wrapText="1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24" fillId="6" borderId="1" xfId="12" applyFill="1" applyBorder="1" applyAlignment="1">
      <alignment horizontal="center" vertical="center"/>
    </xf>
    <xf numFmtId="0" fontId="3" fillId="6" borderId="0" xfId="2" applyFont="1" applyFill="1" applyBorder="1" applyAlignment="1">
      <alignment horizontal="center" vertical="center"/>
    </xf>
    <xf numFmtId="164" fontId="5" fillId="6" borderId="0" xfId="2" applyNumberFormat="1" applyFill="1" applyBorder="1" applyAlignment="1">
      <alignment horizontal="center" vertical="center"/>
    </xf>
    <xf numFmtId="0" fontId="5" fillId="6" borderId="13" xfId="2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5" fillId="6" borderId="1" xfId="8" applyFont="1" applyFill="1" applyBorder="1" applyAlignment="1">
      <alignment horizontal="center" vertical="center"/>
    </xf>
    <xf numFmtId="0" fontId="5" fillId="0" borderId="0" xfId="2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3" fillId="0" borderId="0" xfId="2" applyFont="1" applyBorder="1" applyAlignment="1">
      <alignment horizontal="left" vertical="center"/>
    </xf>
    <xf numFmtId="0" fontId="3" fillId="6" borderId="0" xfId="2" applyFont="1" applyFill="1" applyAlignment="1">
      <alignment horizontal="center" vertical="center"/>
    </xf>
    <xf numFmtId="0" fontId="3" fillId="6" borderId="0" xfId="2" applyFont="1" applyFill="1" applyAlignment="1">
      <alignment horizontal="left" vertical="center"/>
    </xf>
    <xf numFmtId="0" fontId="3" fillId="6" borderId="0" xfId="2" quotePrefix="1" applyFont="1" applyFill="1" applyAlignment="1">
      <alignment horizontal="center" vertical="center"/>
    </xf>
    <xf numFmtId="164" fontId="3" fillId="6" borderId="1" xfId="8" applyNumberFormat="1" applyFill="1" applyBorder="1" applyAlignment="1">
      <alignment horizontal="center" vertical="center"/>
    </xf>
    <xf numFmtId="0" fontId="24" fillId="6" borderId="0" xfId="12" applyFill="1" applyAlignment="1">
      <alignment horizontal="center" vertical="center"/>
    </xf>
    <xf numFmtId="0" fontId="41" fillId="39" borderId="0" xfId="8" applyFont="1" applyFill="1"/>
    <xf numFmtId="0" fontId="41" fillId="39" borderId="0" xfId="8" applyFont="1" applyFill="1" applyAlignment="1">
      <alignment horizontal="center"/>
    </xf>
    <xf numFmtId="0" fontId="3" fillId="0" borderId="0" xfId="8"/>
    <xf numFmtId="0" fontId="41" fillId="39" borderId="1" xfId="8" applyFont="1" applyFill="1" applyBorder="1" applyAlignment="1">
      <alignment wrapText="1"/>
    </xf>
    <xf numFmtId="0" fontId="42" fillId="39" borderId="1" xfId="8" applyFont="1" applyFill="1" applyBorder="1" applyAlignment="1">
      <alignment wrapText="1"/>
    </xf>
    <xf numFmtId="0" fontId="3" fillId="40" borderId="0" xfId="8" applyFill="1"/>
    <xf numFmtId="0" fontId="3" fillId="40" borderId="0" xfId="8" applyFont="1" applyFill="1"/>
    <xf numFmtId="0" fontId="43" fillId="40" borderId="0" xfId="8" applyFont="1" applyFill="1"/>
    <xf numFmtId="0" fontId="3" fillId="40" borderId="0" xfId="8" applyFill="1" applyAlignment="1">
      <alignment horizontal="center"/>
    </xf>
    <xf numFmtId="0" fontId="44" fillId="40" borderId="0" xfId="8" applyFont="1" applyFill="1"/>
    <xf numFmtId="0" fontId="45" fillId="40" borderId="0" xfId="8" applyFont="1" applyFill="1"/>
    <xf numFmtId="0" fontId="46" fillId="40" borderId="0" xfId="8" applyFont="1" applyFill="1"/>
    <xf numFmtId="0" fontId="3" fillId="0" borderId="0" xfId="8" applyFont="1"/>
    <xf numFmtId="0" fontId="3" fillId="0" borderId="0" xfId="8" applyFont="1" applyAlignment="1">
      <alignment horizontal="center"/>
    </xf>
    <xf numFmtId="0" fontId="47" fillId="0" borderId="0" xfId="8" applyFont="1"/>
    <xf numFmtId="0" fontId="44" fillId="0" borderId="0" xfId="8" applyFont="1"/>
    <xf numFmtId="0" fontId="44" fillId="0" borderId="0" xfId="8" applyFont="1" applyAlignment="1">
      <alignment horizontal="center"/>
    </xf>
    <xf numFmtId="0" fontId="45" fillId="0" borderId="0" xfId="8" applyFont="1"/>
    <xf numFmtId="0" fontId="3" fillId="0" borderId="0" xfId="8" applyAlignment="1">
      <alignment horizontal="center"/>
    </xf>
    <xf numFmtId="3" fontId="3" fillId="0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0" borderId="0" xfId="8" applyAlignment="1">
      <alignment horizontal="center" vertical="top"/>
    </xf>
    <xf numFmtId="0" fontId="3" fillId="4" borderId="6" xfId="8" applyFont="1" applyFill="1" applyBorder="1"/>
    <xf numFmtId="0" fontId="3" fillId="4" borderId="5" xfId="8" applyFont="1" applyFill="1" applyBorder="1"/>
    <xf numFmtId="0" fontId="3" fillId="4" borderId="6" xfId="8" applyFont="1" applyFill="1" applyBorder="1" applyAlignment="1">
      <alignment wrapText="1" shrinkToFit="1"/>
    </xf>
    <xf numFmtId="0" fontId="3" fillId="4" borderId="6" xfId="8" applyNumberFormat="1" applyFont="1" applyFill="1" applyBorder="1"/>
    <xf numFmtId="0" fontId="3" fillId="4" borderId="5" xfId="8" applyFill="1" applyBorder="1" applyAlignment="1">
      <alignment horizontal="center" vertical="top"/>
    </xf>
    <xf numFmtId="0" fontId="3" fillId="4" borderId="1" xfId="8" applyFont="1" applyFill="1" applyBorder="1"/>
    <xf numFmtId="0" fontId="3" fillId="4" borderId="4" xfId="8" applyFont="1" applyFill="1" applyBorder="1"/>
    <xf numFmtId="0" fontId="3" fillId="0" borderId="1" xfId="8" applyFont="1" applyBorder="1" applyAlignment="1">
      <alignment wrapText="1" shrinkToFit="1"/>
    </xf>
    <xf numFmtId="0" fontId="3" fillId="0" borderId="1" xfId="8" applyFont="1" applyBorder="1"/>
    <xf numFmtId="0" fontId="3" fillId="0" borderId="1" xfId="8" applyNumberFormat="1" applyFont="1" applyBorder="1"/>
    <xf numFmtId="0" fontId="3" fillId="4" borderId="4" xfId="8" applyFill="1" applyBorder="1" applyAlignment="1">
      <alignment horizontal="center" vertical="top"/>
    </xf>
    <xf numFmtId="0" fontId="3" fillId="4" borderId="3" xfId="8" applyFont="1" applyFill="1" applyBorder="1"/>
    <xf numFmtId="164" fontId="4" fillId="4" borderId="4" xfId="8" applyNumberFormat="1" applyFont="1" applyFill="1" applyBorder="1" applyAlignment="1">
      <alignment horizontal="right"/>
    </xf>
    <xf numFmtId="0" fontId="4" fillId="2" borderId="3" xfId="8" applyFont="1" applyFill="1" applyBorder="1"/>
    <xf numFmtId="164" fontId="4" fillId="4" borderId="1" xfId="8" applyNumberFormat="1" applyFont="1" applyFill="1" applyBorder="1" applyAlignment="1">
      <alignment horizontal="right"/>
    </xf>
    <xf numFmtId="0" fontId="4" fillId="5" borderId="1" xfId="8" applyFont="1" applyFill="1" applyBorder="1"/>
    <xf numFmtId="0" fontId="4" fillId="4" borderId="4" xfId="8" applyFont="1" applyFill="1" applyBorder="1" applyAlignment="1">
      <alignment horizontal="center" vertical="top"/>
    </xf>
    <xf numFmtId="0" fontId="3" fillId="4" borderId="6" xfId="8" applyFont="1" applyFill="1" applyBorder="1" applyAlignment="1"/>
    <xf numFmtId="0" fontId="3" fillId="0" borderId="1" xfId="8" applyFont="1" applyBorder="1" applyAlignment="1"/>
    <xf numFmtId="0" fontId="4" fillId="2" borderId="3" xfId="8" applyFont="1" applyFill="1" applyBorder="1" applyAlignment="1"/>
    <xf numFmtId="0" fontId="3" fillId="0" borderId="1" xfId="8" applyBorder="1"/>
    <xf numFmtId="164" fontId="4" fillId="4" borderId="2" xfId="8" applyNumberFormat="1" applyFont="1" applyFill="1" applyBorder="1" applyAlignment="1">
      <alignment horizontal="right"/>
    </xf>
    <xf numFmtId="0" fontId="4" fillId="2" borderId="1" xfId="8" applyFont="1" applyFill="1" applyBorder="1"/>
    <xf numFmtId="0" fontId="4" fillId="4" borderId="2" xfId="8" applyFont="1" applyFill="1" applyBorder="1" applyAlignment="1">
      <alignment horizontal="center" vertical="top"/>
    </xf>
    <xf numFmtId="0" fontId="4" fillId="0" borderId="1" xfId="8" applyFont="1" applyBorder="1" applyAlignment="1">
      <alignment horizontal="center" vertical="top" wrapText="1"/>
    </xf>
    <xf numFmtId="0" fontId="3" fillId="0" borderId="0" xfId="8" applyAlignment="1">
      <alignment horizontal="right"/>
    </xf>
    <xf numFmtId="49" fontId="3" fillId="0" borderId="0" xfId="8" applyNumberFormat="1" applyAlignment="1">
      <alignment horizontal="right"/>
    </xf>
    <xf numFmtId="0" fontId="3" fillId="0" borderId="0" xfId="8" applyAlignment="1">
      <alignment wrapText="1"/>
    </xf>
    <xf numFmtId="0" fontId="19" fillId="0" borderId="0" xfId="8" applyFont="1" applyAlignment="1">
      <alignment horizontal="center" vertical="center"/>
    </xf>
    <xf numFmtId="0" fontId="3" fillId="0" borderId="0" xfId="8" applyFont="1" applyFill="1"/>
    <xf numFmtId="16" fontId="3" fillId="0" borderId="0" xfId="8" applyNumberFormat="1" applyFont="1" applyFill="1"/>
    <xf numFmtId="0" fontId="3" fillId="0" borderId="1" xfId="8" applyFont="1" applyFill="1" applyBorder="1" applyAlignment="1">
      <alignment horizontal="center" vertical="center" wrapText="1"/>
    </xf>
    <xf numFmtId="0" fontId="3" fillId="4" borderId="1" xfId="8" applyFont="1" applyFill="1" applyBorder="1" applyAlignment="1">
      <alignment horizontal="center" vertical="center" wrapText="1"/>
    </xf>
    <xf numFmtId="0" fontId="3" fillId="0" borderId="1" xfId="8" applyFont="1" applyFill="1" applyBorder="1" applyAlignment="1">
      <alignment vertical="center" wrapText="1"/>
    </xf>
    <xf numFmtId="3" fontId="3" fillId="0" borderId="1" xfId="8" applyNumberFormat="1" applyFont="1" applyFill="1" applyBorder="1" applyAlignment="1">
      <alignment horizontal="center" vertical="center"/>
    </xf>
    <xf numFmtId="0" fontId="19" fillId="4" borderId="1" xfId="8" applyFont="1" applyFill="1" applyBorder="1" applyAlignment="1">
      <alignment horizontal="center" vertical="center"/>
    </xf>
    <xf numFmtId="0" fontId="3" fillId="0" borderId="1" xfId="8" applyFont="1" applyBorder="1" applyAlignment="1">
      <alignment horizontal="center" vertical="center"/>
    </xf>
    <xf numFmtId="0" fontId="3" fillId="0" borderId="1" xfId="8" applyBorder="1" applyAlignment="1">
      <alignment horizontal="center" vertical="center"/>
    </xf>
    <xf numFmtId="0" fontId="3" fillId="0" borderId="1" xfId="8" applyBorder="1" applyAlignment="1"/>
    <xf numFmtId="0" fontId="3" fillId="0" borderId="1" xfId="8" applyFont="1" applyBorder="1" applyAlignment="1">
      <alignment horizontal="center" vertical="center" wrapText="1"/>
    </xf>
    <xf numFmtId="0" fontId="3" fillId="0" borderId="1" xfId="8" applyFont="1" applyFill="1" applyBorder="1" applyAlignment="1">
      <alignment horizontal="center" vertical="center"/>
    </xf>
    <xf numFmtId="0" fontId="3" fillId="0" borderId="1" xfId="8" applyFill="1" applyBorder="1" applyAlignment="1">
      <alignment horizontal="center" vertical="center"/>
    </xf>
    <xf numFmtId="164" fontId="4" fillId="4" borderId="1" xfId="8" applyNumberFormat="1" applyFont="1" applyFill="1" applyBorder="1" applyAlignment="1">
      <alignment horizontal="center" vertical="center"/>
    </xf>
    <xf numFmtId="0" fontId="3" fillId="0" borderId="1" xfId="8" applyFill="1" applyBorder="1" applyAlignment="1"/>
    <xf numFmtId="0" fontId="3" fillId="0" borderId="1" xfId="8" applyFont="1" applyFill="1" applyBorder="1"/>
    <xf numFmtId="49" fontId="4" fillId="0" borderId="1" xfId="8" applyNumberFormat="1" applyFont="1" applyBorder="1" applyAlignment="1">
      <alignment horizontal="center" vertical="top" wrapText="1"/>
    </xf>
    <xf numFmtId="0" fontId="3" fillId="0" borderId="1" xfId="8" applyFill="1" applyBorder="1"/>
    <xf numFmtId="0" fontId="3" fillId="0" borderId="1" xfId="8" applyFont="1" applyFill="1" applyBorder="1" applyAlignment="1"/>
    <xf numFmtId="0" fontId="3" fillId="0" borderId="1" xfId="8" applyFont="1" applyBorder="1" applyAlignment="1">
      <alignment wrapText="1"/>
    </xf>
    <xf numFmtId="0" fontId="3" fillId="0" borderId="0" xfId="0" applyFont="1" applyFill="1"/>
    <xf numFmtId="16" fontId="3" fillId="0" borderId="0" xfId="0" applyNumberFormat="1" applyFont="1" applyFill="1"/>
    <xf numFmtId="0" fontId="3" fillId="0" borderId="4" xfId="0" applyFont="1" applyFill="1" applyBorder="1" applyAlignment="1">
      <alignment horizontal="center" vertical="center" wrapText="1"/>
    </xf>
    <xf numFmtId="3" fontId="3" fillId="0" borderId="4" xfId="0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1" fontId="25" fillId="0" borderId="1" xfId="129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 wrapText="1"/>
    </xf>
    <xf numFmtId="0" fontId="3" fillId="6" borderId="0" xfId="8" applyFill="1" applyBorder="1" applyAlignment="1">
      <alignment horizontal="center" vertical="center"/>
    </xf>
    <xf numFmtId="0" fontId="3" fillId="0" borderId="0" xfId="8" applyBorder="1" applyAlignment="1">
      <alignment horizontal="center" vertical="center"/>
    </xf>
    <xf numFmtId="0" fontId="3" fillId="0" borderId="0" xfId="8" applyFont="1" applyBorder="1" applyAlignment="1">
      <alignment horizontal="left" vertical="center"/>
    </xf>
    <xf numFmtId="0" fontId="3" fillId="0" borderId="0" xfId="8" applyBorder="1" applyAlignment="1">
      <alignment horizontal="left" vertical="center"/>
    </xf>
    <xf numFmtId="0" fontId="3" fillId="0" borderId="7" xfId="8" applyBorder="1" applyAlignment="1">
      <alignment horizontal="center" vertical="center"/>
    </xf>
    <xf numFmtId="0" fontId="24" fillId="6" borderId="1" xfId="12" applyFill="1" applyBorder="1" applyAlignment="1">
      <alignment horizontal="center"/>
    </xf>
    <xf numFmtId="0" fontId="3" fillId="0" borderId="0" xfId="0" applyFont="1"/>
    <xf numFmtId="0" fontId="19" fillId="4" borderId="1" xfId="8" applyFont="1" applyFill="1" applyBorder="1" applyAlignment="1">
      <alignment horizontal="center" vertical="center" wrapText="1"/>
    </xf>
    <xf numFmtId="0" fontId="3" fillId="0" borderId="1" xfId="8" applyBorder="1" applyAlignment="1">
      <alignment horizontal="center" vertical="center" wrapText="1"/>
    </xf>
    <xf numFmtId="0" fontId="3" fillId="0" borderId="1" xfId="8" applyBorder="1" applyAlignment="1">
      <alignment wrapText="1"/>
    </xf>
    <xf numFmtId="164" fontId="4" fillId="4" borderId="1" xfId="8" applyNumberFormat="1" applyFont="1" applyFill="1" applyBorder="1" applyAlignment="1">
      <alignment horizontal="center" vertical="center" wrapText="1"/>
    </xf>
    <xf numFmtId="0" fontId="3" fillId="0" borderId="0" xfId="8" applyFont="1" applyFill="1" applyAlignment="1">
      <alignment wrapText="1"/>
    </xf>
    <xf numFmtId="0" fontId="3" fillId="0" borderId="0" xfId="8" applyFont="1" applyAlignment="1">
      <alignment wrapText="1"/>
    </xf>
    <xf numFmtId="16" fontId="3" fillId="0" borderId="0" xfId="8" applyNumberFormat="1" applyFont="1" applyFill="1" applyAlignment="1">
      <alignment wrapText="1"/>
    </xf>
    <xf numFmtId="3" fontId="5" fillId="0" borderId="1" xfId="0" applyNumberFormat="1" applyFont="1" applyFill="1" applyBorder="1" applyAlignment="1">
      <alignment horizontal="center" vertical="center" wrapText="1"/>
    </xf>
    <xf numFmtId="0" fontId="3" fillId="7" borderId="1" xfId="8" applyFont="1" applyFill="1" applyBorder="1" applyAlignment="1">
      <alignment horizontal="center" vertical="center" wrapText="1"/>
    </xf>
    <xf numFmtId="0" fontId="3" fillId="0" borderId="1" xfId="0" applyFont="1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3" fontId="3" fillId="0" borderId="1" xfId="8" applyNumberFormat="1" applyFont="1" applyFill="1" applyBorder="1" applyAlignment="1">
      <alignment horizontal="center" vertical="center" wrapText="1"/>
    </xf>
    <xf numFmtId="3" fontId="3" fillId="0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19" fillId="4" borderId="1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0" fontId="3" fillId="0" borderId="1" xfId="8" applyFont="1" applyFill="1" applyBorder="1" applyAlignment="1">
      <alignment wrapText="1"/>
    </xf>
    <xf numFmtId="0" fontId="19" fillId="0" borderId="0" xfId="8" applyFont="1" applyAlignment="1">
      <alignment horizontal="center" vertical="center" wrapText="1"/>
    </xf>
    <xf numFmtId="49" fontId="3" fillId="0" borderId="0" xfId="8" applyNumberFormat="1" applyAlignment="1">
      <alignment horizontal="right" wrapText="1"/>
    </xf>
    <xf numFmtId="0" fontId="3" fillId="0" borderId="0" xfId="8" applyAlignment="1">
      <alignment horizontal="right" wrapText="1"/>
    </xf>
    <xf numFmtId="49" fontId="4" fillId="6" borderId="1" xfId="8" applyNumberFormat="1" applyFont="1" applyFill="1" applyBorder="1" applyAlignment="1">
      <alignment horizontal="center" vertical="center"/>
    </xf>
    <xf numFmtId="49" fontId="3" fillId="6" borderId="1" xfId="8" applyNumberFormat="1" applyFill="1" applyBorder="1" applyAlignment="1">
      <alignment horizontal="center" vertical="center"/>
    </xf>
    <xf numFmtId="0" fontId="50" fillId="0" borderId="0" xfId="0" applyFont="1"/>
    <xf numFmtId="0" fontId="3" fillId="40" borderId="1" xfId="8" applyNumberFormat="1" applyFont="1" applyFill="1" applyBorder="1"/>
    <xf numFmtId="0" fontId="24" fillId="0" borderId="1" xfId="12" applyBorder="1" applyAlignment="1">
      <alignment horizontal="center" vertical="center" wrapText="1"/>
    </xf>
    <xf numFmtId="3" fontId="24" fillId="0" borderId="1" xfId="12" applyNumberFormat="1" applyFill="1" applyBorder="1" applyAlignment="1">
      <alignment horizontal="center" vertical="center" wrapText="1"/>
    </xf>
    <xf numFmtId="0" fontId="3" fillId="0" borderId="1" xfId="8" applyNumberFormat="1" applyFont="1" applyFill="1" applyBorder="1"/>
    <xf numFmtId="0" fontId="3" fillId="7" borderId="1" xfId="8" applyNumberFormat="1" applyFont="1" applyFill="1" applyBorder="1"/>
    <xf numFmtId="0" fontId="3" fillId="7" borderId="1" xfId="8" applyFont="1" applyFill="1" applyBorder="1"/>
    <xf numFmtId="0" fontId="3" fillId="40" borderId="1" xfId="8" applyFont="1" applyFill="1" applyBorder="1"/>
    <xf numFmtId="0" fontId="3" fillId="40" borderId="1" xfId="0" applyFont="1" applyFill="1" applyBorder="1" applyAlignment="1">
      <alignment vertical="center" wrapText="1"/>
    </xf>
    <xf numFmtId="0" fontId="5" fillId="40" borderId="1" xfId="0" applyFont="1" applyFill="1" applyBorder="1" applyAlignment="1">
      <alignment horizontal="center" vertical="center" wrapText="1"/>
    </xf>
    <xf numFmtId="164" fontId="3" fillId="6" borderId="1" xfId="2" applyNumberFormat="1" applyFont="1" applyFill="1" applyBorder="1" applyAlignment="1">
      <alignment horizontal="center" vertical="center"/>
    </xf>
    <xf numFmtId="0" fontId="5" fillId="6" borderId="1" xfId="2" applyNumberFormat="1" applyFill="1" applyBorder="1" applyAlignment="1">
      <alignment horizontal="center" vertical="center"/>
    </xf>
    <xf numFmtId="0" fontId="3" fillId="0" borderId="1" xfId="0" applyFont="1" applyFill="1" applyBorder="1" applyAlignment="1">
      <alignment wrapText="1"/>
    </xf>
    <xf numFmtId="0" fontId="5" fillId="7" borderId="1" xfId="0" applyFont="1" applyFill="1" applyBorder="1" applyAlignment="1">
      <alignment horizontal="center" vertical="center" wrapText="1"/>
    </xf>
    <xf numFmtId="3" fontId="5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wrapText="1"/>
    </xf>
    <xf numFmtId="0" fontId="3" fillId="41" borderId="1" xfId="0" applyFont="1" applyFill="1" applyBorder="1" applyAlignment="1">
      <alignment vertical="center" wrapText="1"/>
    </xf>
    <xf numFmtId="0" fontId="3" fillId="41" borderId="1" xfId="0" applyFont="1" applyFill="1" applyBorder="1" applyAlignment="1">
      <alignment horizontal="center" vertical="center" wrapText="1"/>
    </xf>
    <xf numFmtId="0" fontId="0" fillId="41" borderId="1" xfId="0" applyFill="1" applyBorder="1" applyAlignment="1">
      <alignment horizontal="center" vertical="center"/>
    </xf>
    <xf numFmtId="0" fontId="3" fillId="0" borderId="0" xfId="0" applyNumberFormat="1" applyFont="1" applyFill="1" applyAlignment="1">
      <alignment horizontal="center"/>
    </xf>
    <xf numFmtId="49" fontId="4" fillId="0" borderId="0" xfId="0" applyNumberFormat="1" applyFont="1" applyFill="1"/>
    <xf numFmtId="49" fontId="3" fillId="0" borderId="0" xfId="0" applyNumberFormat="1" applyFont="1" applyFill="1"/>
    <xf numFmtId="49" fontId="3" fillId="0" borderId="0" xfId="0" applyNumberFormat="1" applyFont="1" applyFill="1" applyAlignment="1">
      <alignment horizontal="center"/>
    </xf>
    <xf numFmtId="0" fontId="3" fillId="39" borderId="1" xfId="0" applyFont="1" applyFill="1" applyBorder="1" applyAlignment="1">
      <alignment vertical="center" wrapText="1"/>
    </xf>
    <xf numFmtId="0" fontId="3" fillId="39" borderId="1" xfId="0" applyFont="1" applyFill="1" applyBorder="1" applyAlignment="1">
      <alignment horizontal="center" vertical="center" wrapText="1"/>
    </xf>
    <xf numFmtId="0" fontId="0" fillId="39" borderId="1" xfId="0" applyFill="1" applyBorder="1" applyAlignment="1">
      <alignment horizontal="center" vertical="center"/>
    </xf>
    <xf numFmtId="0" fontId="3" fillId="42" borderId="1" xfId="0" applyFont="1" applyFill="1" applyBorder="1" applyAlignment="1">
      <alignment vertical="center" wrapText="1"/>
    </xf>
    <xf numFmtId="0" fontId="3" fillId="42" borderId="1" xfId="0" applyFont="1" applyFill="1" applyBorder="1" applyAlignment="1">
      <alignment horizontal="center" vertical="center" wrapText="1"/>
    </xf>
    <xf numFmtId="0" fontId="0" fillId="42" borderId="1" xfId="0" applyFill="1" applyBorder="1" applyAlignment="1">
      <alignment horizontal="center" vertical="center"/>
    </xf>
    <xf numFmtId="0" fontId="3" fillId="43" borderId="1" xfId="0" applyFont="1" applyFill="1" applyBorder="1" applyAlignment="1">
      <alignment vertical="center" wrapText="1"/>
    </xf>
    <xf numFmtId="0" fontId="3" fillId="43" borderId="1" xfId="0" applyFont="1" applyFill="1" applyBorder="1" applyAlignment="1">
      <alignment horizontal="center" vertical="center" wrapText="1"/>
    </xf>
    <xf numFmtId="0" fontId="0" fillId="43" borderId="1" xfId="0" applyFill="1" applyBorder="1" applyAlignment="1">
      <alignment horizontal="center" vertical="center"/>
    </xf>
    <xf numFmtId="0" fontId="4" fillId="0" borderId="0" xfId="0" applyFont="1" applyFill="1"/>
    <xf numFmtId="0" fontId="4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5" fillId="0" borderId="1" xfId="129" applyFont="1" applyFill="1" applyBorder="1" applyAlignment="1">
      <alignment horizontal="center"/>
    </xf>
    <xf numFmtId="0" fontId="3" fillId="0" borderId="1" xfId="8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3" fillId="40" borderId="1" xfId="0" applyFont="1" applyFill="1" applyBorder="1" applyAlignment="1">
      <alignment horizontal="center" vertical="center" wrapText="1"/>
    </xf>
    <xf numFmtId="0" fontId="5" fillId="6" borderId="2" xfId="2" applyFill="1" applyBorder="1" applyAlignment="1">
      <alignment horizontal="center" vertical="center"/>
    </xf>
    <xf numFmtId="0" fontId="5" fillId="6" borderId="4" xfId="2" applyFill="1" applyBorder="1" applyAlignment="1">
      <alignment horizontal="center" vertical="center"/>
    </xf>
    <xf numFmtId="0" fontId="5" fillId="6" borderId="3" xfId="2" applyFill="1" applyBorder="1" applyAlignment="1">
      <alignment horizontal="center" vertical="center"/>
    </xf>
    <xf numFmtId="0" fontId="3" fillId="6" borderId="4" xfId="8" applyFill="1" applyBorder="1" applyAlignment="1">
      <alignment horizontal="center" vertical="center"/>
    </xf>
    <xf numFmtId="0" fontId="0" fillId="40" borderId="1" xfId="0" applyFill="1" applyBorder="1" applyAlignment="1">
      <alignment horizontal="center" vertical="center"/>
    </xf>
    <xf numFmtId="0" fontId="41" fillId="39" borderId="1" xfId="8" applyFont="1" applyFill="1" applyBorder="1" applyAlignment="1">
      <alignment horizontal="center"/>
    </xf>
    <xf numFmtId="0" fontId="5" fillId="6" borderId="2" xfId="2" applyFill="1" applyBorder="1" applyAlignment="1">
      <alignment horizontal="center" vertical="center"/>
    </xf>
    <xf numFmtId="0" fontId="5" fillId="6" borderId="4" xfId="2" applyFill="1" applyBorder="1" applyAlignment="1">
      <alignment horizontal="center" vertical="center"/>
    </xf>
    <xf numFmtId="0" fontId="5" fillId="6" borderId="3" xfId="2" applyFill="1" applyBorder="1" applyAlignment="1">
      <alignment horizontal="center" vertical="center"/>
    </xf>
    <xf numFmtId="0" fontId="3" fillId="6" borderId="2" xfId="8" applyFill="1" applyBorder="1" applyAlignment="1">
      <alignment horizontal="center" vertical="center"/>
    </xf>
    <xf numFmtId="0" fontId="3" fillId="6" borderId="4" xfId="8" applyFill="1" applyBorder="1" applyAlignment="1">
      <alignment horizontal="center" vertical="center"/>
    </xf>
    <xf numFmtId="0" fontId="3" fillId="6" borderId="3" xfId="8" applyFill="1" applyBorder="1" applyAlignment="1">
      <alignment horizontal="center" vertical="center"/>
    </xf>
  </cellXfs>
  <cellStyles count="191">
    <cellStyle name="20% - Accent1 2" xfId="13"/>
    <cellStyle name="20% - Accent1 2 2" xfId="14"/>
    <cellStyle name="20% - Accent1 2 2 2" xfId="15"/>
    <cellStyle name="20% - Accent1 2 2 2 2" xfId="133"/>
    <cellStyle name="20% - Accent1 2 2 3" xfId="132"/>
    <cellStyle name="20% - Accent1 2 3" xfId="16"/>
    <cellStyle name="20% - Accent1 2 3 2" xfId="134"/>
    <cellStyle name="20% - Accent1 2 4" xfId="131"/>
    <cellStyle name="20% - Accent2 2" xfId="17"/>
    <cellStyle name="20% - Accent2 2 2" xfId="18"/>
    <cellStyle name="20% - Accent2 2 2 2" xfId="19"/>
    <cellStyle name="20% - Accent2 2 2 2 2" xfId="137"/>
    <cellStyle name="20% - Accent2 2 2 3" xfId="136"/>
    <cellStyle name="20% - Accent2 2 3" xfId="20"/>
    <cellStyle name="20% - Accent2 2 3 2" xfId="138"/>
    <cellStyle name="20% - Accent2 2 4" xfId="135"/>
    <cellStyle name="20% - Accent3 2" xfId="21"/>
    <cellStyle name="20% - Accent3 2 2" xfId="22"/>
    <cellStyle name="20% - Accent3 2 2 2" xfId="23"/>
    <cellStyle name="20% - Accent3 2 2 2 2" xfId="141"/>
    <cellStyle name="20% - Accent3 2 2 3" xfId="140"/>
    <cellStyle name="20% - Accent3 2 3" xfId="24"/>
    <cellStyle name="20% - Accent3 2 3 2" xfId="142"/>
    <cellStyle name="20% - Accent3 2 4" xfId="139"/>
    <cellStyle name="20% - Accent4 2" xfId="25"/>
    <cellStyle name="20% - Accent4 2 2" xfId="26"/>
    <cellStyle name="20% - Accent4 2 2 2" xfId="27"/>
    <cellStyle name="20% - Accent4 2 2 2 2" xfId="145"/>
    <cellStyle name="20% - Accent4 2 2 3" xfId="144"/>
    <cellStyle name="20% - Accent4 2 3" xfId="28"/>
    <cellStyle name="20% - Accent4 2 3 2" xfId="146"/>
    <cellStyle name="20% - Accent4 2 4" xfId="143"/>
    <cellStyle name="20% - Accent5 2" xfId="29"/>
    <cellStyle name="20% - Accent5 2 2" xfId="30"/>
    <cellStyle name="20% - Accent5 2 2 2" xfId="31"/>
    <cellStyle name="20% - Accent5 2 2 2 2" xfId="149"/>
    <cellStyle name="20% - Accent5 2 2 3" xfId="148"/>
    <cellStyle name="20% - Accent5 2 3" xfId="32"/>
    <cellStyle name="20% - Accent5 2 3 2" xfId="150"/>
    <cellStyle name="20% - Accent5 2 4" xfId="147"/>
    <cellStyle name="20% - Accent6 2" xfId="33"/>
    <cellStyle name="20% - Accent6 2 2" xfId="34"/>
    <cellStyle name="20% - Accent6 2 2 2" xfId="35"/>
    <cellStyle name="20% - Accent6 2 2 2 2" xfId="153"/>
    <cellStyle name="20% - Accent6 2 2 3" xfId="152"/>
    <cellStyle name="20% - Accent6 2 3" xfId="36"/>
    <cellStyle name="20% - Accent6 2 3 2" xfId="154"/>
    <cellStyle name="20% - Accent6 2 4" xfId="151"/>
    <cellStyle name="40% - Accent1 2" xfId="37"/>
    <cellStyle name="40% - Accent1 2 2" xfId="38"/>
    <cellStyle name="40% - Accent1 2 2 2" xfId="39"/>
    <cellStyle name="40% - Accent1 2 2 2 2" xfId="157"/>
    <cellStyle name="40% - Accent1 2 2 3" xfId="156"/>
    <cellStyle name="40% - Accent1 2 3" xfId="40"/>
    <cellStyle name="40% - Accent1 2 3 2" xfId="158"/>
    <cellStyle name="40% - Accent1 2 4" xfId="155"/>
    <cellStyle name="40% - Accent2 2" xfId="41"/>
    <cellStyle name="40% - Accent2 2 2" xfId="42"/>
    <cellStyle name="40% - Accent2 2 2 2" xfId="43"/>
    <cellStyle name="40% - Accent2 2 2 2 2" xfId="161"/>
    <cellStyle name="40% - Accent2 2 2 3" xfId="160"/>
    <cellStyle name="40% - Accent2 2 3" xfId="44"/>
    <cellStyle name="40% - Accent2 2 3 2" xfId="162"/>
    <cellStyle name="40% - Accent2 2 4" xfId="159"/>
    <cellStyle name="40% - Accent3 2" xfId="45"/>
    <cellStyle name="40% - Accent3 2 2" xfId="46"/>
    <cellStyle name="40% - Accent3 2 2 2" xfId="47"/>
    <cellStyle name="40% - Accent3 2 2 2 2" xfId="165"/>
    <cellStyle name="40% - Accent3 2 2 3" xfId="164"/>
    <cellStyle name="40% - Accent3 2 3" xfId="48"/>
    <cellStyle name="40% - Accent3 2 3 2" xfId="166"/>
    <cellStyle name="40% - Accent3 2 4" xfId="163"/>
    <cellStyle name="40% - Accent4 2" xfId="49"/>
    <cellStyle name="40% - Accent4 2 2" xfId="50"/>
    <cellStyle name="40% - Accent4 2 2 2" xfId="51"/>
    <cellStyle name="40% - Accent4 2 2 2 2" xfId="169"/>
    <cellStyle name="40% - Accent4 2 2 3" xfId="168"/>
    <cellStyle name="40% - Accent4 2 3" xfId="52"/>
    <cellStyle name="40% - Accent4 2 3 2" xfId="170"/>
    <cellStyle name="40% - Accent4 2 4" xfId="167"/>
    <cellStyle name="40% - Accent5 2" xfId="53"/>
    <cellStyle name="40% - Accent5 2 2" xfId="54"/>
    <cellStyle name="40% - Accent5 2 2 2" xfId="55"/>
    <cellStyle name="40% - Accent5 2 2 2 2" xfId="173"/>
    <cellStyle name="40% - Accent5 2 2 3" xfId="172"/>
    <cellStyle name="40% - Accent5 2 3" xfId="56"/>
    <cellStyle name="40% - Accent5 2 3 2" xfId="174"/>
    <cellStyle name="40% - Accent5 2 4" xfId="171"/>
    <cellStyle name="40% - Accent6 2" xfId="57"/>
    <cellStyle name="40% - Accent6 2 2" xfId="58"/>
    <cellStyle name="40% - Accent6 2 2 2" xfId="59"/>
    <cellStyle name="40% - Accent6 2 2 2 2" xfId="177"/>
    <cellStyle name="40% - Accent6 2 2 3" xfId="176"/>
    <cellStyle name="40% - Accent6 2 3" xfId="60"/>
    <cellStyle name="40% - Accent6 2 3 2" xfId="178"/>
    <cellStyle name="40% - Accent6 2 4" xfId="175"/>
    <cellStyle name="60% - Accent1 2" xfId="61"/>
    <cellStyle name="60% - Accent1 2 2" xfId="62"/>
    <cellStyle name="60% - Accent2 2" xfId="63"/>
    <cellStyle name="60% - Accent2 2 2" xfId="64"/>
    <cellStyle name="60% - Accent3 2" xfId="65"/>
    <cellStyle name="60% - Accent3 2 2" xfId="66"/>
    <cellStyle name="60% - Accent4 2" xfId="67"/>
    <cellStyle name="60% - Accent4 2 2" xfId="68"/>
    <cellStyle name="60% - Accent5 2" xfId="69"/>
    <cellStyle name="60% - Accent5 2 2" xfId="70"/>
    <cellStyle name="60% - Accent6 2" xfId="71"/>
    <cellStyle name="60% - Accent6 2 2" xfId="72"/>
    <cellStyle name="Accent1 2" xfId="73"/>
    <cellStyle name="Accent1 2 2" xfId="74"/>
    <cellStyle name="Accent2 2" xfId="75"/>
    <cellStyle name="Accent2 2 2" xfId="76"/>
    <cellStyle name="Accent3 2" xfId="77"/>
    <cellStyle name="Accent3 2 2" xfId="78"/>
    <cellStyle name="Accent4 2" xfId="79"/>
    <cellStyle name="Accent4 2 2" xfId="80"/>
    <cellStyle name="Accent5 2" xfId="81"/>
    <cellStyle name="Accent5 2 2" xfId="82"/>
    <cellStyle name="Accent6 2" xfId="83"/>
    <cellStyle name="Accent6 2 2" xfId="84"/>
    <cellStyle name="Bad 2" xfId="85"/>
    <cellStyle name="Bad 2 2" xfId="86"/>
    <cellStyle name="Calculation 2" xfId="87"/>
    <cellStyle name="Calculation 2 2" xfId="88"/>
    <cellStyle name="Check Cell 2" xfId="89"/>
    <cellStyle name="Check Cell 2 2" xfId="90"/>
    <cellStyle name="Explanatory Text 2" xfId="91"/>
    <cellStyle name="Explanatory Text 2 2" xfId="92"/>
    <cellStyle name="Good 2" xfId="93"/>
    <cellStyle name="Good 2 2" xfId="94"/>
    <cellStyle name="Heading 1 2" xfId="95"/>
    <cellStyle name="Heading 1 2 2" xfId="96"/>
    <cellStyle name="Heading 2 2" xfId="97"/>
    <cellStyle name="Heading 2 2 2" xfId="98"/>
    <cellStyle name="Heading 3 2" xfId="99"/>
    <cellStyle name="Heading 3 2 2" xfId="100"/>
    <cellStyle name="Heading 4 2" xfId="101"/>
    <cellStyle name="Heading 4 2 2" xfId="102"/>
    <cellStyle name="Hyperlink" xfId="12" builtinId="8"/>
    <cellStyle name="Hyperlink 2" xfId="1"/>
    <cellStyle name="Input 2" xfId="103"/>
    <cellStyle name="Input 2 2" xfId="104"/>
    <cellStyle name="Linked Cell 2" xfId="105"/>
    <cellStyle name="Linked Cell 2 2" xfId="106"/>
    <cellStyle name="Neutral 2" xfId="107"/>
    <cellStyle name="Neutral 2 2" xfId="108"/>
    <cellStyle name="Normal" xfId="0" builtinId="0"/>
    <cellStyle name="Normal 2" xfId="2"/>
    <cellStyle name="Normal 2 2" xfId="8"/>
    <cellStyle name="Normal 2 2 2" xfId="109"/>
    <cellStyle name="Normal 2 2 2 2" xfId="110"/>
    <cellStyle name="Normal 2 2 2 2 2" xfId="180"/>
    <cellStyle name="Normal 2 2 2 3" xfId="179"/>
    <cellStyle name="Normal 2 3" xfId="111"/>
    <cellStyle name="Normal 2 3 2" xfId="112"/>
    <cellStyle name="Normal 2 3 2 2" xfId="182"/>
    <cellStyle name="Normal 2 3 3" xfId="181"/>
    <cellStyle name="Normal 3" xfId="3"/>
    <cellStyle name="Normal 3 2" xfId="9"/>
    <cellStyle name="Normal 4" xfId="7"/>
    <cellStyle name="Normal 5" xfId="129"/>
    <cellStyle name="Normal 6" xfId="130"/>
    <cellStyle name="Note 2" xfId="113"/>
    <cellStyle name="Note 2 2" xfId="114"/>
    <cellStyle name="Note 2 2 2" xfId="115"/>
    <cellStyle name="Note 2 2 2 2" xfId="116"/>
    <cellStyle name="Note 2 2 2 2 2" xfId="186"/>
    <cellStyle name="Note 2 2 2 3" xfId="185"/>
    <cellStyle name="Note 2 2 3" xfId="117"/>
    <cellStyle name="Note 2 2 3 2" xfId="187"/>
    <cellStyle name="Note 2 2 4" xfId="184"/>
    <cellStyle name="Note 2 3" xfId="118"/>
    <cellStyle name="Note 2 3 2" xfId="119"/>
    <cellStyle name="Note 2 3 2 2" xfId="189"/>
    <cellStyle name="Note 2 3 3" xfId="188"/>
    <cellStyle name="Note 2 4" xfId="120"/>
    <cellStyle name="Note 2 4 2" xfId="190"/>
    <cellStyle name="Note 2 5" xfId="183"/>
    <cellStyle name="Output 2" xfId="121"/>
    <cellStyle name="Output 2 2" xfId="122"/>
    <cellStyle name="Percent 2" xfId="4"/>
    <cellStyle name="Percent 2 2" xfId="10"/>
    <cellStyle name="Percent 3" xfId="5"/>
    <cellStyle name="Percent 3 2" xfId="11"/>
    <cellStyle name="Standard_KOM209fit229" xfId="6"/>
    <cellStyle name="Title 2" xfId="123"/>
    <cellStyle name="Title 2 2" xfId="124"/>
    <cellStyle name="Total 2" xfId="125"/>
    <cellStyle name="Total 2 2" xfId="126"/>
    <cellStyle name="Warning Text 2" xfId="127"/>
    <cellStyle name="Warning Text 2 2" xfId="128"/>
  </cellStyles>
  <dxfs count="14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84667</xdr:colOff>
      <xdr:row>0</xdr:row>
      <xdr:rowOff>68580</xdr:rowOff>
    </xdr:from>
    <xdr:to>
      <xdr:col>2</xdr:col>
      <xdr:colOff>656167</xdr:colOff>
      <xdr:row>8</xdr:row>
      <xdr:rowOff>46990</xdr:rowOff>
    </xdr:to>
    <xdr:pic>
      <xdr:nvPicPr>
        <xdr:cNvPr id="2822" name="Picture 2" descr="hella">
          <a:extLst>
            <a:ext uri="{FF2B5EF4-FFF2-40B4-BE49-F238E27FC236}">
              <a16:creationId xmlns:a16="http://schemas.microsoft.com/office/drawing/2014/main" xmlns="" id="{00000000-0008-0000-0000-0000060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667" y="68580"/>
          <a:ext cx="2095500" cy="12484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65</xdr:row>
          <xdr:rowOff>95250</xdr:rowOff>
        </xdr:from>
        <xdr:to>
          <xdr:col>11</xdr:col>
          <xdr:colOff>323850</xdr:colOff>
          <xdr:row>67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.hex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63</xdr:row>
          <xdr:rowOff>66675</xdr:rowOff>
        </xdr:from>
        <xdr:to>
          <xdr:col>3</xdr:col>
          <xdr:colOff>495300</xdr:colOff>
          <xdr:row>67</xdr:row>
          <xdr:rowOff>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xmlns="" id="{00000000-0008-0000-03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Table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Block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790575</xdr:colOff>
      <xdr:row>64</xdr:row>
      <xdr:rowOff>57150</xdr:rowOff>
    </xdr:from>
    <xdr:to>
      <xdr:col>4</xdr:col>
      <xdr:colOff>114300</xdr:colOff>
      <xdr:row>66</xdr:row>
      <xdr:rowOff>38100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 bwMode="auto">
        <a:xfrm>
          <a:off x="2695575" y="4705350"/>
          <a:ext cx="885825" cy="30480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63</xdr:row>
          <xdr:rowOff>66675</xdr:rowOff>
        </xdr:from>
        <xdr:to>
          <xdr:col>6</xdr:col>
          <xdr:colOff>247650</xdr:colOff>
          <xdr:row>66</xdr:row>
          <xdr:rowOff>152400</xdr:rowOff>
        </xdr:to>
        <xdr:sp macro="" textlink="">
          <xdr:nvSpPr>
            <xdr:cNvPr id="14362" name="Button 26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xmlns="" id="{00000000-0008-0000-03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Map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438150</xdr:colOff>
      <xdr:row>64</xdr:row>
      <xdr:rowOff>66675</xdr:rowOff>
    </xdr:from>
    <xdr:to>
      <xdr:col>8</xdr:col>
      <xdr:colOff>533400</xdr:colOff>
      <xdr:row>66</xdr:row>
      <xdr:rowOff>47625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 bwMode="auto">
        <a:xfrm>
          <a:off x="5543550" y="4714875"/>
          <a:ext cx="885825" cy="30480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70</xdr:row>
          <xdr:rowOff>9525</xdr:rowOff>
        </xdr:from>
        <xdr:to>
          <xdr:col>3</xdr:col>
          <xdr:colOff>485775</xdr:colOff>
          <xdr:row>72</xdr:row>
          <xdr:rowOff>152400</xdr:rowOff>
        </xdr:to>
        <xdr:sp macro="" textlink="">
          <xdr:nvSpPr>
            <xdr:cNvPr id="14374" name="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xmlns="" id="{00000000-0008-0000-03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HPM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69</xdr:row>
          <xdr:rowOff>85725</xdr:rowOff>
        </xdr:from>
        <xdr:to>
          <xdr:col>6</xdr:col>
          <xdr:colOff>219075</xdr:colOff>
          <xdr:row>72</xdr:row>
          <xdr:rowOff>57150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xmlns="" id="{00000000-0008-0000-03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Coding to import to HPM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69</xdr:row>
          <xdr:rowOff>19050</xdr:rowOff>
        </xdr:from>
        <xdr:to>
          <xdr:col>11</xdr:col>
          <xdr:colOff>342900</xdr:colOff>
          <xdr:row>72</xdr:row>
          <xdr:rowOff>19050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xmlns="" id="{00000000-0008-0000-03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Param to import to HPM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61</xdr:row>
          <xdr:rowOff>57150</xdr:rowOff>
        </xdr:from>
        <xdr:to>
          <xdr:col>2</xdr:col>
          <xdr:colOff>476250</xdr:colOff>
          <xdr:row>62</xdr:row>
          <xdr:rowOff>57150</xdr:rowOff>
        </xdr:to>
        <xdr:sp macro="" textlink="">
          <xdr:nvSpPr>
            <xdr:cNvPr id="14382" name="Label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xmlns="" id="{00000000-0008-0000-03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 files Path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61</xdr:row>
          <xdr:rowOff>28575</xdr:rowOff>
        </xdr:from>
        <xdr:to>
          <xdr:col>11</xdr:col>
          <xdr:colOff>952500</xdr:colOff>
          <xdr:row>62</xdr:row>
          <xdr:rowOff>133350</xdr:rowOff>
        </xdr:to>
        <xdr:sp macro="" textlink="">
          <xdr:nvSpPr>
            <xdr:cNvPr id="14384" name="lblFilePath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xmlns="" id="{00000000-0008-0000-03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1200150</xdr:colOff>
          <xdr:row>61</xdr:row>
          <xdr:rowOff>28575</xdr:rowOff>
        </xdr:from>
        <xdr:to>
          <xdr:col>12</xdr:col>
          <xdr:colOff>581025</xdr:colOff>
          <xdr:row>62</xdr:row>
          <xdr:rowOff>104775</xdr:rowOff>
        </xdr:to>
        <xdr:sp macro="" textlink="">
          <xdr:nvSpPr>
            <xdr:cNvPr id="14385" name="Button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xmlns="" id="{00000000-0008-0000-03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61</xdr:row>
          <xdr:rowOff>38100</xdr:rowOff>
        </xdr:from>
        <xdr:to>
          <xdr:col>1</xdr:col>
          <xdr:colOff>523875</xdr:colOff>
          <xdr:row>62</xdr:row>
          <xdr:rowOff>114300</xdr:rowOff>
        </xdr:to>
        <xdr:sp macro="" textlink="">
          <xdr:nvSpPr>
            <xdr:cNvPr id="14396" name="Button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xmlns="" id="{00000000-0008-0000-03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73</xdr:row>
          <xdr:rowOff>66675</xdr:rowOff>
        </xdr:from>
        <xdr:to>
          <xdr:col>11</xdr:col>
          <xdr:colOff>342900</xdr:colOff>
          <xdr:row>76</xdr:row>
          <xdr:rowOff>38100</xdr:rowOff>
        </xdr:to>
        <xdr:sp macro="" textlink="">
          <xdr:nvSpPr>
            <xdr:cNvPr id="14397" name="Button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xmlns="" id="{00000000-0008-0000-03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HMF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63</xdr:row>
          <xdr:rowOff>85725</xdr:rowOff>
        </xdr:from>
        <xdr:to>
          <xdr:col>11</xdr:col>
          <xdr:colOff>323850</xdr:colOff>
          <xdr:row>65</xdr:row>
          <xdr:rowOff>28575</xdr:rowOff>
        </xdr:to>
        <xdr:sp macro="" textlink="">
          <xdr:nvSpPr>
            <xdr:cNvPr id="14398" name="Button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xmlns="" id="{00000000-0008-0000-03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.s19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C1:I30"/>
  <sheetViews>
    <sheetView zoomScale="90" zoomScaleNormal="90" workbookViewId="0">
      <selection activeCell="F16" sqref="F16"/>
    </sheetView>
  </sheetViews>
  <sheetFormatPr defaultColWidth="11.42578125" defaultRowHeight="12.75"/>
  <cols>
    <col min="3" max="3" width="11.42578125" customWidth="1"/>
    <col min="4" max="8" width="15.7109375" customWidth="1"/>
  </cols>
  <sheetData>
    <row r="1" spans="3:9" ht="12.75" customHeight="1"/>
    <row r="2" spans="3:9" ht="12.75" customHeight="1"/>
    <row r="3" spans="3:9" ht="12.75" customHeight="1"/>
    <row r="4" spans="3:9" ht="12.75" customHeight="1"/>
    <row r="5" spans="3:9" ht="12.75" customHeight="1">
      <c r="C5" s="8"/>
      <c r="D5" s="9"/>
      <c r="E5" s="9"/>
      <c r="F5" s="9"/>
      <c r="G5" s="9"/>
      <c r="H5" s="9"/>
      <c r="I5" s="9"/>
    </row>
    <row r="6" spans="3:9" ht="12.75" customHeight="1">
      <c r="C6" s="8"/>
      <c r="D6" s="9"/>
      <c r="E6" s="9"/>
      <c r="F6" s="9"/>
      <c r="G6" s="9"/>
      <c r="H6" s="9"/>
      <c r="I6" s="9"/>
    </row>
    <row r="7" spans="3:9" ht="12.75" customHeight="1">
      <c r="C7" s="9"/>
      <c r="D7" s="9"/>
      <c r="E7" s="9"/>
      <c r="F7" s="9"/>
      <c r="G7" s="9"/>
      <c r="H7" s="9"/>
      <c r="I7" s="9"/>
    </row>
    <row r="8" spans="3:9" ht="12.75" customHeight="1">
      <c r="C8" s="9"/>
      <c r="D8" s="9"/>
      <c r="E8" s="9"/>
      <c r="F8" s="9"/>
      <c r="G8" s="9"/>
      <c r="H8" s="9"/>
      <c r="I8" s="9"/>
    </row>
    <row r="9" spans="3:9" ht="12.75" customHeight="1">
      <c r="C9" s="9"/>
      <c r="D9" s="9"/>
      <c r="E9" s="9"/>
      <c r="F9" s="9"/>
      <c r="G9" s="9"/>
      <c r="H9" s="9"/>
      <c r="I9" s="9"/>
    </row>
    <row r="10" spans="3:9" ht="12.75" customHeight="1">
      <c r="C10" s="9"/>
      <c r="D10" s="9"/>
      <c r="E10" s="9"/>
      <c r="F10" s="9"/>
      <c r="G10" s="9"/>
      <c r="H10" s="9"/>
      <c r="I10" s="9"/>
    </row>
    <row r="11" spans="3:9" ht="45">
      <c r="C11" s="8"/>
      <c r="D11" s="10"/>
      <c r="E11" s="10"/>
      <c r="F11" s="11" t="s">
        <v>31</v>
      </c>
      <c r="G11" s="10"/>
      <c r="H11" s="10"/>
      <c r="I11" s="9"/>
    </row>
    <row r="12" spans="3:9" ht="12.75" customHeight="1">
      <c r="C12" s="8"/>
      <c r="D12" s="10"/>
      <c r="E12" s="10"/>
      <c r="F12" s="12"/>
      <c r="G12" s="10"/>
      <c r="H12" s="10"/>
      <c r="I12" s="9"/>
    </row>
    <row r="13" spans="3:9" ht="12.75" customHeight="1">
      <c r="C13" s="8"/>
      <c r="D13" s="10"/>
      <c r="E13" s="10"/>
      <c r="F13" s="12"/>
      <c r="G13" s="10"/>
      <c r="H13" s="10"/>
      <c r="I13" s="9"/>
    </row>
    <row r="14" spans="3:9" ht="12.75" customHeight="1">
      <c r="C14" s="8"/>
      <c r="D14" s="9"/>
      <c r="E14" s="9"/>
      <c r="F14" s="9"/>
      <c r="G14" s="9"/>
      <c r="H14" s="9"/>
      <c r="I14" s="9"/>
    </row>
    <row r="15" spans="3:9" ht="35.25">
      <c r="C15" s="13"/>
      <c r="D15" s="14"/>
      <c r="E15" s="14"/>
      <c r="F15" s="15" t="s">
        <v>32</v>
      </c>
      <c r="G15" s="14"/>
      <c r="H15" s="14"/>
      <c r="I15" s="9"/>
    </row>
    <row r="16" spans="3:9" ht="30">
      <c r="C16" s="13"/>
      <c r="D16" s="14"/>
      <c r="E16" s="14"/>
      <c r="F16" s="55" t="s">
        <v>3005</v>
      </c>
      <c r="G16" s="14"/>
      <c r="H16" s="14"/>
      <c r="I16" s="9"/>
    </row>
    <row r="17" spans="3:9" ht="13.5" customHeight="1">
      <c r="C17" s="13"/>
      <c r="D17" s="14"/>
      <c r="E17" s="14"/>
      <c r="F17" s="15"/>
      <c r="G17" s="14"/>
      <c r="H17" s="14"/>
      <c r="I17" s="9"/>
    </row>
    <row r="18" spans="3:9" ht="30.75" customHeight="1">
      <c r="C18" s="13"/>
      <c r="D18" s="14"/>
      <c r="E18" s="14"/>
      <c r="F18" s="54" t="s">
        <v>18</v>
      </c>
      <c r="G18" s="14"/>
      <c r="H18" s="14"/>
      <c r="I18" s="9"/>
    </row>
    <row r="19" spans="3:9" ht="12.75" customHeight="1">
      <c r="C19" s="13"/>
      <c r="D19" s="9"/>
      <c r="E19" s="9"/>
      <c r="F19" s="9"/>
      <c r="G19" s="9"/>
      <c r="H19" s="9"/>
      <c r="I19" s="9"/>
    </row>
    <row r="20" spans="3:9" ht="12.75" customHeight="1">
      <c r="C20" s="13"/>
      <c r="D20" s="9"/>
      <c r="E20" s="9"/>
      <c r="F20" s="9"/>
      <c r="G20" s="9"/>
      <c r="H20" s="9"/>
      <c r="I20" s="9"/>
    </row>
    <row r="21" spans="3:9" ht="30">
      <c r="C21" s="13"/>
      <c r="D21" s="9"/>
      <c r="E21" s="16" t="s">
        <v>5</v>
      </c>
      <c r="F21" s="23"/>
      <c r="G21" s="26">
        <f>MAX(Changes!A2:A48)</f>
        <v>1</v>
      </c>
      <c r="H21" s="20"/>
      <c r="I21" s="9"/>
    </row>
    <row r="22" spans="3:9" ht="30">
      <c r="C22" s="13"/>
      <c r="D22" s="9"/>
      <c r="E22" s="16" t="s">
        <v>6</v>
      </c>
      <c r="F22" s="17"/>
      <c r="G22" s="18">
        <f>MAX(Changes!C2:C48)</f>
        <v>43510</v>
      </c>
      <c r="H22" s="9"/>
      <c r="I22" s="9"/>
    </row>
    <row r="23" spans="3:9" ht="12.75" customHeight="1">
      <c r="C23" s="13"/>
      <c r="D23" s="9"/>
      <c r="E23" s="17"/>
      <c r="F23" s="19"/>
      <c r="G23" s="17"/>
      <c r="H23" s="9"/>
      <c r="I23" s="9"/>
    </row>
    <row r="24" spans="3:9" ht="12.75" customHeight="1">
      <c r="C24" s="13"/>
      <c r="D24" s="9"/>
      <c r="E24" s="17"/>
      <c r="F24" s="17"/>
      <c r="G24" s="17"/>
      <c r="H24" s="9"/>
      <c r="I24" s="9"/>
    </row>
    <row r="25" spans="3:9" ht="12.75" customHeight="1">
      <c r="C25" s="13"/>
      <c r="D25" s="9"/>
      <c r="E25" s="21"/>
      <c r="F25" s="9"/>
      <c r="G25" s="22"/>
      <c r="H25" s="9"/>
      <c r="I25" s="9"/>
    </row>
    <row r="26" spans="3:9" ht="12.75" customHeight="1">
      <c r="C26" s="13"/>
      <c r="D26" s="9"/>
      <c r="E26" s="9"/>
      <c r="F26" s="9"/>
      <c r="G26" s="9"/>
      <c r="H26" s="9"/>
      <c r="I26" s="9"/>
    </row>
    <row r="27" spans="3:9" ht="12.75" customHeight="1">
      <c r="C27" s="13"/>
      <c r="D27" s="9"/>
      <c r="E27" s="9"/>
      <c r="F27" s="9"/>
      <c r="G27" s="9"/>
      <c r="H27" s="9"/>
      <c r="I27" s="9"/>
    </row>
    <row r="28" spans="3:9" ht="12.75" customHeight="1">
      <c r="C28" s="13"/>
      <c r="D28" s="9"/>
      <c r="E28" s="9"/>
      <c r="F28" s="9"/>
      <c r="G28" s="9"/>
      <c r="H28" s="9"/>
      <c r="I28" s="9"/>
    </row>
    <row r="29" spans="3:9" ht="12.75" customHeight="1">
      <c r="C29" s="8"/>
      <c r="D29" s="9"/>
      <c r="E29" s="9"/>
      <c r="F29" s="9"/>
      <c r="G29" s="9"/>
      <c r="H29" s="9"/>
      <c r="I29" s="9"/>
    </row>
    <row r="30" spans="3:9" ht="12.75" customHeight="1">
      <c r="C30" s="8"/>
      <c r="D30" s="9"/>
      <c r="E30" s="9"/>
      <c r="F30" s="9"/>
      <c r="G30" s="9"/>
      <c r="H30" s="9"/>
      <c r="I30" s="9"/>
    </row>
  </sheetData>
  <phoneticPr fontId="0" type="noConversion"/>
  <pageMargins left="0.75" right="0.75" top="1" bottom="1" header="0.4921259845" footer="0.4921259845"/>
  <pageSetup paperSize="9" scale="85" orientation="portrait" r:id="rId1"/>
  <headerFooter alignWithMargins="0">
    <oddHeader>&amp;R&amp;"Arial"&amp;9&amp;K737373 Information Classification: Internal&amp;1#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D4"/>
  <sheetViews>
    <sheetView zoomScale="85" zoomScaleNormal="100" workbookViewId="0">
      <selection activeCell="C3" sqref="C3"/>
    </sheetView>
  </sheetViews>
  <sheetFormatPr defaultColWidth="11.42578125" defaultRowHeight="12.75"/>
  <cols>
    <col min="1" max="1" width="19.5703125" customWidth="1"/>
    <col min="2" max="2" width="46.5703125" style="2" customWidth="1"/>
    <col min="3" max="4" width="15.7109375" customWidth="1"/>
  </cols>
  <sheetData>
    <row r="1" spans="1:4" s="52" customFormat="1" ht="21" customHeight="1">
      <c r="A1" s="49" t="s">
        <v>9</v>
      </c>
      <c r="B1" s="50" t="s">
        <v>0</v>
      </c>
      <c r="C1" s="51" t="s">
        <v>1</v>
      </c>
      <c r="D1" s="49" t="s">
        <v>2</v>
      </c>
    </row>
    <row r="2" spans="1:4" s="53" customFormat="1" ht="18">
      <c r="A2" s="92">
        <v>1</v>
      </c>
      <c r="B2" s="93" t="s">
        <v>17</v>
      </c>
      <c r="C2" s="94">
        <v>43510</v>
      </c>
      <c r="D2" s="95" t="s">
        <v>3004</v>
      </c>
    </row>
    <row r="3" spans="1:4" ht="15">
      <c r="A3" s="92"/>
      <c r="B3" s="93"/>
      <c r="C3" s="94"/>
      <c r="D3" s="95"/>
    </row>
    <row r="4" spans="1:4" ht="15">
      <c r="A4" s="92"/>
      <c r="B4" s="93"/>
      <c r="C4" s="94"/>
      <c r="D4" s="95"/>
    </row>
  </sheetData>
  <phoneticPr fontId="0" type="noConversion"/>
  <pageMargins left="0.59055118110236227" right="0.59055118110236227" top="0.59055118110236227" bottom="0.98425196850393704" header="0.51181102362204722" footer="0.51181102362204722"/>
  <pageSetup paperSize="9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9"/>
  <sheetViews>
    <sheetView workbookViewId="0"/>
  </sheetViews>
  <sheetFormatPr defaultColWidth="9.140625" defaultRowHeight="12.75"/>
  <cols>
    <col min="1" max="1" width="27.140625" style="112" customWidth="1"/>
    <col min="2" max="2" width="17.140625" style="112" customWidth="1"/>
    <col min="3" max="3" width="18" style="112" customWidth="1"/>
    <col min="4" max="4" width="15.42578125" style="128" customWidth="1"/>
    <col min="5" max="5" width="10.5703125" style="112" customWidth="1"/>
    <col min="6" max="6" width="21.140625" style="112" customWidth="1"/>
    <col min="7" max="7" width="19.85546875" style="112" customWidth="1"/>
    <col min="8" max="8" width="21.85546875" style="112" customWidth="1"/>
    <col min="9" max="9" width="18.140625" style="112" customWidth="1"/>
    <col min="10" max="16384" width="9.140625" style="112"/>
  </cols>
  <sheetData>
    <row r="1" spans="1:9" ht="15.75">
      <c r="A1" s="110"/>
      <c r="B1" s="110"/>
      <c r="C1" s="110"/>
      <c r="D1" s="111"/>
      <c r="E1" s="361" t="s">
        <v>1222</v>
      </c>
      <c r="F1" s="361"/>
      <c r="G1" s="361"/>
      <c r="H1" s="361"/>
      <c r="I1" s="361"/>
    </row>
    <row r="2" spans="1:9" ht="72" customHeight="1">
      <c r="A2" s="110" t="s">
        <v>1223</v>
      </c>
      <c r="B2" s="110" t="s">
        <v>1224</v>
      </c>
      <c r="C2" s="110" t="s">
        <v>1225</v>
      </c>
      <c r="D2" s="111" t="s">
        <v>1226</v>
      </c>
      <c r="E2" s="113" t="s">
        <v>1227</v>
      </c>
      <c r="F2" s="113" t="s">
        <v>1228</v>
      </c>
      <c r="G2" s="113" t="s">
        <v>1229</v>
      </c>
      <c r="H2" s="113" t="s">
        <v>1230</v>
      </c>
      <c r="I2" s="114" t="s">
        <v>1231</v>
      </c>
    </row>
    <row r="3" spans="1:9" ht="15">
      <c r="A3" s="115" t="s">
        <v>1232</v>
      </c>
      <c r="B3" s="116" t="s">
        <v>1233</v>
      </c>
      <c r="C3" s="117" t="s">
        <v>1234</v>
      </c>
      <c r="D3" s="118">
        <v>9</v>
      </c>
      <c r="E3" s="115" t="s">
        <v>1235</v>
      </c>
      <c r="F3" s="115" t="s">
        <v>1236</v>
      </c>
      <c r="G3" s="119" t="s">
        <v>1237</v>
      </c>
      <c r="H3" s="115" t="s">
        <v>1237</v>
      </c>
      <c r="I3" s="120" t="s">
        <v>1238</v>
      </c>
    </row>
    <row r="4" spans="1:9" ht="15">
      <c r="A4" s="115" t="s">
        <v>1239</v>
      </c>
      <c r="B4" s="116" t="s">
        <v>1233</v>
      </c>
      <c r="C4" s="117" t="s">
        <v>2567</v>
      </c>
      <c r="D4" s="118">
        <v>10</v>
      </c>
      <c r="E4" s="115" t="s">
        <v>1235</v>
      </c>
      <c r="F4" s="115" t="s">
        <v>1236</v>
      </c>
      <c r="G4" s="115" t="s">
        <v>1240</v>
      </c>
      <c r="H4" s="115" t="s">
        <v>1237</v>
      </c>
      <c r="I4" s="120" t="s">
        <v>1238</v>
      </c>
    </row>
    <row r="5" spans="1:9" ht="15">
      <c r="A5" s="115" t="s">
        <v>1241</v>
      </c>
      <c r="B5" s="116" t="s">
        <v>1233</v>
      </c>
      <c r="C5" s="121" t="s">
        <v>1242</v>
      </c>
      <c r="D5" s="118">
        <v>4</v>
      </c>
      <c r="E5" s="115" t="s">
        <v>1235</v>
      </c>
      <c r="F5" s="115" t="s">
        <v>1236</v>
      </c>
      <c r="G5" s="115" t="s">
        <v>1240</v>
      </c>
      <c r="H5" s="115" t="s">
        <v>1237</v>
      </c>
      <c r="I5" s="120" t="s">
        <v>1238</v>
      </c>
    </row>
    <row r="6" spans="1:9" ht="15">
      <c r="A6" s="116" t="s">
        <v>1243</v>
      </c>
      <c r="B6" s="116" t="s">
        <v>1233</v>
      </c>
      <c r="C6" s="121" t="s">
        <v>1244</v>
      </c>
      <c r="D6" s="118">
        <v>16</v>
      </c>
      <c r="E6" s="115" t="s">
        <v>1235</v>
      </c>
      <c r="F6" s="116" t="s">
        <v>1245</v>
      </c>
      <c r="G6" s="115" t="s">
        <v>1237</v>
      </c>
      <c r="H6" s="115" t="s">
        <v>1237</v>
      </c>
      <c r="I6" s="120" t="s">
        <v>1238</v>
      </c>
    </row>
    <row r="7" spans="1:9">
      <c r="A7" s="112" t="s">
        <v>1246</v>
      </c>
      <c r="B7" s="122" t="s">
        <v>1247</v>
      </c>
      <c r="D7" s="123">
        <v>15</v>
      </c>
      <c r="E7" s="112" t="s">
        <v>1237</v>
      </c>
      <c r="F7" s="122" t="s">
        <v>1238</v>
      </c>
      <c r="G7" s="112" t="s">
        <v>1240</v>
      </c>
      <c r="H7" s="112" t="s">
        <v>1237</v>
      </c>
      <c r="I7" s="124" t="s">
        <v>1237</v>
      </c>
    </row>
    <row r="8" spans="1:9" ht="15">
      <c r="A8" s="125" t="s">
        <v>1248</v>
      </c>
      <c r="B8" s="122" t="s">
        <v>1247</v>
      </c>
      <c r="C8" s="125"/>
      <c r="D8" s="126">
        <v>10</v>
      </c>
      <c r="E8" s="112" t="s">
        <v>1237</v>
      </c>
      <c r="F8" s="122" t="s">
        <v>1238</v>
      </c>
      <c r="G8" s="112" t="s">
        <v>1240</v>
      </c>
      <c r="H8" s="125" t="s">
        <v>1237</v>
      </c>
      <c r="I8" s="127" t="s">
        <v>1237</v>
      </c>
    </row>
    <row r="9" spans="1:9">
      <c r="A9" s="112" t="s">
        <v>1249</v>
      </c>
      <c r="B9" s="122" t="s">
        <v>1247</v>
      </c>
      <c r="D9" s="128">
        <v>4</v>
      </c>
      <c r="E9" s="112" t="s">
        <v>1237</v>
      </c>
      <c r="F9" s="122" t="s">
        <v>1238</v>
      </c>
      <c r="G9" s="112" t="s">
        <v>1240</v>
      </c>
      <c r="H9" s="112" t="s">
        <v>1237</v>
      </c>
      <c r="I9" s="124" t="s">
        <v>1237</v>
      </c>
    </row>
    <row r="10" spans="1:9">
      <c r="A10" s="112" t="s">
        <v>1250</v>
      </c>
      <c r="B10" s="122" t="s">
        <v>1247</v>
      </c>
      <c r="D10" s="128">
        <v>6</v>
      </c>
      <c r="E10" s="112" t="s">
        <v>1237</v>
      </c>
      <c r="F10" s="112" t="s">
        <v>1251</v>
      </c>
      <c r="G10" s="122" t="s">
        <v>1237</v>
      </c>
      <c r="H10" s="112" t="s">
        <v>1237</v>
      </c>
      <c r="I10" s="124" t="s">
        <v>1238</v>
      </c>
    </row>
    <row r="11" spans="1:9">
      <c r="A11" s="122" t="s">
        <v>1252</v>
      </c>
      <c r="B11" s="122" t="s">
        <v>1247</v>
      </c>
      <c r="D11" s="128">
        <v>16</v>
      </c>
      <c r="E11" s="112" t="s">
        <v>1237</v>
      </c>
      <c r="F11" s="112" t="s">
        <v>1237</v>
      </c>
      <c r="G11" s="112" t="s">
        <v>1253</v>
      </c>
      <c r="H11" s="112" t="s">
        <v>1237</v>
      </c>
      <c r="I11" s="124" t="s">
        <v>1237</v>
      </c>
    </row>
    <row r="12" spans="1:9">
      <c r="A12" s="112" t="s">
        <v>1254</v>
      </c>
      <c r="B12" s="112" t="s">
        <v>1247</v>
      </c>
      <c r="D12" s="128">
        <v>17</v>
      </c>
      <c r="E12" s="112" t="s">
        <v>1237</v>
      </c>
      <c r="F12" s="112" t="s">
        <v>1237</v>
      </c>
      <c r="G12" s="112" t="s">
        <v>1255</v>
      </c>
      <c r="H12" s="112" t="s">
        <v>1251</v>
      </c>
      <c r="I12" s="124" t="s">
        <v>1237</v>
      </c>
    </row>
    <row r="13" spans="1:9">
      <c r="I13" s="124"/>
    </row>
    <row r="14" spans="1:9">
      <c r="I14" s="124"/>
    </row>
    <row r="15" spans="1:9">
      <c r="A15" s="112" t="s">
        <v>1256</v>
      </c>
      <c r="B15" s="112" t="s">
        <v>1247</v>
      </c>
      <c r="D15" s="128">
        <v>1</v>
      </c>
      <c r="E15" s="112" t="s">
        <v>1237</v>
      </c>
      <c r="F15" s="122" t="s">
        <v>1257</v>
      </c>
      <c r="G15" s="112" t="s">
        <v>1255</v>
      </c>
      <c r="H15" s="112" t="s">
        <v>1251</v>
      </c>
      <c r="I15" s="124" t="s">
        <v>1237</v>
      </c>
    </row>
    <row r="16" spans="1:9">
      <c r="A16" s="112" t="s">
        <v>37</v>
      </c>
      <c r="B16" s="112" t="s">
        <v>1247</v>
      </c>
      <c r="D16" s="128">
        <v>16</v>
      </c>
      <c r="E16" s="112" t="s">
        <v>1237</v>
      </c>
      <c r="F16" s="122" t="s">
        <v>1257</v>
      </c>
      <c r="G16" s="112" t="s">
        <v>1255</v>
      </c>
      <c r="H16" s="112" t="s">
        <v>1251</v>
      </c>
      <c r="I16" s="124" t="s">
        <v>1237</v>
      </c>
    </row>
    <row r="17" spans="1:9">
      <c r="A17" s="112" t="s">
        <v>42</v>
      </c>
      <c r="B17" s="112" t="s">
        <v>1247</v>
      </c>
      <c r="D17" s="128">
        <v>4</v>
      </c>
      <c r="E17" s="112" t="s">
        <v>1237</v>
      </c>
      <c r="F17" s="122" t="s">
        <v>1257</v>
      </c>
      <c r="G17" s="112" t="s">
        <v>1255</v>
      </c>
      <c r="H17" s="112" t="s">
        <v>1251</v>
      </c>
      <c r="I17" s="124" t="s">
        <v>1237</v>
      </c>
    </row>
    <row r="18" spans="1:9">
      <c r="A18" s="112" t="s">
        <v>1258</v>
      </c>
      <c r="B18" s="112" t="s">
        <v>1247</v>
      </c>
      <c r="D18" s="128">
        <v>1</v>
      </c>
      <c r="E18" s="122" t="s">
        <v>1259</v>
      </c>
      <c r="F18" s="122" t="s">
        <v>1257</v>
      </c>
      <c r="G18" s="122" t="s">
        <v>1240</v>
      </c>
      <c r="H18" s="112" t="s">
        <v>1251</v>
      </c>
      <c r="I18" s="124" t="s">
        <v>1237</v>
      </c>
    </row>
    <row r="19" spans="1:9">
      <c r="A19" s="112" t="s">
        <v>1260</v>
      </c>
      <c r="B19" s="112" t="s">
        <v>1247</v>
      </c>
      <c r="D19" s="128">
        <v>20</v>
      </c>
      <c r="E19" s="112" t="s">
        <v>1237</v>
      </c>
      <c r="F19" s="122" t="s">
        <v>1257</v>
      </c>
      <c r="G19" s="112" t="s">
        <v>1255</v>
      </c>
      <c r="H19" s="112" t="s">
        <v>1251</v>
      </c>
      <c r="I19" s="124" t="s">
        <v>1237</v>
      </c>
    </row>
    <row r="20" spans="1:9">
      <c r="A20" s="122" t="s">
        <v>46</v>
      </c>
      <c r="B20" s="112" t="s">
        <v>1247</v>
      </c>
      <c r="D20" s="128">
        <v>48</v>
      </c>
      <c r="E20" s="112" t="s">
        <v>1237</v>
      </c>
      <c r="F20" s="122" t="s">
        <v>1257</v>
      </c>
      <c r="G20" s="122" t="s">
        <v>1251</v>
      </c>
      <c r="H20" s="122" t="s">
        <v>1237</v>
      </c>
      <c r="I20" s="124"/>
    </row>
    <row r="21" spans="1:9">
      <c r="A21" s="122" t="s">
        <v>1218</v>
      </c>
      <c r="B21" s="112" t="s">
        <v>1247</v>
      </c>
      <c r="D21" s="128">
        <v>16</v>
      </c>
      <c r="E21" s="112" t="s">
        <v>1237</v>
      </c>
      <c r="F21" s="122" t="s">
        <v>1251</v>
      </c>
      <c r="G21" s="122" t="s">
        <v>1240</v>
      </c>
      <c r="H21" s="122" t="s">
        <v>1237</v>
      </c>
      <c r="I21" s="124"/>
    </row>
    <row r="22" spans="1:9">
      <c r="A22" s="122" t="s">
        <v>1212</v>
      </c>
      <c r="B22" s="112" t="s">
        <v>1247</v>
      </c>
      <c r="D22" s="128">
        <v>4</v>
      </c>
      <c r="E22" s="112" t="s">
        <v>1237</v>
      </c>
      <c r="F22" s="112" t="s">
        <v>1237</v>
      </c>
      <c r="G22" s="112" t="s">
        <v>1237</v>
      </c>
      <c r="H22" s="112" t="s">
        <v>1237</v>
      </c>
      <c r="I22" s="124"/>
    </row>
    <row r="23" spans="1:9">
      <c r="A23" s="122" t="s">
        <v>1213</v>
      </c>
      <c r="B23" s="112" t="s">
        <v>1247</v>
      </c>
      <c r="D23" s="128">
        <v>16</v>
      </c>
      <c r="E23" s="112" t="s">
        <v>1237</v>
      </c>
      <c r="F23" s="112" t="s">
        <v>1237</v>
      </c>
      <c r="G23" s="112" t="s">
        <v>1237</v>
      </c>
      <c r="H23" s="112" t="s">
        <v>1237</v>
      </c>
      <c r="I23" s="124"/>
    </row>
    <row r="24" spans="1:9">
      <c r="I24" s="124"/>
    </row>
    <row r="25" spans="1:9">
      <c r="A25" s="112" t="s">
        <v>1261</v>
      </c>
      <c r="B25" s="112" t="s">
        <v>1247</v>
      </c>
      <c r="E25" s="112" t="s">
        <v>1259</v>
      </c>
      <c r="F25" s="122" t="s">
        <v>1238</v>
      </c>
      <c r="G25" s="122" t="s">
        <v>1240</v>
      </c>
      <c r="H25" s="122" t="s">
        <v>1240</v>
      </c>
      <c r="I25" s="124" t="s">
        <v>1238</v>
      </c>
    </row>
    <row r="26" spans="1:9">
      <c r="A26" s="112" t="s">
        <v>1262</v>
      </c>
      <c r="B26" s="112" t="s">
        <v>1247</v>
      </c>
      <c r="E26" s="112" t="s">
        <v>1259</v>
      </c>
      <c r="F26" s="122" t="s">
        <v>1238</v>
      </c>
      <c r="G26" s="122" t="s">
        <v>1240</v>
      </c>
      <c r="H26" s="122" t="s">
        <v>1240</v>
      </c>
      <c r="I26" s="124" t="s">
        <v>1238</v>
      </c>
    </row>
    <row r="27" spans="1:9">
      <c r="I27" s="124"/>
    </row>
    <row r="28" spans="1:9">
      <c r="A28" s="112" t="s">
        <v>1263</v>
      </c>
      <c r="B28" s="112" t="s">
        <v>1247</v>
      </c>
      <c r="E28" s="112" t="s">
        <v>1237</v>
      </c>
      <c r="G28" s="112" t="s">
        <v>1255</v>
      </c>
      <c r="H28" s="112" t="s">
        <v>1237</v>
      </c>
      <c r="I28" s="124" t="s">
        <v>1237</v>
      </c>
    </row>
    <row r="29" spans="1:9">
      <c r="A29" s="112" t="s">
        <v>1264</v>
      </c>
      <c r="B29" s="112" t="s">
        <v>1247</v>
      </c>
      <c r="E29" s="112" t="s">
        <v>1237</v>
      </c>
      <c r="G29" s="112" t="s">
        <v>1265</v>
      </c>
      <c r="H29" s="112" t="s">
        <v>1237</v>
      </c>
    </row>
  </sheetData>
  <mergeCells count="1">
    <mergeCell ref="E1:I1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NVM_Block_Config"/>
  <dimension ref="A1:AT1037"/>
  <sheetViews>
    <sheetView tabSelected="1" topLeftCell="A25" zoomScale="90" zoomScaleNormal="90" workbookViewId="0">
      <pane xSplit="4" topLeftCell="E1" activePane="topRight" state="frozen"/>
      <selection activeCell="G112" sqref="G112"/>
      <selection pane="topRight" activeCell="E26" sqref="E26"/>
    </sheetView>
  </sheetViews>
  <sheetFormatPr defaultColWidth="8.85546875" defaultRowHeight="12.75"/>
  <cols>
    <col min="1" max="1" width="8.85546875" style="27"/>
    <col min="2" max="2" width="11.42578125" style="27" bestFit="1" customWidth="1"/>
    <col min="3" max="3" width="8.28515625" style="27" bestFit="1" customWidth="1"/>
    <col min="4" max="4" width="35.28515625" style="27" customWidth="1"/>
    <col min="5" max="5" width="12.42578125" style="27" customWidth="1"/>
    <col min="6" max="6" width="12.140625" style="27" customWidth="1"/>
    <col min="7" max="8" width="11.85546875" style="27" customWidth="1"/>
    <col min="9" max="9" width="8.85546875" style="27"/>
    <col min="10" max="10" width="9.42578125" style="27" bestFit="1" customWidth="1"/>
    <col min="11" max="11" width="9.42578125" style="27" customWidth="1"/>
    <col min="12" max="12" width="23.28515625" style="27" customWidth="1"/>
    <col min="13" max="13" width="8.85546875" style="75"/>
    <col min="14" max="14" width="10.85546875" style="287" customWidth="1"/>
    <col min="15" max="17" width="8.85546875" style="75"/>
    <col min="18" max="18" width="12.7109375" style="75" customWidth="1"/>
    <col min="19" max="19" width="8.140625" style="75" customWidth="1"/>
    <col min="20" max="20" width="39.85546875" style="102" bestFit="1" customWidth="1"/>
    <col min="21" max="21" width="31.140625" style="102" customWidth="1"/>
    <col min="22" max="22" width="48.140625" style="102" customWidth="1"/>
    <col min="23" max="23" width="34.28515625" style="102" customWidth="1"/>
    <col min="24" max="24" width="28.5703125" style="102" customWidth="1"/>
    <col min="25" max="25" width="21.42578125" style="102" customWidth="1"/>
    <col min="26" max="46" width="8.85546875" style="75"/>
    <col min="47" max="16384" width="8.85546875" style="27"/>
  </cols>
  <sheetData>
    <row r="1" spans="1:46" s="28" customFormat="1" ht="34.5" customHeight="1">
      <c r="A1" s="67" t="s">
        <v>38</v>
      </c>
      <c r="B1" s="67" t="s">
        <v>39</v>
      </c>
      <c r="C1" s="67" t="s">
        <v>40</v>
      </c>
      <c r="D1" s="67" t="s">
        <v>41</v>
      </c>
      <c r="E1" s="67" t="s">
        <v>36</v>
      </c>
      <c r="F1" s="68" t="s">
        <v>19</v>
      </c>
      <c r="G1" s="68" t="s">
        <v>50</v>
      </c>
      <c r="H1" s="67" t="s">
        <v>67</v>
      </c>
      <c r="I1" s="67" t="s">
        <v>23</v>
      </c>
      <c r="J1" s="67" t="s">
        <v>52</v>
      </c>
      <c r="K1" s="67" t="s">
        <v>57</v>
      </c>
      <c r="L1" s="67" t="s">
        <v>53</v>
      </c>
      <c r="M1" s="68" t="s">
        <v>277</v>
      </c>
      <c r="N1" s="314" t="s">
        <v>2563</v>
      </c>
      <c r="O1" s="72"/>
      <c r="P1" s="72"/>
      <c r="Q1" s="73"/>
      <c r="R1" s="73"/>
      <c r="S1" s="73"/>
      <c r="T1" s="73" t="s">
        <v>757</v>
      </c>
      <c r="U1" s="73" t="s">
        <v>755</v>
      </c>
      <c r="V1" s="73" t="s">
        <v>754</v>
      </c>
      <c r="W1" s="73" t="s">
        <v>756</v>
      </c>
      <c r="X1" s="73" t="s">
        <v>758</v>
      </c>
      <c r="Y1" s="103" t="s">
        <v>759</v>
      </c>
      <c r="Z1" s="73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</row>
    <row r="2" spans="1:46" s="56" customFormat="1">
      <c r="A2" s="356">
        <v>1</v>
      </c>
      <c r="B2" s="356">
        <v>1</v>
      </c>
      <c r="C2" s="70">
        <v>0</v>
      </c>
      <c r="D2" s="96" t="s">
        <v>37</v>
      </c>
      <c r="E2" s="108" t="str">
        <f t="shared" ref="E2:E11" si="0" xml:space="preserve"> DEC2HEX((C2)*256 + 1)</f>
        <v>1</v>
      </c>
      <c r="F2" s="77">
        <v>16</v>
      </c>
      <c r="G2" s="77" t="s">
        <v>51</v>
      </c>
      <c r="H2" s="77" t="s">
        <v>54</v>
      </c>
      <c r="I2" s="77" t="s">
        <v>54</v>
      </c>
      <c r="J2" s="77" t="s">
        <v>54</v>
      </c>
      <c r="K2" s="77" t="s">
        <v>54</v>
      </c>
      <c r="L2" s="78" t="s">
        <v>56</v>
      </c>
      <c r="M2" s="77" t="s">
        <v>55</v>
      </c>
      <c r="N2" s="315"/>
      <c r="O2" s="74"/>
      <c r="P2" s="74"/>
      <c r="Q2" s="75"/>
      <c r="R2" s="75"/>
      <c r="S2" s="75"/>
      <c r="T2" s="104" t="s">
        <v>721</v>
      </c>
      <c r="U2" s="102" t="str">
        <f>"NvBlockId_" &amp; $D2 &amp;","</f>
        <v>NvBlockId_SKC,</v>
      </c>
      <c r="V2" s="102" t="str">
        <f>"u8 NvMirror_" &amp; $D2 &amp;"[NvMBlockLength_" &amp; $D2 &amp; "];"</f>
        <v>u8 NvMirror_SKC[NvMBlockLength_SKC];</v>
      </c>
      <c r="W2" s="102" t="str">
        <f>"NvMBlockHeader | (u32)((NvMBlockLength_" &amp; $D2 &amp;"&gt;&gt; 1) &lt;&lt; 8) | " &amp; $U2</f>
        <v>NvMBlockHeader | (u32)((NvMBlockLength_SKC&gt;&gt; 1) &lt;&lt; 8) | NvBlockId_SKC,</v>
      </c>
      <c r="X2" s="102" t="str">
        <f>"NvMBlockLength_" &amp; $D2 &amp; ","</f>
        <v>NvMBlockLength_SKC,</v>
      </c>
      <c r="Y2" s="102" t="str">
        <f>"{"&amp;$U2&amp;" NvMirror_"&amp;$D2&amp;", "&amp;(IF($I2="No","NULL",($D2 &amp; "_Default"))&amp;"},")</f>
        <v>{NvBlockId_SKC, NvMirror_SKC, NULL},</v>
      </c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</row>
    <row r="3" spans="1:46" s="56" customFormat="1">
      <c r="A3" s="357"/>
      <c r="B3" s="357"/>
      <c r="C3" s="70">
        <v>1</v>
      </c>
      <c r="D3" s="96" t="s">
        <v>42</v>
      </c>
      <c r="E3" s="108" t="str">
        <f t="shared" si="0"/>
        <v>101</v>
      </c>
      <c r="F3" s="77">
        <v>4</v>
      </c>
      <c r="G3" s="77" t="s">
        <v>51</v>
      </c>
      <c r="H3" s="77" t="s">
        <v>54</v>
      </c>
      <c r="I3" s="77" t="s">
        <v>54</v>
      </c>
      <c r="J3" s="77" t="s">
        <v>54</v>
      </c>
      <c r="K3" s="77" t="s">
        <v>54</v>
      </c>
      <c r="L3" s="78" t="s">
        <v>56</v>
      </c>
      <c r="M3" s="77" t="s">
        <v>55</v>
      </c>
      <c r="N3" s="315"/>
      <c r="O3" s="74"/>
      <c r="P3" s="74"/>
      <c r="Q3" s="75"/>
      <c r="R3" s="75"/>
      <c r="S3" s="75"/>
      <c r="T3" s="102" t="s">
        <v>722</v>
      </c>
      <c r="U3" s="102" t="str">
        <f t="shared" ref="U3:U59" si="1">"NvBlockId_" &amp; $D3 &amp;","</f>
        <v>NvBlockId_SC,</v>
      </c>
      <c r="V3" s="102" t="str">
        <f t="shared" ref="V3:V59" si="2">"u8 NvMirror_" &amp; $D3 &amp;"[NvMBlockLength_" &amp; $D3 &amp; "];"</f>
        <v>u8 NvMirror_SC[NvMBlockLength_SC];</v>
      </c>
      <c r="W3" s="102" t="str">
        <f t="shared" ref="W3:W59" si="3">"NvMBlockHeader | (u32)((NvMBlockLength_" &amp; $D3 &amp;"&gt;&gt; 1) &lt;&lt; 8) | " &amp; $U3</f>
        <v>NvMBlockHeader | (u32)((NvMBlockLength_SC&gt;&gt; 1) &lt;&lt; 8) | NvBlockId_SC,</v>
      </c>
      <c r="X3" s="102" t="str">
        <f t="shared" ref="X3:X59" si="4">"NvMBlockLength_" &amp; $D3 &amp; ","</f>
        <v>NvMBlockLength_SC,</v>
      </c>
      <c r="Y3" s="102" t="str">
        <f t="shared" ref="Y3:Y59" si="5">"{"&amp;$U3&amp;" NvMirror_"&amp;$D3&amp;", "&amp;(IF($I3="No","NULL",($D3 &amp; "_Default"))&amp;"},")</f>
        <v>{NvBlockId_SC, NvMirror_SC, NULL},</v>
      </c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</row>
    <row r="4" spans="1:46" s="56" customFormat="1">
      <c r="A4" s="357"/>
      <c r="B4" s="357"/>
      <c r="C4" s="70">
        <v>2</v>
      </c>
      <c r="D4" s="96" t="s">
        <v>43</v>
      </c>
      <c r="E4" s="108" t="str">
        <f t="shared" si="0"/>
        <v>201</v>
      </c>
      <c r="F4" s="77">
        <v>4</v>
      </c>
      <c r="G4" s="77" t="s">
        <v>51</v>
      </c>
      <c r="H4" s="77" t="s">
        <v>54</v>
      </c>
      <c r="I4" s="77" t="s">
        <v>55</v>
      </c>
      <c r="J4" s="77" t="s">
        <v>54</v>
      </c>
      <c r="K4" s="77" t="s">
        <v>54</v>
      </c>
      <c r="L4" s="78" t="s">
        <v>56</v>
      </c>
      <c r="M4" s="77" t="s">
        <v>55</v>
      </c>
      <c r="N4" s="315"/>
      <c r="O4" s="74"/>
      <c r="P4" s="74"/>
      <c r="Q4" s="75"/>
      <c r="R4" s="75"/>
      <c r="S4" s="75"/>
      <c r="T4" s="102" t="s">
        <v>723</v>
      </c>
      <c r="U4" s="102" t="str">
        <f t="shared" si="1"/>
        <v>NvBlockId_ECU_State,</v>
      </c>
      <c r="V4" s="102" t="str">
        <f t="shared" si="2"/>
        <v>u8 NvMirror_ECU_State[NvMBlockLength_ECU_State];</v>
      </c>
      <c r="W4" s="102" t="str">
        <f t="shared" si="3"/>
        <v>NvMBlockHeader | (u32)((NvMBlockLength_ECU_State&gt;&gt; 1) &lt;&lt; 8) | NvBlockId_ECU_State,</v>
      </c>
      <c r="X4" s="102" t="str">
        <f t="shared" si="4"/>
        <v>NvMBlockLength_ECU_State,</v>
      </c>
      <c r="Y4" s="102" t="str">
        <f t="shared" si="5"/>
        <v>{NvBlockId_ECU_State, NvMirror_ECU_State, ECU_State_Default},</v>
      </c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</row>
    <row r="5" spans="1:46" s="56" customFormat="1">
      <c r="A5" s="357"/>
      <c r="B5" s="357"/>
      <c r="C5" s="70">
        <v>3</v>
      </c>
      <c r="D5" s="96" t="s">
        <v>44</v>
      </c>
      <c r="E5" s="108" t="str">
        <f t="shared" si="0"/>
        <v>301</v>
      </c>
      <c r="F5" s="77">
        <v>76</v>
      </c>
      <c r="G5" s="77" t="s">
        <v>51</v>
      </c>
      <c r="H5" s="77" t="s">
        <v>54</v>
      </c>
      <c r="I5" s="77" t="s">
        <v>55</v>
      </c>
      <c r="J5" s="77" t="s">
        <v>55</v>
      </c>
      <c r="K5" s="77" t="s">
        <v>54</v>
      </c>
      <c r="L5" s="78" t="s">
        <v>56</v>
      </c>
      <c r="M5" s="77" t="s">
        <v>55</v>
      </c>
      <c r="N5" s="315" t="s">
        <v>3292</v>
      </c>
      <c r="O5" s="74"/>
      <c r="P5" s="74"/>
      <c r="Q5" s="75"/>
      <c r="R5" s="75"/>
      <c r="S5" s="75"/>
      <c r="T5" s="102" t="s">
        <v>724</v>
      </c>
      <c r="U5" s="102" t="str">
        <f t="shared" si="1"/>
        <v>NvBlockId_HellaProductionData,</v>
      </c>
      <c r="V5" s="102" t="str">
        <f t="shared" si="2"/>
        <v>u8 NvMirror_HellaProductionData[NvMBlockLength_HellaProductionData];</v>
      </c>
      <c r="W5" s="102" t="str">
        <f t="shared" si="3"/>
        <v>NvMBlockHeader | (u32)((NvMBlockLength_HellaProductionData&gt;&gt; 1) &lt;&lt; 8) | NvBlockId_HellaProductionData,</v>
      </c>
      <c r="X5" s="102" t="str">
        <f t="shared" si="4"/>
        <v>NvMBlockLength_HellaProductionData,</v>
      </c>
      <c r="Y5" s="102" t="str">
        <f t="shared" si="5"/>
        <v>{NvBlockId_HellaProductionData, NvMirror_HellaProductionData, HellaProductionData_Default},</v>
      </c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</row>
    <row r="6" spans="1:46" s="56" customFormat="1">
      <c r="A6" s="357"/>
      <c r="B6" s="357"/>
      <c r="C6" s="70">
        <v>4</v>
      </c>
      <c r="D6" s="96" t="s">
        <v>45</v>
      </c>
      <c r="E6" s="108" t="str">
        <f t="shared" si="0"/>
        <v>401</v>
      </c>
      <c r="F6" s="77">
        <v>24</v>
      </c>
      <c r="G6" s="77" t="s">
        <v>51</v>
      </c>
      <c r="H6" s="77" t="s">
        <v>54</v>
      </c>
      <c r="I6" s="77" t="s">
        <v>54</v>
      </c>
      <c r="J6" s="77" t="s">
        <v>54</v>
      </c>
      <c r="K6" s="77" t="s">
        <v>54</v>
      </c>
      <c r="L6" s="78" t="s">
        <v>56</v>
      </c>
      <c r="M6" s="77" t="s">
        <v>55</v>
      </c>
      <c r="N6" s="315"/>
      <c r="O6" s="74"/>
      <c r="P6" s="74"/>
      <c r="Q6" s="75"/>
      <c r="R6" s="75"/>
      <c r="S6" s="75"/>
      <c r="T6" s="102" t="s">
        <v>725</v>
      </c>
      <c r="U6" s="102" t="str">
        <f t="shared" si="1"/>
        <v>NvBlockId_UIDTransmitterID,</v>
      </c>
      <c r="V6" s="102" t="str">
        <f t="shared" si="2"/>
        <v>u8 NvMirror_UIDTransmitterID[NvMBlockLength_UIDTransmitterID];</v>
      </c>
      <c r="W6" s="102" t="str">
        <f t="shared" si="3"/>
        <v>NvMBlockHeader | (u32)((NvMBlockLength_UIDTransmitterID&gt;&gt; 1) &lt;&lt; 8) | NvBlockId_UIDTransmitterID,</v>
      </c>
      <c r="X6" s="102" t="str">
        <f t="shared" si="4"/>
        <v>NvMBlockLength_UIDTransmitterID,</v>
      </c>
      <c r="Y6" s="102" t="str">
        <f t="shared" si="5"/>
        <v>{NvBlockId_UIDTransmitterID, NvMirror_UIDTransmitterID, NULL},</v>
      </c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</row>
    <row r="7" spans="1:46" s="56" customFormat="1">
      <c r="A7" s="357"/>
      <c r="B7" s="357"/>
      <c r="C7" s="70">
        <v>5</v>
      </c>
      <c r="D7" s="96" t="s">
        <v>46</v>
      </c>
      <c r="E7" s="108" t="str">
        <f t="shared" si="0"/>
        <v>501</v>
      </c>
      <c r="F7" s="77">
        <v>48</v>
      </c>
      <c r="G7" s="77" t="s">
        <v>51</v>
      </c>
      <c r="H7" s="77" t="s">
        <v>54</v>
      </c>
      <c r="I7" s="77" t="s">
        <v>54</v>
      </c>
      <c r="J7" s="77" t="s">
        <v>55</v>
      </c>
      <c r="K7" s="77" t="s">
        <v>54</v>
      </c>
      <c r="L7" s="78" t="s">
        <v>56</v>
      </c>
      <c r="M7" s="77"/>
      <c r="N7" s="315" t="s">
        <v>2956</v>
      </c>
      <c r="O7" s="74"/>
      <c r="P7" s="74"/>
      <c r="Q7" s="75"/>
      <c r="R7" s="75"/>
      <c r="S7" s="75"/>
      <c r="T7" s="102" t="s">
        <v>726</v>
      </c>
      <c r="U7" s="102" t="str">
        <f t="shared" si="1"/>
        <v>NvBlockId_EOLData,</v>
      </c>
      <c r="V7" s="102" t="str">
        <f t="shared" si="2"/>
        <v>u8 NvMirror_EOLData[NvMBlockLength_EOLData];</v>
      </c>
      <c r="W7" s="102" t="str">
        <f t="shared" si="3"/>
        <v>NvMBlockHeader | (u32)((NvMBlockLength_EOLData&gt;&gt; 1) &lt;&lt; 8) | NvBlockId_EOLData,</v>
      </c>
      <c r="X7" s="102" t="str">
        <f t="shared" si="4"/>
        <v>NvMBlockLength_EOLData,</v>
      </c>
      <c r="Y7" s="102" t="str">
        <f t="shared" si="5"/>
        <v>{NvBlockId_EOLData, NvMirror_EOLData, NULL},</v>
      </c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</row>
    <row r="8" spans="1:46" s="56" customFormat="1">
      <c r="A8" s="357"/>
      <c r="B8" s="357"/>
      <c r="C8" s="70">
        <v>6</v>
      </c>
      <c r="D8" s="96" t="s">
        <v>1218</v>
      </c>
      <c r="E8" s="108" t="str">
        <f t="shared" si="0"/>
        <v>601</v>
      </c>
      <c r="F8" s="77">
        <v>16</v>
      </c>
      <c r="G8" s="77" t="s">
        <v>51</v>
      </c>
      <c r="H8" s="77" t="s">
        <v>54</v>
      </c>
      <c r="I8" s="77" t="s">
        <v>54</v>
      </c>
      <c r="J8" s="77" t="s">
        <v>54</v>
      </c>
      <c r="K8" s="77" t="s">
        <v>54</v>
      </c>
      <c r="L8" s="78" t="s">
        <v>56</v>
      </c>
      <c r="M8" s="77"/>
      <c r="N8" s="315"/>
      <c r="O8" s="74"/>
      <c r="P8" s="74"/>
      <c r="Q8" s="75"/>
      <c r="R8" s="75"/>
      <c r="S8" s="75"/>
      <c r="T8" s="102" t="s">
        <v>1542</v>
      </c>
      <c r="U8" s="102" t="str">
        <f t="shared" si="1"/>
        <v>NvBlockId_ICTData,</v>
      </c>
      <c r="V8" s="102" t="str">
        <f t="shared" si="2"/>
        <v>u8 NvMirror_ICTData[NvMBlockLength_ICTData];</v>
      </c>
      <c r="W8" s="102" t="str">
        <f t="shared" si="3"/>
        <v>NvMBlockHeader | (u32)((NvMBlockLength_ICTData&gt;&gt; 1) &lt;&lt; 8) | NvBlockId_ICTData,</v>
      </c>
      <c r="X8" s="102" t="str">
        <f t="shared" si="4"/>
        <v>NvMBlockLength_ICTData,</v>
      </c>
      <c r="Y8" s="102" t="str">
        <f t="shared" si="5"/>
        <v>{NvBlockId_ICTData, NvMirror_ICTData, NULL},</v>
      </c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</row>
    <row r="9" spans="1:46" s="56" customFormat="1">
      <c r="A9" s="357"/>
      <c r="B9" s="357"/>
      <c r="C9" s="70">
        <v>7</v>
      </c>
      <c r="D9" s="109" t="s">
        <v>1219</v>
      </c>
      <c r="E9" s="108" t="str">
        <f t="shared" si="0"/>
        <v>701</v>
      </c>
      <c r="F9" s="77">
        <v>152</v>
      </c>
      <c r="G9" s="77" t="s">
        <v>51</v>
      </c>
      <c r="H9" s="77" t="s">
        <v>54</v>
      </c>
      <c r="I9" s="77" t="s">
        <v>55</v>
      </c>
      <c r="J9" s="77" t="s">
        <v>55</v>
      </c>
      <c r="K9" s="77" t="s">
        <v>54</v>
      </c>
      <c r="L9" s="78" t="s">
        <v>56</v>
      </c>
      <c r="M9" s="77"/>
      <c r="N9" s="315" t="s">
        <v>3293</v>
      </c>
      <c r="O9" s="74"/>
      <c r="P9" s="74"/>
      <c r="Q9" s="75"/>
      <c r="R9" s="75"/>
      <c r="S9" s="75"/>
      <c r="T9" s="102" t="s">
        <v>1543</v>
      </c>
      <c r="U9" s="102" t="str">
        <f t="shared" si="1"/>
        <v>NvBlockId_CustomerEOLData,</v>
      </c>
      <c r="V9" s="102" t="str">
        <f t="shared" si="2"/>
        <v>u8 NvMirror_CustomerEOLData[NvMBlockLength_CustomerEOLData];</v>
      </c>
      <c r="W9" s="102" t="str">
        <f t="shared" si="3"/>
        <v>NvMBlockHeader | (u32)((NvMBlockLength_CustomerEOLData&gt;&gt; 1) &lt;&lt; 8) | NvBlockId_CustomerEOLData,</v>
      </c>
      <c r="X9" s="102" t="str">
        <f t="shared" si="4"/>
        <v>NvMBlockLength_CustomerEOLData,</v>
      </c>
      <c r="Y9" s="102" t="str">
        <f t="shared" si="5"/>
        <v>{NvBlockId_CustomerEOLData, NvMirror_CustomerEOLData, CustomerEOLData_Default},</v>
      </c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</row>
    <row r="10" spans="1:46" s="56" customFormat="1">
      <c r="A10" s="357"/>
      <c r="B10" s="357"/>
      <c r="C10" s="70">
        <v>8</v>
      </c>
      <c r="D10" s="96" t="s">
        <v>1212</v>
      </c>
      <c r="E10" s="108" t="str">
        <f t="shared" si="0"/>
        <v>801</v>
      </c>
      <c r="F10" s="77">
        <v>4</v>
      </c>
      <c r="G10" s="77" t="s">
        <v>51</v>
      </c>
      <c r="H10" s="77" t="s">
        <v>54</v>
      </c>
      <c r="I10" s="77" t="s">
        <v>54</v>
      </c>
      <c r="J10" s="77" t="s">
        <v>54</v>
      </c>
      <c r="K10" s="77" t="s">
        <v>54</v>
      </c>
      <c r="L10" s="78" t="s">
        <v>56</v>
      </c>
      <c r="M10" s="78" t="s">
        <v>54</v>
      </c>
      <c r="N10" s="315" t="s">
        <v>2733</v>
      </c>
      <c r="O10" s="74"/>
      <c r="P10" s="74"/>
      <c r="Q10" s="75"/>
      <c r="R10" s="75"/>
      <c r="S10" s="75"/>
      <c r="T10" s="102" t="s">
        <v>1544</v>
      </c>
      <c r="U10" s="102" t="str">
        <f t="shared" si="1"/>
        <v>NvBlockId_FBLData1,</v>
      </c>
      <c r="V10" s="102" t="str">
        <f t="shared" si="2"/>
        <v>u8 NvMirror_FBLData1[NvMBlockLength_FBLData1];</v>
      </c>
      <c r="W10" s="102" t="str">
        <f t="shared" si="3"/>
        <v>NvMBlockHeader | (u32)((NvMBlockLength_FBLData1&gt;&gt; 1) &lt;&lt; 8) | NvBlockId_FBLData1,</v>
      </c>
      <c r="X10" s="102" t="str">
        <f t="shared" si="4"/>
        <v>NvMBlockLength_FBLData1,</v>
      </c>
      <c r="Y10" s="102" t="str">
        <f t="shared" si="5"/>
        <v>{NvBlockId_FBLData1, NvMirror_FBLData1, NULL},</v>
      </c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</row>
    <row r="11" spans="1:46" s="56" customFormat="1">
      <c r="A11" s="357"/>
      <c r="B11" s="357"/>
      <c r="C11" s="70">
        <v>9</v>
      </c>
      <c r="D11" s="96" t="s">
        <v>1213</v>
      </c>
      <c r="E11" s="108" t="str">
        <f t="shared" si="0"/>
        <v>901</v>
      </c>
      <c r="F11" s="77">
        <v>16</v>
      </c>
      <c r="G11" s="77" t="s">
        <v>51</v>
      </c>
      <c r="H11" s="77" t="s">
        <v>54</v>
      </c>
      <c r="I11" s="77" t="s">
        <v>54</v>
      </c>
      <c r="J11" s="77" t="s">
        <v>54</v>
      </c>
      <c r="K11" s="77" t="s">
        <v>54</v>
      </c>
      <c r="L11" s="78" t="s">
        <v>56</v>
      </c>
      <c r="M11" s="78" t="s">
        <v>54</v>
      </c>
      <c r="N11" s="315"/>
      <c r="O11" s="74"/>
      <c r="P11" s="74"/>
      <c r="Q11" s="75"/>
      <c r="R11" s="75"/>
      <c r="S11" s="75"/>
      <c r="T11" s="102" t="s">
        <v>1545</v>
      </c>
      <c r="U11" s="102" t="str">
        <f t="shared" si="1"/>
        <v>NvBlockId_FBLData2,</v>
      </c>
      <c r="V11" s="102" t="str">
        <f t="shared" si="2"/>
        <v>u8 NvMirror_FBLData2[NvMBlockLength_FBLData2];</v>
      </c>
      <c r="W11" s="102" t="str">
        <f t="shared" si="3"/>
        <v>NvMBlockHeader | (u32)((NvMBlockLength_FBLData2&gt;&gt; 1) &lt;&lt; 8) | NvBlockId_FBLData2,</v>
      </c>
      <c r="X11" s="102" t="str">
        <f t="shared" si="4"/>
        <v>NvMBlockLength_FBLData2,</v>
      </c>
      <c r="Y11" s="102" t="str">
        <f t="shared" si="5"/>
        <v>{NvBlockId_FBLData2, NvMirror_FBLData2, NULL},</v>
      </c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</row>
    <row r="12" spans="1:46" s="56" customFormat="1">
      <c r="A12" s="356">
        <v>2</v>
      </c>
      <c r="B12" s="356">
        <v>2</v>
      </c>
      <c r="C12" s="70">
        <v>10</v>
      </c>
      <c r="D12" s="96" t="s">
        <v>511</v>
      </c>
      <c r="E12" s="71" t="str">
        <f t="shared" ref="E12:E59" si="6" xml:space="preserve"> DEC2HEX((C12)*256 + 1)</f>
        <v>A01</v>
      </c>
      <c r="F12" s="77">
        <v>16</v>
      </c>
      <c r="G12" s="69" t="s">
        <v>87</v>
      </c>
      <c r="H12" s="69" t="s">
        <v>55</v>
      </c>
      <c r="I12" s="69" t="s">
        <v>55</v>
      </c>
      <c r="J12" s="69" t="s">
        <v>55</v>
      </c>
      <c r="K12" s="69" t="s">
        <v>54</v>
      </c>
      <c r="L12" s="78" t="s">
        <v>88</v>
      </c>
      <c r="M12" s="69" t="s">
        <v>55</v>
      </c>
      <c r="N12" s="315" t="s">
        <v>3012</v>
      </c>
      <c r="O12" s="74"/>
      <c r="P12" s="74"/>
      <c r="Q12" s="75"/>
      <c r="R12" s="75"/>
      <c r="S12" s="75"/>
      <c r="T12" s="102" t="s">
        <v>727</v>
      </c>
      <c r="U12" s="102" t="str">
        <f t="shared" si="1"/>
        <v>NvBlockId_CodingHella,</v>
      </c>
      <c r="V12" s="102" t="str">
        <f t="shared" si="2"/>
        <v>u8 NvMirror_CodingHella[NvMBlockLength_CodingHella];</v>
      </c>
      <c r="W12" s="102" t="str">
        <f t="shared" si="3"/>
        <v>NvMBlockHeader | (u32)((NvMBlockLength_CodingHella&gt;&gt; 1) &lt;&lt; 8) | NvBlockId_CodingHella,</v>
      </c>
      <c r="X12" s="102" t="str">
        <f t="shared" si="4"/>
        <v>NvMBlockLength_CodingHella,</v>
      </c>
      <c r="Y12" s="102" t="str">
        <f t="shared" si="5"/>
        <v>{NvBlockId_CodingHella, NvMirror_CodingHella, CodingHella_Default},</v>
      </c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</row>
    <row r="13" spans="1:46" s="56" customFormat="1">
      <c r="A13" s="357"/>
      <c r="B13" s="357"/>
      <c r="C13" s="70">
        <v>11</v>
      </c>
      <c r="D13" s="96" t="s">
        <v>512</v>
      </c>
      <c r="E13" s="71" t="str">
        <f t="shared" si="6"/>
        <v>B01</v>
      </c>
      <c r="F13" s="77">
        <v>4</v>
      </c>
      <c r="G13" s="69" t="s">
        <v>87</v>
      </c>
      <c r="H13" s="69" t="s">
        <v>55</v>
      </c>
      <c r="I13" s="69" t="s">
        <v>55</v>
      </c>
      <c r="J13" s="69" t="s">
        <v>55</v>
      </c>
      <c r="K13" s="69" t="s">
        <v>54</v>
      </c>
      <c r="L13" s="78" t="s">
        <v>88</v>
      </c>
      <c r="M13" s="69" t="s">
        <v>55</v>
      </c>
      <c r="N13" s="315" t="s">
        <v>3294</v>
      </c>
      <c r="O13" s="74"/>
      <c r="P13" s="74"/>
      <c r="Q13" s="75"/>
      <c r="R13" s="75"/>
      <c r="S13" s="75"/>
      <c r="T13" s="102" t="s">
        <v>728</v>
      </c>
      <c r="U13" s="102" t="str">
        <f t="shared" si="1"/>
        <v>NvBlockId_CodingGeely,</v>
      </c>
      <c r="V13" s="102" t="str">
        <f t="shared" si="2"/>
        <v>u8 NvMirror_CodingGeely[NvMBlockLength_CodingGeely];</v>
      </c>
      <c r="W13" s="102" t="str">
        <f t="shared" si="3"/>
        <v>NvMBlockHeader | (u32)((NvMBlockLength_CodingGeely&gt;&gt; 1) &lt;&lt; 8) | NvBlockId_CodingGeely,</v>
      </c>
      <c r="X13" s="102" t="str">
        <f t="shared" si="4"/>
        <v>NvMBlockLength_CodingGeely,</v>
      </c>
      <c r="Y13" s="102" t="str">
        <f t="shared" si="5"/>
        <v>{NvBlockId_CodingGeely, NvMirror_CodingGeely, CodingGeely_Default},</v>
      </c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</row>
    <row r="14" spans="1:46" s="56" customFormat="1">
      <c r="A14" s="357"/>
      <c r="B14" s="357"/>
      <c r="C14" s="70">
        <v>12</v>
      </c>
      <c r="D14" s="96" t="s">
        <v>514</v>
      </c>
      <c r="E14" s="71" t="str">
        <f t="shared" si="6"/>
        <v>C01</v>
      </c>
      <c r="F14" s="77">
        <v>4</v>
      </c>
      <c r="G14" s="69" t="s">
        <v>87</v>
      </c>
      <c r="H14" s="69" t="s">
        <v>55</v>
      </c>
      <c r="I14" s="69" t="s">
        <v>55</v>
      </c>
      <c r="J14" s="69" t="s">
        <v>55</v>
      </c>
      <c r="K14" s="69" t="s">
        <v>54</v>
      </c>
      <c r="L14" s="78" t="s">
        <v>88</v>
      </c>
      <c r="M14" s="69" t="s">
        <v>55</v>
      </c>
      <c r="N14" s="315" t="s">
        <v>3295</v>
      </c>
      <c r="O14" s="74"/>
      <c r="P14" s="74"/>
      <c r="Q14" s="75"/>
      <c r="R14" s="75"/>
      <c r="S14" s="75"/>
      <c r="T14" s="102" t="s">
        <v>729</v>
      </c>
      <c r="U14" s="102" t="str">
        <f t="shared" si="1"/>
        <v>NvBlockId_CodingUser,</v>
      </c>
      <c r="V14" s="102" t="str">
        <f t="shared" si="2"/>
        <v>u8 NvMirror_CodingUser[NvMBlockLength_CodingUser];</v>
      </c>
      <c r="W14" s="102" t="str">
        <f t="shared" si="3"/>
        <v>NvMBlockHeader | (u32)((NvMBlockLength_CodingUser&gt;&gt; 1) &lt;&lt; 8) | NvBlockId_CodingUser,</v>
      </c>
      <c r="X14" s="102" t="str">
        <f t="shared" si="4"/>
        <v>NvMBlockLength_CodingUser,</v>
      </c>
      <c r="Y14" s="102" t="str">
        <f t="shared" si="5"/>
        <v>{NvBlockId_CodingUser, NvMirror_CodingUser, CodingUser_Default},</v>
      </c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</row>
    <row r="15" spans="1:46" s="56" customFormat="1">
      <c r="A15" s="357"/>
      <c r="B15" s="357"/>
      <c r="C15" s="70">
        <v>13</v>
      </c>
      <c r="D15" s="96" t="s">
        <v>69</v>
      </c>
      <c r="E15" s="71" t="str">
        <f t="shared" si="6"/>
        <v>D01</v>
      </c>
      <c r="F15" s="77">
        <v>36</v>
      </c>
      <c r="G15" s="69" t="s">
        <v>51</v>
      </c>
      <c r="H15" s="69" t="s">
        <v>55</v>
      </c>
      <c r="I15" s="69" t="s">
        <v>55</v>
      </c>
      <c r="J15" s="69" t="s">
        <v>55</v>
      </c>
      <c r="K15" s="69" t="s">
        <v>54</v>
      </c>
      <c r="L15" s="78" t="s">
        <v>89</v>
      </c>
      <c r="M15" s="69" t="s">
        <v>55</v>
      </c>
      <c r="N15" s="315" t="s">
        <v>3296</v>
      </c>
      <c r="O15" s="74"/>
      <c r="P15" s="74"/>
      <c r="Q15" s="75"/>
      <c r="R15" s="75"/>
      <c r="S15" s="75"/>
      <c r="T15" s="102" t="s">
        <v>730</v>
      </c>
      <c r="U15" s="102" t="str">
        <f t="shared" si="1"/>
        <v>NvBlockId_ASILAParameter,</v>
      </c>
      <c r="V15" s="102" t="str">
        <f t="shared" si="2"/>
        <v>u8 NvMirror_ASILAParameter[NvMBlockLength_ASILAParameter];</v>
      </c>
      <c r="W15" s="102" t="str">
        <f t="shared" si="3"/>
        <v>NvMBlockHeader | (u32)((NvMBlockLength_ASILAParameter&gt;&gt; 1) &lt;&lt; 8) | NvBlockId_ASILAParameter,</v>
      </c>
      <c r="X15" s="102" t="str">
        <f t="shared" si="4"/>
        <v>NvMBlockLength_ASILAParameter,</v>
      </c>
      <c r="Y15" s="102" t="str">
        <f t="shared" si="5"/>
        <v>{NvBlockId_ASILAParameter, NvMirror_ASILAParameter, ASILAParameter_Default},</v>
      </c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</row>
    <row r="16" spans="1:46" s="56" customFormat="1">
      <c r="A16" s="357"/>
      <c r="B16" s="357"/>
      <c r="C16" s="70">
        <v>14</v>
      </c>
      <c r="D16" s="96" t="s">
        <v>70</v>
      </c>
      <c r="E16" s="71" t="str">
        <f t="shared" si="6"/>
        <v>E01</v>
      </c>
      <c r="F16" s="77">
        <v>32</v>
      </c>
      <c r="G16" s="69" t="s">
        <v>51</v>
      </c>
      <c r="H16" s="69" t="s">
        <v>55</v>
      </c>
      <c r="I16" s="69" t="s">
        <v>55</v>
      </c>
      <c r="J16" s="69" t="s">
        <v>55</v>
      </c>
      <c r="K16" s="69" t="s">
        <v>54</v>
      </c>
      <c r="L16" s="78" t="s">
        <v>89</v>
      </c>
      <c r="M16" s="69" t="s">
        <v>55</v>
      </c>
      <c r="N16" s="315" t="s">
        <v>3297</v>
      </c>
      <c r="O16" s="74"/>
      <c r="P16" s="74"/>
      <c r="Q16" s="75"/>
      <c r="R16" s="75"/>
      <c r="S16" s="75"/>
      <c r="T16" s="102" t="s">
        <v>731</v>
      </c>
      <c r="U16" s="102" t="str">
        <f t="shared" si="1"/>
        <v>NvBlockId_ASILBParameter,</v>
      </c>
      <c r="V16" s="102" t="str">
        <f t="shared" si="2"/>
        <v>u8 NvMirror_ASILBParameter[NvMBlockLength_ASILBParameter];</v>
      </c>
      <c r="W16" s="102" t="str">
        <f t="shared" si="3"/>
        <v>NvMBlockHeader | (u32)((NvMBlockLength_ASILBParameter&gt;&gt; 1) &lt;&lt; 8) | NvBlockId_ASILBParameter,</v>
      </c>
      <c r="X16" s="102" t="str">
        <f t="shared" si="4"/>
        <v>NvMBlockLength_ASILBParameter,</v>
      </c>
      <c r="Y16" s="102" t="str">
        <f t="shared" si="5"/>
        <v>{NvBlockId_ASILBParameter, NvMirror_ASILBParameter, ASILBParameter_Default},</v>
      </c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</row>
    <row r="17" spans="1:46" s="56" customFormat="1">
      <c r="A17" s="357"/>
      <c r="B17" s="357"/>
      <c r="C17" s="70">
        <v>15</v>
      </c>
      <c r="D17" s="96" t="s">
        <v>510</v>
      </c>
      <c r="E17" s="71" t="str">
        <f t="shared" si="6"/>
        <v>F01</v>
      </c>
      <c r="F17" s="101">
        <v>228</v>
      </c>
      <c r="G17" s="69" t="s">
        <v>51</v>
      </c>
      <c r="H17" s="69" t="s">
        <v>55</v>
      </c>
      <c r="I17" s="69" t="s">
        <v>55</v>
      </c>
      <c r="J17" s="69" t="s">
        <v>55</v>
      </c>
      <c r="K17" s="69" t="s">
        <v>54</v>
      </c>
      <c r="L17" s="78" t="s">
        <v>89</v>
      </c>
      <c r="M17" s="69" t="s">
        <v>55</v>
      </c>
      <c r="N17" s="315" t="s">
        <v>3298</v>
      </c>
      <c r="O17" s="74"/>
      <c r="P17" s="74"/>
      <c r="Q17" s="75"/>
      <c r="R17" s="75"/>
      <c r="S17" s="75"/>
      <c r="T17" s="102" t="s">
        <v>732</v>
      </c>
      <c r="U17" s="102" t="str">
        <f t="shared" si="1"/>
        <v>NvBlockId_NonASILParameter,</v>
      </c>
      <c r="V17" s="102" t="str">
        <f t="shared" si="2"/>
        <v>u8 NvMirror_NonASILParameter[NvMBlockLength_NonASILParameter];</v>
      </c>
      <c r="W17" s="102" t="str">
        <f t="shared" si="3"/>
        <v>NvMBlockHeader | (u32)((NvMBlockLength_NonASILParameter&gt;&gt; 1) &lt;&lt; 8) | NvBlockId_NonASILParameter,</v>
      </c>
      <c r="X17" s="102" t="str">
        <f t="shared" si="4"/>
        <v>NvMBlockLength_NonASILParameter,</v>
      </c>
      <c r="Y17" s="102" t="str">
        <f t="shared" si="5"/>
        <v>{NvBlockId_NonASILParameter, NvMirror_NonASILParameter, NonASILParameter_Default},</v>
      </c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</row>
    <row r="18" spans="1:46" s="56" customFormat="1">
      <c r="A18" s="357"/>
      <c r="B18" s="357"/>
      <c r="C18" s="70">
        <v>16</v>
      </c>
      <c r="D18" s="96" t="s">
        <v>713</v>
      </c>
      <c r="E18" s="71" t="str">
        <f t="shared" ref="E18" si="7" xml:space="preserve"> DEC2HEX((C18)*256 + 1)</f>
        <v>1001</v>
      </c>
      <c r="F18" s="77">
        <v>188</v>
      </c>
      <c r="G18" s="69" t="s">
        <v>51</v>
      </c>
      <c r="H18" s="69" t="s">
        <v>55</v>
      </c>
      <c r="I18" s="69" t="s">
        <v>55</v>
      </c>
      <c r="J18" s="69" t="s">
        <v>55</v>
      </c>
      <c r="K18" s="69" t="s">
        <v>54</v>
      </c>
      <c r="L18" s="78" t="s">
        <v>89</v>
      </c>
      <c r="M18" s="69" t="s">
        <v>55</v>
      </c>
      <c r="N18" s="315" t="s">
        <v>3327</v>
      </c>
      <c r="O18" s="74"/>
      <c r="P18" s="74"/>
      <c r="Q18" s="75"/>
      <c r="R18" s="75"/>
      <c r="S18" s="75"/>
      <c r="T18" s="102" t="s">
        <v>733</v>
      </c>
      <c r="U18" s="102" t="str">
        <f t="shared" si="1"/>
        <v>NvBlockId_HWParameter,</v>
      </c>
      <c r="V18" s="102" t="str">
        <f t="shared" si="2"/>
        <v>u8 NvMirror_HWParameter[NvMBlockLength_HWParameter];</v>
      </c>
      <c r="W18" s="102" t="str">
        <f t="shared" si="3"/>
        <v>NvMBlockHeader | (u32)((NvMBlockLength_HWParameter&gt;&gt; 1) &lt;&lt; 8) | NvBlockId_HWParameter,</v>
      </c>
      <c r="X18" s="102" t="str">
        <f t="shared" si="4"/>
        <v>NvMBlockLength_HWParameter,</v>
      </c>
      <c r="Y18" s="102" t="str">
        <f t="shared" si="5"/>
        <v>{NvBlockId_HWParameter, NvMirror_HWParameter, HWParameter_Default},</v>
      </c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</row>
    <row r="19" spans="1:46" s="56" customFormat="1">
      <c r="A19" s="357"/>
      <c r="B19" s="357"/>
      <c r="C19" s="70">
        <v>17</v>
      </c>
      <c r="D19" s="70" t="s">
        <v>47</v>
      </c>
      <c r="E19" s="71" t="str">
        <f t="shared" si="6"/>
        <v>1101</v>
      </c>
      <c r="F19" s="77">
        <v>16</v>
      </c>
      <c r="G19" s="69" t="s">
        <v>68</v>
      </c>
      <c r="H19" s="69"/>
      <c r="I19" s="69"/>
      <c r="J19" s="69"/>
      <c r="K19" s="69"/>
      <c r="L19" s="70"/>
      <c r="M19" s="69"/>
      <c r="N19" s="315"/>
      <c r="O19" s="74"/>
      <c r="P19" s="74"/>
      <c r="Q19" s="75"/>
      <c r="R19" s="75"/>
      <c r="S19" s="75"/>
      <c r="T19" s="102" t="s">
        <v>734</v>
      </c>
      <c r="U19" s="102" t="str">
        <f t="shared" si="1"/>
        <v>NvBlockId_HellaConfigData,</v>
      </c>
      <c r="V19" s="102" t="str">
        <f t="shared" si="2"/>
        <v>u8 NvMirror_HellaConfigData[NvMBlockLength_HellaConfigData];</v>
      </c>
      <c r="W19" s="102" t="str">
        <f t="shared" si="3"/>
        <v>NvMBlockHeader | (u32)((NvMBlockLength_HellaConfigData&gt;&gt; 1) &lt;&lt; 8) | NvBlockId_HellaConfigData,</v>
      </c>
      <c r="X19" s="102" t="str">
        <f t="shared" si="4"/>
        <v>NvMBlockLength_HellaConfigData,</v>
      </c>
      <c r="Y19" s="102" t="str">
        <f t="shared" si="5"/>
        <v>{NvBlockId_HellaConfigData, NvMirror_HellaConfigData, HellaConfigData_Default},</v>
      </c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</row>
    <row r="20" spans="1:46" s="56" customFormat="1">
      <c r="A20" s="357"/>
      <c r="B20" s="357"/>
      <c r="C20" s="70">
        <v>18</v>
      </c>
      <c r="D20" s="96" t="s">
        <v>71</v>
      </c>
      <c r="E20" s="71" t="str">
        <f t="shared" si="6"/>
        <v>1201</v>
      </c>
      <c r="F20" s="77">
        <v>220</v>
      </c>
      <c r="G20" s="69" t="s">
        <v>51</v>
      </c>
      <c r="H20" s="69" t="s">
        <v>54</v>
      </c>
      <c r="I20" s="69" t="s">
        <v>55</v>
      </c>
      <c r="J20" s="69" t="s">
        <v>55</v>
      </c>
      <c r="K20" s="69" t="s">
        <v>54</v>
      </c>
      <c r="L20" s="70" t="s">
        <v>65</v>
      </c>
      <c r="M20" s="70" t="s">
        <v>55</v>
      </c>
      <c r="N20" s="315" t="s">
        <v>3299</v>
      </c>
      <c r="O20" s="74"/>
      <c r="P20" s="74"/>
      <c r="Q20" s="75"/>
      <c r="R20" s="75"/>
      <c r="S20" s="75"/>
      <c r="T20" s="102" t="s">
        <v>735</v>
      </c>
      <c r="U20" s="102" t="str">
        <f t="shared" si="1"/>
        <v>NvBlockId_KDTCCalibrationByte0,</v>
      </c>
      <c r="V20" s="102" t="str">
        <f t="shared" si="2"/>
        <v>u8 NvMirror_KDTCCalibrationByte0[NvMBlockLength_KDTCCalibrationByte0];</v>
      </c>
      <c r="W20" s="102" t="str">
        <f t="shared" si="3"/>
        <v>NvMBlockHeader | (u32)((NvMBlockLength_KDTCCalibrationByte0&gt;&gt; 1) &lt;&lt; 8) | NvBlockId_KDTCCalibrationByte0,</v>
      </c>
      <c r="X20" s="102" t="str">
        <f t="shared" si="4"/>
        <v>NvMBlockLength_KDTCCalibrationByte0,</v>
      </c>
      <c r="Y20" s="102" t="str">
        <f t="shared" si="5"/>
        <v>{NvBlockId_KDTCCalibrationByte0, NvMirror_KDTCCalibrationByte0, KDTCCalibrationByte0_Default},</v>
      </c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</row>
    <row r="21" spans="1:46" s="56" customFormat="1">
      <c r="A21" s="357"/>
      <c r="B21" s="357"/>
      <c r="C21" s="70">
        <v>19</v>
      </c>
      <c r="D21" s="96" t="s">
        <v>72</v>
      </c>
      <c r="E21" s="71" t="str">
        <f t="shared" si="6"/>
        <v>1301</v>
      </c>
      <c r="F21" s="77">
        <v>8</v>
      </c>
      <c r="G21" s="69" t="s">
        <v>87</v>
      </c>
      <c r="H21" s="69" t="s">
        <v>54</v>
      </c>
      <c r="I21" s="69" t="s">
        <v>54</v>
      </c>
      <c r="J21" s="69" t="s">
        <v>55</v>
      </c>
      <c r="K21" s="69" t="s">
        <v>54</v>
      </c>
      <c r="L21" s="70" t="s">
        <v>278</v>
      </c>
      <c r="M21" s="69" t="s">
        <v>55</v>
      </c>
      <c r="N21" s="315" t="s">
        <v>2564</v>
      </c>
      <c r="O21" s="74"/>
      <c r="P21" s="74"/>
      <c r="Q21" s="75"/>
      <c r="R21" s="75"/>
      <c r="S21" s="75"/>
      <c r="T21" s="102" t="s">
        <v>736</v>
      </c>
      <c r="U21" s="102" t="str">
        <f t="shared" si="1"/>
        <v>NvBlockId_HWConfig,</v>
      </c>
      <c r="V21" s="102" t="str">
        <f t="shared" si="2"/>
        <v>u8 NvMirror_HWConfig[NvMBlockLength_HWConfig];</v>
      </c>
      <c r="W21" s="102" t="str">
        <f t="shared" si="3"/>
        <v>NvMBlockHeader | (u32)((NvMBlockLength_HWConfig&gt;&gt; 1) &lt;&lt; 8) | NvBlockId_HWConfig,</v>
      </c>
      <c r="X21" s="102" t="str">
        <f t="shared" si="4"/>
        <v>NvMBlockLength_HWConfig,</v>
      </c>
      <c r="Y21" s="102" t="str">
        <f t="shared" si="5"/>
        <v>{NvBlockId_HWConfig, NvMirror_HWConfig, NULL},</v>
      </c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</row>
    <row r="22" spans="1:46" s="290" customFormat="1">
      <c r="A22" s="359"/>
      <c r="B22" s="359"/>
      <c r="C22" s="70">
        <v>20</v>
      </c>
      <c r="D22" s="291" t="s">
        <v>1456</v>
      </c>
      <c r="E22" s="108" t="str">
        <f t="shared" si="6"/>
        <v>1401</v>
      </c>
      <c r="F22" s="77">
        <v>64</v>
      </c>
      <c r="G22" s="77" t="s">
        <v>51</v>
      </c>
      <c r="H22" s="77" t="s">
        <v>54</v>
      </c>
      <c r="I22" s="77" t="s">
        <v>54</v>
      </c>
      <c r="J22" s="77" t="s">
        <v>54</v>
      </c>
      <c r="K22" s="77" t="s">
        <v>54</v>
      </c>
      <c r="L22" s="78" t="s">
        <v>56</v>
      </c>
      <c r="M22" s="77"/>
      <c r="N22" s="315"/>
      <c r="O22" s="286"/>
      <c r="P22" s="286"/>
      <c r="Q22" s="287"/>
      <c r="R22" s="287"/>
      <c r="S22" s="287"/>
      <c r="T22" s="288" t="s">
        <v>2513</v>
      </c>
      <c r="U22" s="289" t="str">
        <f t="shared" si="1"/>
        <v>NvBlockId_DiagBackupInfo2,</v>
      </c>
      <c r="V22" s="289" t="str">
        <f t="shared" si="2"/>
        <v>u8 NvMirror_DiagBackupInfo2[NvMBlockLength_DiagBackupInfo2];</v>
      </c>
      <c r="W22" s="289" t="str">
        <f t="shared" si="3"/>
        <v>NvMBlockHeader | (u32)((NvMBlockLength_DiagBackupInfo2&gt;&gt; 1) &lt;&lt; 8) | NvBlockId_DiagBackupInfo2,</v>
      </c>
      <c r="X22" s="289" t="str">
        <f t="shared" si="4"/>
        <v>NvMBlockLength_DiagBackupInfo2,</v>
      </c>
      <c r="Y22" s="289" t="str">
        <f t="shared" si="5"/>
        <v>{NvBlockId_DiagBackupInfo2, NvMirror_DiagBackupInfo2, NULL},</v>
      </c>
      <c r="Z22" s="287"/>
      <c r="AA22" s="287"/>
      <c r="AB22" s="287"/>
      <c r="AC22" s="287"/>
      <c r="AD22" s="287"/>
      <c r="AE22" s="287"/>
      <c r="AF22" s="287"/>
      <c r="AG22" s="287"/>
      <c r="AH22" s="287"/>
      <c r="AI22" s="287"/>
      <c r="AJ22" s="287"/>
      <c r="AK22" s="287"/>
      <c r="AL22" s="287"/>
      <c r="AM22" s="287"/>
      <c r="AN22" s="287"/>
      <c r="AO22" s="287"/>
      <c r="AP22" s="287"/>
      <c r="AQ22" s="287"/>
      <c r="AR22" s="287"/>
      <c r="AS22" s="287"/>
      <c r="AT22" s="287"/>
    </row>
    <row r="23" spans="1:46" s="290" customFormat="1">
      <c r="A23" s="359"/>
      <c r="B23" s="359"/>
      <c r="C23" s="70">
        <v>21</v>
      </c>
      <c r="D23" s="291" t="s">
        <v>1457</v>
      </c>
      <c r="E23" s="108" t="str">
        <f t="shared" si="6"/>
        <v>1501</v>
      </c>
      <c r="F23" s="77">
        <v>64</v>
      </c>
      <c r="G23" s="77" t="s">
        <v>51</v>
      </c>
      <c r="H23" s="77" t="s">
        <v>54</v>
      </c>
      <c r="I23" s="77" t="s">
        <v>54</v>
      </c>
      <c r="J23" s="77" t="s">
        <v>54</v>
      </c>
      <c r="K23" s="77" t="s">
        <v>54</v>
      </c>
      <c r="L23" s="78" t="s">
        <v>56</v>
      </c>
      <c r="M23" s="77"/>
      <c r="N23" s="315"/>
      <c r="O23" s="286"/>
      <c r="P23" s="286"/>
      <c r="Q23" s="287"/>
      <c r="R23" s="287"/>
      <c r="S23" s="287"/>
      <c r="T23" s="288" t="s">
        <v>2514</v>
      </c>
      <c r="U23" s="289" t="str">
        <f t="shared" si="1"/>
        <v>NvBlockId_DiagBackupInfo3,</v>
      </c>
      <c r="V23" s="289" t="str">
        <f t="shared" si="2"/>
        <v>u8 NvMirror_DiagBackupInfo3[NvMBlockLength_DiagBackupInfo3];</v>
      </c>
      <c r="W23" s="289" t="str">
        <f t="shared" si="3"/>
        <v>NvMBlockHeader | (u32)((NvMBlockLength_DiagBackupInfo3&gt;&gt; 1) &lt;&lt; 8) | NvBlockId_DiagBackupInfo3,</v>
      </c>
      <c r="X23" s="289" t="str">
        <f t="shared" si="4"/>
        <v>NvMBlockLength_DiagBackupInfo3,</v>
      </c>
      <c r="Y23" s="289" t="str">
        <f t="shared" si="5"/>
        <v>{NvBlockId_DiagBackupInfo3, NvMirror_DiagBackupInfo3, NULL},</v>
      </c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  <c r="AK23" s="287"/>
      <c r="AL23" s="287"/>
      <c r="AM23" s="287"/>
      <c r="AN23" s="287"/>
      <c r="AO23" s="287"/>
      <c r="AP23" s="287"/>
      <c r="AQ23" s="287"/>
      <c r="AR23" s="287"/>
      <c r="AS23" s="287"/>
      <c r="AT23" s="287"/>
    </row>
    <row r="24" spans="1:46" s="290" customFormat="1">
      <c r="A24" s="359"/>
      <c r="B24" s="359"/>
      <c r="C24" s="70">
        <v>22</v>
      </c>
      <c r="D24" s="291" t="s">
        <v>1458</v>
      </c>
      <c r="E24" s="108" t="str">
        <f t="shared" si="6"/>
        <v>1601</v>
      </c>
      <c r="F24" s="77">
        <v>64</v>
      </c>
      <c r="G24" s="77" t="s">
        <v>51</v>
      </c>
      <c r="H24" s="77" t="s">
        <v>54</v>
      </c>
      <c r="I24" s="77" t="s">
        <v>54</v>
      </c>
      <c r="J24" s="77" t="s">
        <v>54</v>
      </c>
      <c r="K24" s="77" t="s">
        <v>54</v>
      </c>
      <c r="L24" s="78" t="s">
        <v>56</v>
      </c>
      <c r="M24" s="77"/>
      <c r="N24" s="315"/>
      <c r="O24" s="286"/>
      <c r="P24" s="286"/>
      <c r="Q24" s="287"/>
      <c r="R24" s="287"/>
      <c r="S24" s="287"/>
      <c r="T24" s="288" t="s">
        <v>2515</v>
      </c>
      <c r="U24" s="289" t="str">
        <f t="shared" si="1"/>
        <v>NvBlockId_DiagBackupInfo4,</v>
      </c>
      <c r="V24" s="289" t="str">
        <f t="shared" si="2"/>
        <v>u8 NvMirror_DiagBackupInfo4[NvMBlockLength_DiagBackupInfo4];</v>
      </c>
      <c r="W24" s="289" t="str">
        <f t="shared" si="3"/>
        <v>NvMBlockHeader | (u32)((NvMBlockLength_DiagBackupInfo4&gt;&gt; 1) &lt;&lt; 8) | NvBlockId_DiagBackupInfo4,</v>
      </c>
      <c r="X24" s="289" t="str">
        <f t="shared" si="4"/>
        <v>NvMBlockLength_DiagBackupInfo4,</v>
      </c>
      <c r="Y24" s="289" t="str">
        <f t="shared" si="5"/>
        <v>{NvBlockId_DiagBackupInfo4, NvMirror_DiagBackupInfo4, NULL},</v>
      </c>
      <c r="Z24" s="287"/>
      <c r="AA24" s="287"/>
      <c r="AB24" s="287"/>
      <c r="AC24" s="287"/>
      <c r="AD24" s="287"/>
      <c r="AE24" s="287"/>
      <c r="AF24" s="287"/>
      <c r="AG24" s="287"/>
      <c r="AH24" s="287"/>
      <c r="AI24" s="287"/>
      <c r="AJ24" s="287"/>
      <c r="AK24" s="287"/>
      <c r="AL24" s="287"/>
      <c r="AM24" s="287"/>
      <c r="AN24" s="287"/>
      <c r="AO24" s="287"/>
      <c r="AP24" s="287"/>
      <c r="AQ24" s="287"/>
      <c r="AR24" s="287"/>
      <c r="AS24" s="287"/>
      <c r="AT24" s="287"/>
    </row>
    <row r="25" spans="1:46" s="56" customFormat="1">
      <c r="A25" s="358"/>
      <c r="B25" s="358"/>
      <c r="C25" s="70">
        <v>23</v>
      </c>
      <c r="D25" s="96" t="s">
        <v>1221</v>
      </c>
      <c r="E25" s="71" t="str">
        <f t="shared" ref="E25" si="8" xml:space="preserve"> DEC2HEX((C25)*256 + 1)</f>
        <v>1701</v>
      </c>
      <c r="F25" s="77">
        <v>60</v>
      </c>
      <c r="G25" s="69" t="s">
        <v>51</v>
      </c>
      <c r="H25" s="77" t="s">
        <v>54</v>
      </c>
      <c r="I25" s="77" t="s">
        <v>55</v>
      </c>
      <c r="J25" s="77" t="s">
        <v>55</v>
      </c>
      <c r="K25" s="77" t="s">
        <v>54</v>
      </c>
      <c r="L25" s="78" t="s">
        <v>56</v>
      </c>
      <c r="M25" s="77" t="s">
        <v>55</v>
      </c>
      <c r="N25" s="315" t="s">
        <v>3326</v>
      </c>
      <c r="O25" s="74"/>
      <c r="P25" s="74"/>
      <c r="Q25" s="75"/>
      <c r="R25" s="75"/>
      <c r="S25" s="75"/>
      <c r="T25" s="102" t="s">
        <v>1546</v>
      </c>
      <c r="U25" s="102" t="str">
        <f t="shared" si="1"/>
        <v>NvBlockId_DTMS_Configuration,</v>
      </c>
      <c r="V25" s="102" t="str">
        <f t="shared" si="2"/>
        <v>u8 NvMirror_DTMS_Configuration[NvMBlockLength_DTMS_Configuration];</v>
      </c>
      <c r="W25" s="102" t="str">
        <f t="shared" si="3"/>
        <v>NvMBlockHeader | (u32)((NvMBlockLength_DTMS_Configuration&gt;&gt; 1) &lt;&lt; 8) | NvBlockId_DTMS_Configuration,</v>
      </c>
      <c r="X25" s="102" t="str">
        <f t="shared" si="4"/>
        <v>NvMBlockLength_DTMS_Configuration,</v>
      </c>
      <c r="Y25" s="102" t="str">
        <f t="shared" si="5"/>
        <v>{NvBlockId_DTMS_Configuration, NvMirror_DTMS_Configuration, DTMS_Configuration_Default},</v>
      </c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</row>
    <row r="26" spans="1:46" s="56" customFormat="1">
      <c r="A26" s="356">
        <v>3</v>
      </c>
      <c r="B26" s="356">
        <v>2</v>
      </c>
      <c r="C26" s="70">
        <v>24</v>
      </c>
      <c r="D26" s="70" t="s">
        <v>73</v>
      </c>
      <c r="E26" s="71" t="str">
        <f t="shared" si="6"/>
        <v>1801</v>
      </c>
      <c r="F26" s="77">
        <v>8</v>
      </c>
      <c r="G26" s="69" t="s">
        <v>68</v>
      </c>
      <c r="H26" s="69"/>
      <c r="I26" s="69"/>
      <c r="J26" s="69"/>
      <c r="K26" s="69"/>
      <c r="L26" s="70"/>
      <c r="M26" s="69"/>
      <c r="N26" s="315"/>
      <c r="O26" s="74"/>
      <c r="P26" s="74"/>
      <c r="Q26" s="75"/>
      <c r="R26" s="75"/>
      <c r="S26" s="75"/>
      <c r="T26" s="102" t="s">
        <v>737</v>
      </c>
      <c r="U26" s="102" t="str">
        <f t="shared" si="1"/>
        <v>NvBlockId_CDLStatus,</v>
      </c>
      <c r="V26" s="102" t="str">
        <f t="shared" si="2"/>
        <v>u8 NvMirror_CDLStatus[NvMBlockLength_CDLStatus];</v>
      </c>
      <c r="W26" s="102" t="str">
        <f t="shared" si="3"/>
        <v>NvMBlockHeader | (u32)((NvMBlockLength_CDLStatus&gt;&gt; 1) &lt;&lt; 8) | NvBlockId_CDLStatus,</v>
      </c>
      <c r="X26" s="102" t="str">
        <f t="shared" si="4"/>
        <v>NvMBlockLength_CDLStatus,</v>
      </c>
      <c r="Y26" s="102" t="str">
        <f t="shared" si="5"/>
        <v>{NvBlockId_CDLStatus, NvMirror_CDLStatus, CDLStatus_Default},</v>
      </c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</row>
    <row r="27" spans="1:46" s="56" customFormat="1">
      <c r="A27" s="357"/>
      <c r="B27" s="357"/>
      <c r="C27" s="70">
        <v>25</v>
      </c>
      <c r="D27" s="70" t="s">
        <v>74</v>
      </c>
      <c r="E27" s="71" t="str">
        <f t="shared" si="6"/>
        <v>1901</v>
      </c>
      <c r="F27" s="77">
        <v>4</v>
      </c>
      <c r="G27" s="69" t="s">
        <v>68</v>
      </c>
      <c r="H27" s="69"/>
      <c r="I27" s="69"/>
      <c r="J27" s="69"/>
      <c r="K27" s="69"/>
      <c r="L27" s="70"/>
      <c r="M27" s="69"/>
      <c r="N27" s="315"/>
      <c r="O27" s="74"/>
      <c r="P27" s="74"/>
      <c r="Q27" s="75"/>
      <c r="R27" s="75"/>
      <c r="S27" s="75"/>
      <c r="T27" s="102" t="s">
        <v>738</v>
      </c>
      <c r="U27" s="102" t="str">
        <f t="shared" si="1"/>
        <v>NvBlockId_ATWSStatus,</v>
      </c>
      <c r="V27" s="102" t="str">
        <f t="shared" si="2"/>
        <v>u8 NvMirror_ATWSStatus[NvMBlockLength_ATWSStatus];</v>
      </c>
      <c r="W27" s="102" t="str">
        <f t="shared" si="3"/>
        <v>NvMBlockHeader | (u32)((NvMBlockLength_ATWSStatus&gt;&gt; 1) &lt;&lt; 8) | NvBlockId_ATWSStatus,</v>
      </c>
      <c r="X27" s="102" t="str">
        <f t="shared" si="4"/>
        <v>NvMBlockLength_ATWSStatus,</v>
      </c>
      <c r="Y27" s="102" t="str">
        <f t="shared" si="5"/>
        <v>{NvBlockId_ATWSStatus, NvMirror_ATWSStatus, ATWSStatus_Default},</v>
      </c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</row>
    <row r="28" spans="1:46" s="56" customFormat="1">
      <c r="A28" s="357"/>
      <c r="B28" s="357"/>
      <c r="C28" s="70">
        <v>26</v>
      </c>
      <c r="D28" s="70" t="s">
        <v>75</v>
      </c>
      <c r="E28" s="71" t="str">
        <f t="shared" si="6"/>
        <v>1A01</v>
      </c>
      <c r="F28" s="77">
        <v>4</v>
      </c>
      <c r="G28" s="69" t="s">
        <v>68</v>
      </c>
      <c r="H28" s="69"/>
      <c r="I28" s="69"/>
      <c r="J28" s="69"/>
      <c r="K28" s="69"/>
      <c r="L28" s="70"/>
      <c r="M28" s="69"/>
      <c r="N28" s="315"/>
      <c r="O28" s="74"/>
      <c r="P28" s="74"/>
      <c r="Q28" s="75"/>
      <c r="R28" s="75"/>
      <c r="S28" s="75"/>
      <c r="T28" s="102" t="s">
        <v>739</v>
      </c>
      <c r="U28" s="102" t="str">
        <f t="shared" si="1"/>
        <v>NvBlockId_ILStatus,</v>
      </c>
      <c r="V28" s="102" t="str">
        <f t="shared" si="2"/>
        <v>u8 NvMirror_ILStatus[NvMBlockLength_ILStatus];</v>
      </c>
      <c r="W28" s="102" t="str">
        <f t="shared" si="3"/>
        <v>NvMBlockHeader | (u32)((NvMBlockLength_ILStatus&gt;&gt; 1) &lt;&lt; 8) | NvBlockId_ILStatus,</v>
      </c>
      <c r="X28" s="102" t="str">
        <f t="shared" si="4"/>
        <v>NvMBlockLength_ILStatus,</v>
      </c>
      <c r="Y28" s="102" t="str">
        <f t="shared" si="5"/>
        <v>{NvBlockId_ILStatus, NvMirror_ILStatus, ILStatus_Default},</v>
      </c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</row>
    <row r="29" spans="1:46" s="56" customFormat="1">
      <c r="A29" s="357"/>
      <c r="B29" s="357"/>
      <c r="C29" s="70">
        <v>27</v>
      </c>
      <c r="D29" s="70" t="s">
        <v>76</v>
      </c>
      <c r="E29" s="71" t="str">
        <f t="shared" si="6"/>
        <v>1B01</v>
      </c>
      <c r="F29" s="77">
        <v>4</v>
      </c>
      <c r="G29" s="69" t="s">
        <v>68</v>
      </c>
      <c r="H29" s="69"/>
      <c r="I29" s="69"/>
      <c r="J29" s="69"/>
      <c r="K29" s="69"/>
      <c r="L29" s="70"/>
      <c r="M29" s="69"/>
      <c r="N29" s="315"/>
      <c r="O29" s="74"/>
      <c r="P29" s="74"/>
      <c r="Q29" s="75"/>
      <c r="R29" s="75"/>
      <c r="S29" s="75"/>
      <c r="T29" s="102" t="s">
        <v>740</v>
      </c>
      <c r="U29" s="102" t="str">
        <f t="shared" si="1"/>
        <v>NvBlockId_PMStatus,</v>
      </c>
      <c r="V29" s="102" t="str">
        <f t="shared" si="2"/>
        <v>u8 NvMirror_PMStatus[NvMBlockLength_PMStatus];</v>
      </c>
      <c r="W29" s="102" t="str">
        <f t="shared" si="3"/>
        <v>NvMBlockHeader | (u32)((NvMBlockLength_PMStatus&gt;&gt; 1) &lt;&lt; 8) | NvBlockId_PMStatus,</v>
      </c>
      <c r="X29" s="102" t="str">
        <f t="shared" si="4"/>
        <v>NvMBlockLength_PMStatus,</v>
      </c>
      <c r="Y29" s="102" t="str">
        <f t="shared" si="5"/>
        <v>{NvBlockId_PMStatus, NvMirror_PMStatus, PMStatus_Default},</v>
      </c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</row>
    <row r="30" spans="1:46" s="56" customFormat="1">
      <c r="A30" s="357"/>
      <c r="B30" s="357"/>
      <c r="C30" s="70">
        <v>28</v>
      </c>
      <c r="D30" s="70" t="s">
        <v>77</v>
      </c>
      <c r="E30" s="71" t="str">
        <f t="shared" si="6"/>
        <v>1C01</v>
      </c>
      <c r="F30" s="77">
        <v>4</v>
      </c>
      <c r="G30" s="69" t="s">
        <v>68</v>
      </c>
      <c r="H30" s="69"/>
      <c r="I30" s="69"/>
      <c r="J30" s="69"/>
      <c r="K30" s="69"/>
      <c r="L30" s="70"/>
      <c r="M30" s="69"/>
      <c r="N30" s="315"/>
      <c r="O30" s="74"/>
      <c r="P30" s="74"/>
      <c r="Q30" s="75"/>
      <c r="R30" s="75"/>
      <c r="S30" s="75"/>
      <c r="T30" s="102" t="s">
        <v>741</v>
      </c>
      <c r="U30" s="102" t="str">
        <f t="shared" si="1"/>
        <v>NvBlockId_ELStatus,</v>
      </c>
      <c r="V30" s="102" t="str">
        <f t="shared" si="2"/>
        <v>u8 NvMirror_ELStatus[NvMBlockLength_ELStatus];</v>
      </c>
      <c r="W30" s="102" t="str">
        <f t="shared" si="3"/>
        <v>NvMBlockHeader | (u32)((NvMBlockLength_ELStatus&gt;&gt; 1) &lt;&lt; 8) | NvBlockId_ELStatus,</v>
      </c>
      <c r="X30" s="102" t="str">
        <f t="shared" si="4"/>
        <v>NvMBlockLength_ELStatus,</v>
      </c>
      <c r="Y30" s="102" t="str">
        <f t="shared" si="5"/>
        <v>{NvBlockId_ELStatus, NvMirror_ELStatus, ELStatus_Default},</v>
      </c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</row>
    <row r="31" spans="1:46" s="56" customFormat="1">
      <c r="A31" s="357"/>
      <c r="B31" s="357"/>
      <c r="C31" s="70">
        <v>29</v>
      </c>
      <c r="D31" s="70" t="s">
        <v>78</v>
      </c>
      <c r="E31" s="71" t="str">
        <f t="shared" si="6"/>
        <v>1D01</v>
      </c>
      <c r="F31" s="77">
        <v>4</v>
      </c>
      <c r="G31" s="69" t="s">
        <v>68</v>
      </c>
      <c r="H31" s="69"/>
      <c r="I31" s="69"/>
      <c r="J31" s="69"/>
      <c r="K31" s="69"/>
      <c r="L31" s="70"/>
      <c r="M31" s="69"/>
      <c r="N31" s="315"/>
      <c r="O31" s="74"/>
      <c r="P31" s="74"/>
      <c r="Q31" s="75"/>
      <c r="R31" s="75"/>
      <c r="S31" s="75"/>
      <c r="T31" s="102" t="s">
        <v>742</v>
      </c>
      <c r="U31" s="102" t="str">
        <f t="shared" si="1"/>
        <v>NvBlockId_CrashInfoStatus,</v>
      </c>
      <c r="V31" s="102" t="str">
        <f t="shared" si="2"/>
        <v>u8 NvMirror_CrashInfoStatus[NvMBlockLength_CrashInfoStatus];</v>
      </c>
      <c r="W31" s="102" t="str">
        <f t="shared" si="3"/>
        <v>NvMBlockHeader | (u32)((NvMBlockLength_CrashInfoStatus&gt;&gt; 1) &lt;&lt; 8) | NvBlockId_CrashInfoStatus,</v>
      </c>
      <c r="X31" s="102" t="str">
        <f t="shared" si="4"/>
        <v>NvMBlockLength_CrashInfoStatus,</v>
      </c>
      <c r="Y31" s="102" t="str">
        <f t="shared" si="5"/>
        <v>{NvBlockId_CrashInfoStatus, NvMirror_CrashInfoStatus, CrashInfoStatus_Default},</v>
      </c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</row>
    <row r="32" spans="1:46" s="56" customFormat="1">
      <c r="A32" s="357"/>
      <c r="B32" s="357"/>
      <c r="C32" s="70">
        <v>30</v>
      </c>
      <c r="D32" s="70" t="s">
        <v>79</v>
      </c>
      <c r="E32" s="71" t="str">
        <f t="shared" si="6"/>
        <v>1E01</v>
      </c>
      <c r="F32" s="77">
        <v>8</v>
      </c>
      <c r="G32" s="69" t="s">
        <v>68</v>
      </c>
      <c r="H32" s="69"/>
      <c r="I32" s="69"/>
      <c r="J32" s="69"/>
      <c r="K32" s="69"/>
      <c r="L32" s="70"/>
      <c r="M32" s="69"/>
      <c r="N32" s="315"/>
      <c r="O32" s="74"/>
      <c r="P32" s="74"/>
      <c r="Q32" s="75"/>
      <c r="R32" s="75"/>
      <c r="S32" s="75"/>
      <c r="T32" s="102" t="s">
        <v>743</v>
      </c>
      <c r="U32" s="102" t="str">
        <f t="shared" si="1"/>
        <v>NvBlockId_DisableUIDInfor,</v>
      </c>
      <c r="V32" s="102" t="str">
        <f t="shared" si="2"/>
        <v>u8 NvMirror_DisableUIDInfor[NvMBlockLength_DisableUIDInfor];</v>
      </c>
      <c r="W32" s="102" t="str">
        <f t="shared" si="3"/>
        <v>NvMBlockHeader | (u32)((NvMBlockLength_DisableUIDInfor&gt;&gt; 1) &lt;&lt; 8) | NvBlockId_DisableUIDInfor,</v>
      </c>
      <c r="X32" s="102" t="str">
        <f t="shared" si="4"/>
        <v>NvMBlockLength_DisableUIDInfor,</v>
      </c>
      <c r="Y32" s="102" t="str">
        <f t="shared" si="5"/>
        <v>{NvBlockId_DisableUIDInfor, NvMirror_DisableUIDInfor, DisableUIDInfor_Default},</v>
      </c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</row>
    <row r="33" spans="1:46" s="56" customFormat="1">
      <c r="A33" s="357"/>
      <c r="B33" s="357"/>
      <c r="C33" s="70">
        <v>31</v>
      </c>
      <c r="D33" s="96" t="s">
        <v>80</v>
      </c>
      <c r="E33" s="71" t="str">
        <f t="shared" si="6"/>
        <v>1F01</v>
      </c>
      <c r="F33" s="77">
        <v>24</v>
      </c>
      <c r="G33" s="69" t="s">
        <v>51</v>
      </c>
      <c r="H33" s="69" t="s">
        <v>54</v>
      </c>
      <c r="I33" s="69" t="s">
        <v>54</v>
      </c>
      <c r="J33" s="69" t="s">
        <v>54</v>
      </c>
      <c r="K33" s="69" t="s">
        <v>54</v>
      </c>
      <c r="L33" s="70" t="s">
        <v>278</v>
      </c>
      <c r="M33" s="69" t="s">
        <v>55</v>
      </c>
      <c r="N33" s="315"/>
      <c r="O33" s="74"/>
      <c r="P33" s="74"/>
      <c r="Q33" s="75"/>
      <c r="R33" s="75"/>
      <c r="S33" s="75"/>
      <c r="T33" s="102" t="s">
        <v>744</v>
      </c>
      <c r="U33" s="102" t="str">
        <f t="shared" si="1"/>
        <v>NvBlockId_UIDSYNCCounter,</v>
      </c>
      <c r="V33" s="102" t="str">
        <f t="shared" si="2"/>
        <v>u8 NvMirror_UIDSYNCCounter[NvMBlockLength_UIDSYNCCounter];</v>
      </c>
      <c r="W33" s="102" t="str">
        <f t="shared" si="3"/>
        <v>NvMBlockHeader | (u32)((NvMBlockLength_UIDSYNCCounter&gt;&gt; 1) &lt;&lt; 8) | NvBlockId_UIDSYNCCounter,</v>
      </c>
      <c r="X33" s="102" t="str">
        <f t="shared" si="4"/>
        <v>NvMBlockLength_UIDSYNCCounter,</v>
      </c>
      <c r="Y33" s="102" t="str">
        <f t="shared" si="5"/>
        <v>{NvBlockId_UIDSYNCCounter, NvMirror_UIDSYNCCounter, NULL},</v>
      </c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</row>
    <row r="34" spans="1:46" s="56" customFormat="1">
      <c r="A34" s="357"/>
      <c r="B34" s="357"/>
      <c r="C34" s="70">
        <v>32</v>
      </c>
      <c r="D34" s="96" t="s">
        <v>1093</v>
      </c>
      <c r="E34" s="71" t="str">
        <f t="shared" si="6"/>
        <v>2001</v>
      </c>
      <c r="F34" s="77">
        <v>252</v>
      </c>
      <c r="G34" s="69" t="s">
        <v>51</v>
      </c>
      <c r="H34" s="69" t="s">
        <v>54</v>
      </c>
      <c r="I34" s="69" t="s">
        <v>54</v>
      </c>
      <c r="J34" s="69" t="s">
        <v>54</v>
      </c>
      <c r="K34" s="69" t="s">
        <v>54</v>
      </c>
      <c r="L34" s="70" t="s">
        <v>56</v>
      </c>
      <c r="M34" s="69" t="s">
        <v>54</v>
      </c>
      <c r="N34" s="315"/>
      <c r="O34" s="74"/>
      <c r="P34" s="74"/>
      <c r="Q34" s="75"/>
      <c r="R34" s="75"/>
      <c r="S34" s="75"/>
      <c r="T34" s="102" t="s">
        <v>1098</v>
      </c>
      <c r="U34" s="102" t="str">
        <f t="shared" si="1"/>
        <v>NvBlockId_DTMS_SystemState,</v>
      </c>
      <c r="V34" s="102" t="str">
        <f t="shared" si="2"/>
        <v>u8 NvMirror_DTMS_SystemState[NvMBlockLength_DTMS_SystemState];</v>
      </c>
      <c r="W34" s="102" t="str">
        <f t="shared" si="3"/>
        <v>NvMBlockHeader | (u32)((NvMBlockLength_DTMS_SystemState&gt;&gt; 1) &lt;&lt; 8) | NvBlockId_DTMS_SystemState,</v>
      </c>
      <c r="X34" s="102" t="str">
        <f t="shared" si="4"/>
        <v>NvMBlockLength_DTMS_SystemState,</v>
      </c>
      <c r="Y34" s="102" t="str">
        <f t="shared" si="5"/>
        <v>{NvBlockId_DTMS_SystemState, NvMirror_DTMS_SystemState, NULL},</v>
      </c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</row>
    <row r="35" spans="1:46" s="290" customFormat="1">
      <c r="A35" s="359"/>
      <c r="B35" s="359"/>
      <c r="C35" s="70">
        <v>33</v>
      </c>
      <c r="D35" s="96" t="s">
        <v>2189</v>
      </c>
      <c r="E35" s="108" t="str">
        <f xml:space="preserve"> DEC2HEX((C35)*256 + 1)</f>
        <v>2101</v>
      </c>
      <c r="F35" s="77">
        <v>4</v>
      </c>
      <c r="G35" s="77" t="s">
        <v>51</v>
      </c>
      <c r="H35" s="77" t="s">
        <v>54</v>
      </c>
      <c r="I35" s="77" t="s">
        <v>54</v>
      </c>
      <c r="J35" s="77" t="s">
        <v>54</v>
      </c>
      <c r="K35" s="77" t="s">
        <v>54</v>
      </c>
      <c r="L35" s="78" t="s">
        <v>56</v>
      </c>
      <c r="M35" s="77" t="s">
        <v>55</v>
      </c>
      <c r="N35" s="315"/>
      <c r="O35" s="286"/>
      <c r="P35" s="286"/>
      <c r="Q35" s="287"/>
      <c r="R35" s="287"/>
      <c r="S35" s="287"/>
      <c r="T35" s="288" t="s">
        <v>2190</v>
      </c>
      <c r="U35" s="289" t="str">
        <f>"NvBlockId_" &amp; $D35 &amp;","</f>
        <v>NvBlockId_Odometer,</v>
      </c>
      <c r="V35" s="289" t="str">
        <f>"u8 NvMirror_" &amp; $D35 &amp;"[NvMBlockLength_" &amp; $D35 &amp; "];"</f>
        <v>u8 NvMirror_Odometer[NvMBlockLength_Odometer];</v>
      </c>
      <c r="W35" s="289" t="str">
        <f>"NvMBlockHeader | (u32)((NvMBlockLength_" &amp; $D35 &amp;"&gt;&gt; 1) &lt;&lt; 8) | " &amp; $U35</f>
        <v>NvMBlockHeader | (u32)((NvMBlockLength_Odometer&gt;&gt; 1) &lt;&lt; 8) | NvBlockId_Odometer,</v>
      </c>
      <c r="X35" s="289" t="str">
        <f>"NvMBlockLength_" &amp; $D35 &amp; ","</f>
        <v>NvMBlockLength_Odometer,</v>
      </c>
      <c r="Y35" s="289" t="str">
        <f>"{"&amp;$U35&amp;" NvMirror_"&amp;$D35&amp;", "&amp;(IF($I35="No","NULL",($D35 &amp; "_Default"))&amp;"},")</f>
        <v>{NvBlockId_Odometer, NvMirror_Odometer, NULL},</v>
      </c>
      <c r="Z35" s="287"/>
      <c r="AA35" s="287"/>
      <c r="AB35" s="287"/>
      <c r="AC35" s="287"/>
      <c r="AD35" s="287"/>
      <c r="AE35" s="287"/>
      <c r="AF35" s="287"/>
      <c r="AG35" s="287"/>
      <c r="AH35" s="287"/>
      <c r="AI35" s="287"/>
      <c r="AJ35" s="287"/>
      <c r="AK35" s="287"/>
      <c r="AL35" s="287"/>
      <c r="AM35" s="287"/>
      <c r="AN35" s="287"/>
      <c r="AO35" s="287"/>
      <c r="AP35" s="287"/>
      <c r="AQ35" s="287"/>
      <c r="AR35" s="287"/>
      <c r="AS35" s="287"/>
      <c r="AT35" s="287"/>
    </row>
    <row r="36" spans="1:46" s="56" customFormat="1">
      <c r="A36" s="357"/>
      <c r="B36" s="357"/>
      <c r="C36" s="70">
        <v>34</v>
      </c>
      <c r="D36" s="96" t="s">
        <v>1094</v>
      </c>
      <c r="E36" s="71" t="str">
        <f t="shared" si="6"/>
        <v>2201</v>
      </c>
      <c r="F36" s="77">
        <v>200</v>
      </c>
      <c r="G36" s="69" t="s">
        <v>51</v>
      </c>
      <c r="H36" s="69" t="s">
        <v>54</v>
      </c>
      <c r="I36" s="69" t="s">
        <v>54</v>
      </c>
      <c r="J36" s="69" t="s">
        <v>54</v>
      </c>
      <c r="K36" s="69" t="s">
        <v>54</v>
      </c>
      <c r="L36" s="70" t="s">
        <v>56</v>
      </c>
      <c r="M36" s="69" t="s">
        <v>54</v>
      </c>
      <c r="N36" s="315"/>
      <c r="O36" s="74"/>
      <c r="P36" s="74"/>
      <c r="Q36" s="75"/>
      <c r="R36" s="75"/>
      <c r="S36" s="75"/>
      <c r="T36" s="102" t="s">
        <v>1099</v>
      </c>
      <c r="U36" s="102" t="str">
        <f t="shared" si="1"/>
        <v>NvBlockId_DTMS_WuState,</v>
      </c>
      <c r="V36" s="102" t="str">
        <f t="shared" si="2"/>
        <v>u8 NvMirror_DTMS_WuState[NvMBlockLength_DTMS_WuState];</v>
      </c>
      <c r="W36" s="102" t="str">
        <f t="shared" si="3"/>
        <v>NvMBlockHeader | (u32)((NvMBlockLength_DTMS_WuState&gt;&gt; 1) &lt;&lt; 8) | NvBlockId_DTMS_WuState,</v>
      </c>
      <c r="X36" s="102" t="str">
        <f t="shared" si="4"/>
        <v>NvMBlockLength_DTMS_WuState,</v>
      </c>
      <c r="Y36" s="102" t="str">
        <f t="shared" si="5"/>
        <v>{NvBlockId_DTMS_WuState, NvMirror_DTMS_WuState, NULL},</v>
      </c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</row>
    <row r="37" spans="1:46" s="56" customFormat="1">
      <c r="A37" s="357"/>
      <c r="B37" s="357"/>
      <c r="C37" s="70">
        <v>35</v>
      </c>
      <c r="D37" s="96" t="s">
        <v>1095</v>
      </c>
      <c r="E37" s="71" t="str">
        <f t="shared" si="6"/>
        <v>2301</v>
      </c>
      <c r="F37" s="77">
        <v>100</v>
      </c>
      <c r="G37" s="69" t="s">
        <v>51</v>
      </c>
      <c r="H37" s="69" t="s">
        <v>54</v>
      </c>
      <c r="I37" s="69" t="s">
        <v>54</v>
      </c>
      <c r="J37" s="69" t="s">
        <v>54</v>
      </c>
      <c r="K37" s="69" t="s">
        <v>54</v>
      </c>
      <c r="L37" s="70" t="s">
        <v>56</v>
      </c>
      <c r="M37" s="69" t="s">
        <v>54</v>
      </c>
      <c r="N37" s="315"/>
      <c r="O37" s="74"/>
      <c r="P37" s="74"/>
      <c r="Q37" s="75"/>
      <c r="R37" s="75"/>
      <c r="S37" s="75"/>
      <c r="T37" s="102" t="s">
        <v>1100</v>
      </c>
      <c r="U37" s="102" t="str">
        <f t="shared" si="1"/>
        <v>NvBlockId_DTMS_SystemDiagnostic,</v>
      </c>
      <c r="V37" s="102" t="str">
        <f t="shared" si="2"/>
        <v>u8 NvMirror_DTMS_SystemDiagnostic[NvMBlockLength_DTMS_SystemDiagnostic];</v>
      </c>
      <c r="W37" s="102" t="str">
        <f t="shared" si="3"/>
        <v>NvMBlockHeader | (u32)((NvMBlockLength_DTMS_SystemDiagnostic&gt;&gt; 1) &lt;&lt; 8) | NvBlockId_DTMS_SystemDiagnostic,</v>
      </c>
      <c r="X37" s="102" t="str">
        <f t="shared" si="4"/>
        <v>NvMBlockLength_DTMS_SystemDiagnostic,</v>
      </c>
      <c r="Y37" s="102" t="str">
        <f t="shared" si="5"/>
        <v>{NvBlockId_DTMS_SystemDiagnostic, NvMirror_DTMS_SystemDiagnostic, NULL},</v>
      </c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</row>
    <row r="38" spans="1:46" s="56" customFormat="1">
      <c r="A38" s="357"/>
      <c r="B38" s="357"/>
      <c r="C38" s="70">
        <v>36</v>
      </c>
      <c r="D38" s="96" t="s">
        <v>1096</v>
      </c>
      <c r="E38" s="71" t="str">
        <f t="shared" si="6"/>
        <v>2401</v>
      </c>
      <c r="F38" s="77">
        <v>200</v>
      </c>
      <c r="G38" s="69" t="s">
        <v>51</v>
      </c>
      <c r="H38" s="69" t="s">
        <v>54</v>
      </c>
      <c r="I38" s="69" t="s">
        <v>54</v>
      </c>
      <c r="J38" s="69" t="s">
        <v>54</v>
      </c>
      <c r="K38" s="69" t="s">
        <v>54</v>
      </c>
      <c r="L38" s="70" t="s">
        <v>56</v>
      </c>
      <c r="M38" s="69" t="s">
        <v>54</v>
      </c>
      <c r="N38" s="315"/>
      <c r="O38" s="74"/>
      <c r="P38" s="74"/>
      <c r="Q38" s="75"/>
      <c r="R38" s="75"/>
      <c r="S38" s="75"/>
      <c r="T38" s="102" t="s">
        <v>1101</v>
      </c>
      <c r="U38" s="102" t="str">
        <f t="shared" si="1"/>
        <v>NvBlockId_DTMS_WuDiagnostic,</v>
      </c>
      <c r="V38" s="102" t="str">
        <f t="shared" si="2"/>
        <v>u8 NvMirror_DTMS_WuDiagnostic[NvMBlockLength_DTMS_WuDiagnostic];</v>
      </c>
      <c r="W38" s="102" t="str">
        <f t="shared" si="3"/>
        <v>NvMBlockHeader | (u32)((NvMBlockLength_DTMS_WuDiagnostic&gt;&gt; 1) &lt;&lt; 8) | NvBlockId_DTMS_WuDiagnostic,</v>
      </c>
      <c r="X38" s="102" t="str">
        <f t="shared" si="4"/>
        <v>NvMBlockLength_DTMS_WuDiagnostic,</v>
      </c>
      <c r="Y38" s="102" t="str">
        <f t="shared" si="5"/>
        <v>{NvBlockId_DTMS_WuDiagnostic, NvMirror_DTMS_WuDiagnostic, NULL},</v>
      </c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</row>
    <row r="39" spans="1:46" s="56" customFormat="1">
      <c r="A39" s="357"/>
      <c r="B39" s="357"/>
      <c r="C39" s="70">
        <v>37</v>
      </c>
      <c r="D39" s="96" t="s">
        <v>1097</v>
      </c>
      <c r="E39" s="71" t="str">
        <f t="shared" si="6"/>
        <v>2501</v>
      </c>
      <c r="F39" s="77">
        <v>200</v>
      </c>
      <c r="G39" s="69" t="s">
        <v>51</v>
      </c>
      <c r="H39" s="69" t="s">
        <v>54</v>
      </c>
      <c r="I39" s="69" t="s">
        <v>54</v>
      </c>
      <c r="J39" s="69" t="s">
        <v>54</v>
      </c>
      <c r="K39" s="69" t="s">
        <v>54</v>
      </c>
      <c r="L39" s="70" t="s">
        <v>56</v>
      </c>
      <c r="M39" s="69" t="s">
        <v>54</v>
      </c>
      <c r="N39" s="315"/>
      <c r="O39" s="74"/>
      <c r="P39" s="74"/>
      <c r="Q39" s="75"/>
      <c r="R39" s="75"/>
      <c r="S39" s="75"/>
      <c r="T39" s="102" t="s">
        <v>1102</v>
      </c>
      <c r="U39" s="102" t="str">
        <f t="shared" si="1"/>
        <v>NvBlockId_DTMS_WarnEvent,</v>
      </c>
      <c r="V39" s="102" t="str">
        <f t="shared" si="2"/>
        <v>u8 NvMirror_DTMS_WarnEvent[NvMBlockLength_DTMS_WarnEvent];</v>
      </c>
      <c r="W39" s="102" t="str">
        <f t="shared" si="3"/>
        <v>NvMBlockHeader | (u32)((NvMBlockLength_DTMS_WarnEvent&gt;&gt; 1) &lt;&lt; 8) | NvBlockId_DTMS_WarnEvent,</v>
      </c>
      <c r="X39" s="102" t="str">
        <f t="shared" si="4"/>
        <v>NvMBlockLength_DTMS_WarnEvent,</v>
      </c>
      <c r="Y39" s="102" t="str">
        <f t="shared" si="5"/>
        <v>{NvBlockId_DTMS_WarnEvent, NvMirror_DTMS_WarnEvent, NULL},</v>
      </c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</row>
    <row r="40" spans="1:46" s="290" customFormat="1">
      <c r="A40" s="365">
        <v>4</v>
      </c>
      <c r="B40" s="365">
        <v>1</v>
      </c>
      <c r="C40" s="70">
        <v>38</v>
      </c>
      <c r="D40" s="78" t="s">
        <v>81</v>
      </c>
      <c r="E40" s="108" t="str">
        <f t="shared" si="6"/>
        <v>2601</v>
      </c>
      <c r="F40" s="77">
        <v>52</v>
      </c>
      <c r="G40" s="77" t="s">
        <v>68</v>
      </c>
      <c r="H40" s="77" t="s">
        <v>54</v>
      </c>
      <c r="I40" s="77" t="s">
        <v>54</v>
      </c>
      <c r="J40" s="77" t="s">
        <v>54</v>
      </c>
      <c r="K40" s="77" t="s">
        <v>54</v>
      </c>
      <c r="L40" s="78" t="s">
        <v>56</v>
      </c>
      <c r="M40" s="77"/>
      <c r="N40" s="315"/>
      <c r="O40" s="286"/>
      <c r="P40" s="286"/>
      <c r="Q40" s="287"/>
      <c r="R40" s="287"/>
      <c r="S40" s="287"/>
      <c r="T40" s="288" t="s">
        <v>745</v>
      </c>
      <c r="U40" s="289" t="str">
        <f t="shared" si="1"/>
        <v>NvBlockId_DiagDTCsStatusBytes0,</v>
      </c>
      <c r="V40" s="289" t="str">
        <f t="shared" si="2"/>
        <v>u8 NvMirror_DiagDTCsStatusBytes0[NvMBlockLength_DiagDTCsStatusBytes0];</v>
      </c>
      <c r="W40" s="289" t="str">
        <f t="shared" si="3"/>
        <v>NvMBlockHeader | (u32)((NvMBlockLength_DiagDTCsStatusBytes0&gt;&gt; 1) &lt;&lt; 8) | NvBlockId_DiagDTCsStatusBytes0,</v>
      </c>
      <c r="X40" s="289" t="str">
        <f t="shared" si="4"/>
        <v>NvMBlockLength_DiagDTCsStatusBytes0,</v>
      </c>
      <c r="Y40" s="289" t="str">
        <f t="shared" si="5"/>
        <v>{NvBlockId_DiagDTCsStatusBytes0, NvMirror_DiagDTCsStatusBytes0, NULL},</v>
      </c>
      <c r="Z40" s="287"/>
      <c r="AA40" s="287"/>
      <c r="AB40" s="287"/>
      <c r="AC40" s="287"/>
      <c r="AD40" s="287"/>
      <c r="AE40" s="287"/>
      <c r="AF40" s="287"/>
      <c r="AG40" s="287"/>
      <c r="AH40" s="287"/>
      <c r="AI40" s="287"/>
      <c r="AJ40" s="287"/>
      <c r="AK40" s="287"/>
      <c r="AL40" s="287"/>
      <c r="AM40" s="287"/>
      <c r="AN40" s="287"/>
      <c r="AO40" s="287"/>
      <c r="AP40" s="287"/>
      <c r="AQ40" s="287"/>
      <c r="AR40" s="287"/>
      <c r="AS40" s="287"/>
      <c r="AT40" s="287"/>
    </row>
    <row r="41" spans="1:46" s="290" customFormat="1">
      <c r="A41" s="366"/>
      <c r="B41" s="366"/>
      <c r="C41" s="70">
        <v>39</v>
      </c>
      <c r="D41" s="78" t="s">
        <v>2153</v>
      </c>
      <c r="E41" s="108" t="str">
        <f t="shared" si="6"/>
        <v>2701</v>
      </c>
      <c r="F41" s="77">
        <v>52</v>
      </c>
      <c r="G41" s="77" t="s">
        <v>68</v>
      </c>
      <c r="H41" s="77" t="s">
        <v>54</v>
      </c>
      <c r="I41" s="77" t="s">
        <v>54</v>
      </c>
      <c r="J41" s="77" t="s">
        <v>54</v>
      </c>
      <c r="K41" s="77" t="s">
        <v>54</v>
      </c>
      <c r="L41" s="78" t="s">
        <v>56</v>
      </c>
      <c r="M41" s="77"/>
      <c r="N41" s="315"/>
      <c r="O41" s="286"/>
      <c r="P41" s="286"/>
      <c r="Q41" s="287"/>
      <c r="R41" s="287"/>
      <c r="S41" s="287"/>
      <c r="T41" s="288" t="s">
        <v>2154</v>
      </c>
      <c r="U41" s="289" t="str">
        <f t="shared" si="1"/>
        <v>NvBlockId_DiagDTCsStatusBytes1,</v>
      </c>
      <c r="V41" s="289" t="str">
        <f t="shared" si="2"/>
        <v>u8 NvMirror_DiagDTCsStatusBytes1[NvMBlockLength_DiagDTCsStatusBytes1];</v>
      </c>
      <c r="W41" s="289" t="str">
        <f t="shared" si="3"/>
        <v>NvMBlockHeader | (u32)((NvMBlockLength_DiagDTCsStatusBytes1&gt;&gt; 1) &lt;&lt; 8) | NvBlockId_DiagDTCsStatusBytes1,</v>
      </c>
      <c r="X41" s="289" t="str">
        <f t="shared" si="4"/>
        <v>NvMBlockLength_DiagDTCsStatusBytes1,</v>
      </c>
      <c r="Y41" s="289" t="str">
        <f t="shared" si="5"/>
        <v>{NvBlockId_DiagDTCsStatusBytes1, NvMirror_DiagDTCsStatusBytes1, NULL},</v>
      </c>
      <c r="Z41" s="287"/>
      <c r="AA41" s="287"/>
      <c r="AB41" s="287"/>
      <c r="AC41" s="287"/>
      <c r="AD41" s="287"/>
      <c r="AE41" s="287"/>
      <c r="AF41" s="287"/>
      <c r="AG41" s="287"/>
      <c r="AH41" s="287"/>
      <c r="AI41" s="287"/>
      <c r="AJ41" s="287"/>
      <c r="AK41" s="287"/>
      <c r="AL41" s="287"/>
      <c r="AM41" s="287"/>
      <c r="AN41" s="287"/>
      <c r="AO41" s="287"/>
      <c r="AP41" s="287"/>
      <c r="AQ41" s="287"/>
      <c r="AR41" s="287"/>
      <c r="AS41" s="287"/>
      <c r="AT41" s="287"/>
    </row>
    <row r="42" spans="1:46" s="290" customFormat="1">
      <c r="A42" s="366"/>
      <c r="B42" s="366"/>
      <c r="C42" s="70">
        <v>40</v>
      </c>
      <c r="D42" s="78" t="s">
        <v>2155</v>
      </c>
      <c r="E42" s="108" t="str">
        <f t="shared" si="6"/>
        <v>2801</v>
      </c>
      <c r="F42" s="77">
        <v>52</v>
      </c>
      <c r="G42" s="77" t="s">
        <v>68</v>
      </c>
      <c r="H42" s="77" t="s">
        <v>54</v>
      </c>
      <c r="I42" s="77" t="s">
        <v>54</v>
      </c>
      <c r="J42" s="77" t="s">
        <v>54</v>
      </c>
      <c r="K42" s="77" t="s">
        <v>54</v>
      </c>
      <c r="L42" s="78" t="s">
        <v>56</v>
      </c>
      <c r="M42" s="77"/>
      <c r="N42" s="315"/>
      <c r="O42" s="286"/>
      <c r="P42" s="286"/>
      <c r="Q42" s="287"/>
      <c r="R42" s="287"/>
      <c r="S42" s="287"/>
      <c r="T42" s="288" t="s">
        <v>2156</v>
      </c>
      <c r="U42" s="289" t="str">
        <f t="shared" si="1"/>
        <v>NvBlockId_DiagDTCsStatusBytes2,</v>
      </c>
      <c r="V42" s="289" t="str">
        <f t="shared" si="2"/>
        <v>u8 NvMirror_DiagDTCsStatusBytes2[NvMBlockLength_DiagDTCsStatusBytes2];</v>
      </c>
      <c r="W42" s="289" t="str">
        <f t="shared" si="3"/>
        <v>NvMBlockHeader | (u32)((NvMBlockLength_DiagDTCsStatusBytes2&gt;&gt; 1) &lt;&lt; 8) | NvBlockId_DiagDTCsStatusBytes2,</v>
      </c>
      <c r="X42" s="289" t="str">
        <f t="shared" si="4"/>
        <v>NvMBlockLength_DiagDTCsStatusBytes2,</v>
      </c>
      <c r="Y42" s="289" t="str">
        <f t="shared" si="5"/>
        <v>{NvBlockId_DiagDTCsStatusBytes2, NvMirror_DiagDTCsStatusBytes2, NULL},</v>
      </c>
      <c r="Z42" s="287"/>
      <c r="AA42" s="287"/>
      <c r="AB42" s="287"/>
      <c r="AC42" s="287"/>
      <c r="AD42" s="287"/>
      <c r="AE42" s="287"/>
      <c r="AF42" s="287"/>
      <c r="AG42" s="287"/>
      <c r="AH42" s="287"/>
      <c r="AI42" s="287"/>
      <c r="AJ42" s="287"/>
      <c r="AK42" s="287"/>
      <c r="AL42" s="287"/>
      <c r="AM42" s="287"/>
      <c r="AN42" s="287"/>
      <c r="AO42" s="287"/>
      <c r="AP42" s="287"/>
      <c r="AQ42" s="287"/>
      <c r="AR42" s="287"/>
      <c r="AS42" s="287"/>
      <c r="AT42" s="287"/>
    </row>
    <row r="43" spans="1:46" s="290" customFormat="1">
      <c r="A43" s="366"/>
      <c r="B43" s="366"/>
      <c r="C43" s="70">
        <v>41</v>
      </c>
      <c r="D43" s="78" t="s">
        <v>2157</v>
      </c>
      <c r="E43" s="108" t="str">
        <f t="shared" si="6"/>
        <v>2901</v>
      </c>
      <c r="F43" s="77">
        <v>52</v>
      </c>
      <c r="G43" s="77" t="s">
        <v>68</v>
      </c>
      <c r="H43" s="77" t="s">
        <v>54</v>
      </c>
      <c r="I43" s="77" t="s">
        <v>54</v>
      </c>
      <c r="J43" s="77" t="s">
        <v>54</v>
      </c>
      <c r="K43" s="77" t="s">
        <v>54</v>
      </c>
      <c r="L43" s="78" t="s">
        <v>56</v>
      </c>
      <c r="M43" s="77"/>
      <c r="N43" s="315"/>
      <c r="O43" s="286"/>
      <c r="P43" s="286"/>
      <c r="Q43" s="287"/>
      <c r="R43" s="287"/>
      <c r="S43" s="287"/>
      <c r="T43" s="288" t="s">
        <v>2158</v>
      </c>
      <c r="U43" s="289" t="str">
        <f t="shared" si="1"/>
        <v>NvBlockId_DiagDTCsStatusBytes3,</v>
      </c>
      <c r="V43" s="289" t="str">
        <f t="shared" si="2"/>
        <v>u8 NvMirror_DiagDTCsStatusBytes3[NvMBlockLength_DiagDTCsStatusBytes3];</v>
      </c>
      <c r="W43" s="289" t="str">
        <f t="shared" si="3"/>
        <v>NvMBlockHeader | (u32)((NvMBlockLength_DiagDTCsStatusBytes3&gt;&gt; 1) &lt;&lt; 8) | NvBlockId_DiagDTCsStatusBytes3,</v>
      </c>
      <c r="X43" s="289" t="str">
        <f t="shared" si="4"/>
        <v>NvMBlockLength_DiagDTCsStatusBytes3,</v>
      </c>
      <c r="Y43" s="289" t="str">
        <f t="shared" si="5"/>
        <v>{NvBlockId_DiagDTCsStatusBytes3, NvMirror_DiagDTCsStatusBytes3, NULL},</v>
      </c>
      <c r="Z43" s="287"/>
      <c r="AA43" s="287"/>
      <c r="AB43" s="287"/>
      <c r="AC43" s="287"/>
      <c r="AD43" s="287"/>
      <c r="AE43" s="287"/>
      <c r="AF43" s="287"/>
      <c r="AG43" s="287"/>
      <c r="AH43" s="287"/>
      <c r="AI43" s="287"/>
      <c r="AJ43" s="287"/>
      <c r="AK43" s="287"/>
      <c r="AL43" s="287"/>
      <c r="AM43" s="287"/>
      <c r="AN43" s="287"/>
      <c r="AO43" s="287"/>
      <c r="AP43" s="287"/>
      <c r="AQ43" s="287"/>
      <c r="AR43" s="287"/>
      <c r="AS43" s="287"/>
      <c r="AT43" s="287"/>
    </row>
    <row r="44" spans="1:46" s="290" customFormat="1">
      <c r="A44" s="366"/>
      <c r="B44" s="366"/>
      <c r="C44" s="70">
        <v>42</v>
      </c>
      <c r="D44" s="78" t="s">
        <v>2159</v>
      </c>
      <c r="E44" s="108" t="str">
        <f t="shared" si="6"/>
        <v>2A01</v>
      </c>
      <c r="F44" s="77">
        <v>52</v>
      </c>
      <c r="G44" s="77" t="s">
        <v>68</v>
      </c>
      <c r="H44" s="77" t="s">
        <v>54</v>
      </c>
      <c r="I44" s="77" t="s">
        <v>54</v>
      </c>
      <c r="J44" s="77" t="s">
        <v>54</v>
      </c>
      <c r="K44" s="77" t="s">
        <v>54</v>
      </c>
      <c r="L44" s="78" t="s">
        <v>56</v>
      </c>
      <c r="M44" s="77"/>
      <c r="N44" s="315"/>
      <c r="O44" s="286"/>
      <c r="P44" s="286"/>
      <c r="Q44" s="287"/>
      <c r="R44" s="287"/>
      <c r="S44" s="287"/>
      <c r="T44" s="288" t="s">
        <v>2160</v>
      </c>
      <c r="U44" s="289" t="str">
        <f t="shared" si="1"/>
        <v>NvBlockId_DiagDTCsStatusBytes4,</v>
      </c>
      <c r="V44" s="289" t="str">
        <f t="shared" si="2"/>
        <v>u8 NvMirror_DiagDTCsStatusBytes4[NvMBlockLength_DiagDTCsStatusBytes4];</v>
      </c>
      <c r="W44" s="289" t="str">
        <f t="shared" si="3"/>
        <v>NvMBlockHeader | (u32)((NvMBlockLength_DiagDTCsStatusBytes4&gt;&gt; 1) &lt;&lt; 8) | NvBlockId_DiagDTCsStatusBytes4,</v>
      </c>
      <c r="X44" s="289" t="str">
        <f t="shared" si="4"/>
        <v>NvMBlockLength_DiagDTCsStatusBytes4,</v>
      </c>
      <c r="Y44" s="289" t="str">
        <f t="shared" si="5"/>
        <v>{NvBlockId_DiagDTCsStatusBytes4, NvMirror_DiagDTCsStatusBytes4, NULL},</v>
      </c>
      <c r="Z44" s="287"/>
      <c r="AA44" s="287"/>
      <c r="AB44" s="287"/>
      <c r="AC44" s="287"/>
      <c r="AD44" s="287"/>
      <c r="AE44" s="287"/>
      <c r="AF44" s="287"/>
      <c r="AG44" s="287"/>
      <c r="AH44" s="287"/>
      <c r="AI44" s="287"/>
      <c r="AJ44" s="287"/>
      <c r="AK44" s="287"/>
      <c r="AL44" s="287"/>
      <c r="AM44" s="287"/>
      <c r="AN44" s="287"/>
      <c r="AO44" s="287"/>
      <c r="AP44" s="287"/>
      <c r="AQ44" s="287"/>
      <c r="AR44" s="287"/>
      <c r="AS44" s="287"/>
      <c r="AT44" s="287"/>
    </row>
    <row r="45" spans="1:46" s="290" customFormat="1">
      <c r="A45" s="366"/>
      <c r="B45" s="366"/>
      <c r="C45" s="70">
        <v>43</v>
      </c>
      <c r="D45" s="78" t="s">
        <v>2161</v>
      </c>
      <c r="E45" s="108" t="str">
        <f t="shared" si="6"/>
        <v>2B01</v>
      </c>
      <c r="F45" s="77">
        <v>52</v>
      </c>
      <c r="G45" s="77" t="s">
        <v>68</v>
      </c>
      <c r="H45" s="77" t="s">
        <v>54</v>
      </c>
      <c r="I45" s="77" t="s">
        <v>54</v>
      </c>
      <c r="J45" s="77" t="s">
        <v>54</v>
      </c>
      <c r="K45" s="77" t="s">
        <v>54</v>
      </c>
      <c r="L45" s="78" t="s">
        <v>56</v>
      </c>
      <c r="M45" s="77"/>
      <c r="N45" s="315"/>
      <c r="O45" s="286"/>
      <c r="P45" s="286"/>
      <c r="Q45" s="287"/>
      <c r="R45" s="287"/>
      <c r="S45" s="287"/>
      <c r="T45" s="288" t="s">
        <v>2162</v>
      </c>
      <c r="U45" s="289" t="str">
        <f t="shared" si="1"/>
        <v>NvBlockId_DiagDTCsStatusBytes5,</v>
      </c>
      <c r="V45" s="289" t="str">
        <f t="shared" si="2"/>
        <v>u8 NvMirror_DiagDTCsStatusBytes5[NvMBlockLength_DiagDTCsStatusBytes5];</v>
      </c>
      <c r="W45" s="289" t="str">
        <f t="shared" si="3"/>
        <v>NvMBlockHeader | (u32)((NvMBlockLength_DiagDTCsStatusBytes5&gt;&gt; 1) &lt;&lt; 8) | NvBlockId_DiagDTCsStatusBytes5,</v>
      </c>
      <c r="X45" s="289" t="str">
        <f t="shared" si="4"/>
        <v>NvMBlockLength_DiagDTCsStatusBytes5,</v>
      </c>
      <c r="Y45" s="289" t="str">
        <f t="shared" si="5"/>
        <v>{NvBlockId_DiagDTCsStatusBytes5, NvMirror_DiagDTCsStatusBytes5, NULL},</v>
      </c>
      <c r="Z45" s="287"/>
      <c r="AA45" s="287"/>
      <c r="AB45" s="287"/>
      <c r="AC45" s="287"/>
      <c r="AD45" s="287"/>
      <c r="AE45" s="287"/>
      <c r="AF45" s="287"/>
      <c r="AG45" s="287"/>
      <c r="AH45" s="287"/>
      <c r="AI45" s="287"/>
      <c r="AJ45" s="287"/>
      <c r="AK45" s="287"/>
      <c r="AL45" s="287"/>
      <c r="AM45" s="287"/>
      <c r="AN45" s="287"/>
      <c r="AO45" s="287"/>
      <c r="AP45" s="287"/>
      <c r="AQ45" s="287"/>
      <c r="AR45" s="287"/>
      <c r="AS45" s="287"/>
      <c r="AT45" s="287"/>
    </row>
    <row r="46" spans="1:46" s="290" customFormat="1">
      <c r="A46" s="366"/>
      <c r="B46" s="366"/>
      <c r="C46" s="70">
        <v>44</v>
      </c>
      <c r="D46" s="78" t="s">
        <v>82</v>
      </c>
      <c r="E46" s="108" t="str">
        <f t="shared" si="6"/>
        <v>2C01</v>
      </c>
      <c r="F46" s="77">
        <v>52</v>
      </c>
      <c r="G46" s="77" t="s">
        <v>68</v>
      </c>
      <c r="H46" s="77" t="s">
        <v>54</v>
      </c>
      <c r="I46" s="77" t="s">
        <v>54</v>
      </c>
      <c r="J46" s="77" t="s">
        <v>54</v>
      </c>
      <c r="K46" s="77" t="s">
        <v>54</v>
      </c>
      <c r="L46" s="78" t="s">
        <v>56</v>
      </c>
      <c r="M46" s="77"/>
      <c r="N46" s="315"/>
      <c r="O46" s="286"/>
      <c r="P46" s="286"/>
      <c r="Q46" s="287"/>
      <c r="R46" s="287"/>
      <c r="S46" s="287"/>
      <c r="T46" s="288" t="s">
        <v>746</v>
      </c>
      <c r="U46" s="289" t="str">
        <f t="shared" si="1"/>
        <v>NvBlockId_DiagDTCsUnlearnCounters0,</v>
      </c>
      <c r="V46" s="289" t="str">
        <f t="shared" si="2"/>
        <v>u8 NvMirror_DiagDTCsUnlearnCounters0[NvMBlockLength_DiagDTCsUnlearnCounters0];</v>
      </c>
      <c r="W46" s="289" t="str">
        <f t="shared" si="3"/>
        <v>NvMBlockHeader | (u32)((NvMBlockLength_DiagDTCsUnlearnCounters0&gt;&gt; 1) &lt;&lt; 8) | NvBlockId_DiagDTCsUnlearnCounters0,</v>
      </c>
      <c r="X46" s="289" t="str">
        <f t="shared" si="4"/>
        <v>NvMBlockLength_DiagDTCsUnlearnCounters0,</v>
      </c>
      <c r="Y46" s="289" t="str">
        <f t="shared" si="5"/>
        <v>{NvBlockId_DiagDTCsUnlearnCounters0, NvMirror_DiagDTCsUnlearnCounters0, NULL},</v>
      </c>
      <c r="Z46" s="287"/>
      <c r="AA46" s="287"/>
      <c r="AB46" s="287"/>
      <c r="AC46" s="287"/>
      <c r="AD46" s="287"/>
      <c r="AE46" s="287"/>
      <c r="AF46" s="287"/>
      <c r="AG46" s="287"/>
      <c r="AH46" s="287"/>
      <c r="AI46" s="287"/>
      <c r="AJ46" s="287"/>
      <c r="AK46" s="287"/>
      <c r="AL46" s="287"/>
      <c r="AM46" s="287"/>
      <c r="AN46" s="287"/>
      <c r="AO46" s="287"/>
      <c r="AP46" s="287"/>
      <c r="AQ46" s="287"/>
      <c r="AR46" s="287"/>
      <c r="AS46" s="287"/>
      <c r="AT46" s="287"/>
    </row>
    <row r="47" spans="1:46" s="290" customFormat="1">
      <c r="A47" s="366"/>
      <c r="B47" s="366"/>
      <c r="C47" s="70">
        <v>45</v>
      </c>
      <c r="D47" s="78" t="s">
        <v>2163</v>
      </c>
      <c r="E47" s="108" t="str">
        <f t="shared" si="6"/>
        <v>2D01</v>
      </c>
      <c r="F47" s="77">
        <v>52</v>
      </c>
      <c r="G47" s="77" t="s">
        <v>68</v>
      </c>
      <c r="H47" s="77" t="s">
        <v>54</v>
      </c>
      <c r="I47" s="77" t="s">
        <v>54</v>
      </c>
      <c r="J47" s="77" t="s">
        <v>54</v>
      </c>
      <c r="K47" s="77" t="s">
        <v>54</v>
      </c>
      <c r="L47" s="78" t="s">
        <v>56</v>
      </c>
      <c r="M47" s="77"/>
      <c r="N47" s="315"/>
      <c r="O47" s="286"/>
      <c r="P47" s="286"/>
      <c r="Q47" s="287"/>
      <c r="R47" s="287"/>
      <c r="S47" s="287"/>
      <c r="T47" s="288" t="s">
        <v>2164</v>
      </c>
      <c r="U47" s="289" t="str">
        <f t="shared" si="1"/>
        <v>NvBlockId_DiagDTCsUnlearnCounters1,</v>
      </c>
      <c r="V47" s="289" t="str">
        <f t="shared" si="2"/>
        <v>u8 NvMirror_DiagDTCsUnlearnCounters1[NvMBlockLength_DiagDTCsUnlearnCounters1];</v>
      </c>
      <c r="W47" s="289" t="str">
        <f t="shared" si="3"/>
        <v>NvMBlockHeader | (u32)((NvMBlockLength_DiagDTCsUnlearnCounters1&gt;&gt; 1) &lt;&lt; 8) | NvBlockId_DiagDTCsUnlearnCounters1,</v>
      </c>
      <c r="X47" s="289" t="str">
        <f t="shared" si="4"/>
        <v>NvMBlockLength_DiagDTCsUnlearnCounters1,</v>
      </c>
      <c r="Y47" s="289" t="str">
        <f t="shared" si="5"/>
        <v>{NvBlockId_DiagDTCsUnlearnCounters1, NvMirror_DiagDTCsUnlearnCounters1, NULL},</v>
      </c>
      <c r="Z47" s="287"/>
      <c r="AA47" s="287"/>
      <c r="AB47" s="287"/>
      <c r="AC47" s="287"/>
      <c r="AD47" s="287"/>
      <c r="AE47" s="287"/>
      <c r="AF47" s="287"/>
      <c r="AG47" s="287"/>
      <c r="AH47" s="287"/>
      <c r="AI47" s="287"/>
      <c r="AJ47" s="287"/>
      <c r="AK47" s="287"/>
      <c r="AL47" s="287"/>
      <c r="AM47" s="287"/>
      <c r="AN47" s="287"/>
      <c r="AO47" s="287"/>
      <c r="AP47" s="287"/>
      <c r="AQ47" s="287"/>
      <c r="AR47" s="287"/>
      <c r="AS47" s="287"/>
      <c r="AT47" s="287"/>
    </row>
    <row r="48" spans="1:46" s="290" customFormat="1">
      <c r="A48" s="366"/>
      <c r="B48" s="366"/>
      <c r="C48" s="70">
        <v>46</v>
      </c>
      <c r="D48" s="78" t="s">
        <v>2165</v>
      </c>
      <c r="E48" s="108" t="str">
        <f t="shared" si="6"/>
        <v>2E01</v>
      </c>
      <c r="F48" s="77">
        <v>52</v>
      </c>
      <c r="G48" s="77" t="s">
        <v>68</v>
      </c>
      <c r="H48" s="77" t="s">
        <v>54</v>
      </c>
      <c r="I48" s="77" t="s">
        <v>54</v>
      </c>
      <c r="J48" s="77" t="s">
        <v>54</v>
      </c>
      <c r="K48" s="77" t="s">
        <v>54</v>
      </c>
      <c r="L48" s="78" t="s">
        <v>56</v>
      </c>
      <c r="M48" s="77"/>
      <c r="N48" s="315"/>
      <c r="O48" s="286"/>
      <c r="P48" s="286"/>
      <c r="Q48" s="287"/>
      <c r="R48" s="287"/>
      <c r="S48" s="287"/>
      <c r="T48" s="288" t="s">
        <v>2166</v>
      </c>
      <c r="U48" s="289" t="str">
        <f t="shared" si="1"/>
        <v>NvBlockId_DiagDTCsUnlearnCounters2,</v>
      </c>
      <c r="V48" s="289" t="str">
        <f t="shared" si="2"/>
        <v>u8 NvMirror_DiagDTCsUnlearnCounters2[NvMBlockLength_DiagDTCsUnlearnCounters2];</v>
      </c>
      <c r="W48" s="289" t="str">
        <f t="shared" si="3"/>
        <v>NvMBlockHeader | (u32)((NvMBlockLength_DiagDTCsUnlearnCounters2&gt;&gt; 1) &lt;&lt; 8) | NvBlockId_DiagDTCsUnlearnCounters2,</v>
      </c>
      <c r="X48" s="289" t="str">
        <f t="shared" si="4"/>
        <v>NvMBlockLength_DiagDTCsUnlearnCounters2,</v>
      </c>
      <c r="Y48" s="289" t="str">
        <f t="shared" si="5"/>
        <v>{NvBlockId_DiagDTCsUnlearnCounters2, NvMirror_DiagDTCsUnlearnCounters2, NULL},</v>
      </c>
      <c r="Z48" s="287"/>
      <c r="AA48" s="287"/>
      <c r="AB48" s="287"/>
      <c r="AC48" s="287"/>
      <c r="AD48" s="287"/>
      <c r="AE48" s="287"/>
      <c r="AF48" s="287"/>
      <c r="AG48" s="287"/>
      <c r="AH48" s="287"/>
      <c r="AI48" s="287"/>
      <c r="AJ48" s="287"/>
      <c r="AK48" s="287"/>
      <c r="AL48" s="287"/>
      <c r="AM48" s="287"/>
      <c r="AN48" s="287"/>
      <c r="AO48" s="287"/>
      <c r="AP48" s="287"/>
      <c r="AQ48" s="287"/>
      <c r="AR48" s="287"/>
      <c r="AS48" s="287"/>
      <c r="AT48" s="287"/>
    </row>
    <row r="49" spans="1:46" s="290" customFormat="1">
      <c r="A49" s="366"/>
      <c r="B49" s="366"/>
      <c r="C49" s="70">
        <v>47</v>
      </c>
      <c r="D49" s="78" t="s">
        <v>2167</v>
      </c>
      <c r="E49" s="108" t="str">
        <f t="shared" si="6"/>
        <v>2F01</v>
      </c>
      <c r="F49" s="77">
        <v>52</v>
      </c>
      <c r="G49" s="77" t="s">
        <v>68</v>
      </c>
      <c r="H49" s="77" t="s">
        <v>54</v>
      </c>
      <c r="I49" s="77" t="s">
        <v>54</v>
      </c>
      <c r="J49" s="77" t="s">
        <v>54</v>
      </c>
      <c r="K49" s="77" t="s">
        <v>54</v>
      </c>
      <c r="L49" s="78" t="s">
        <v>56</v>
      </c>
      <c r="M49" s="77"/>
      <c r="N49" s="315"/>
      <c r="O49" s="286"/>
      <c r="P49" s="286"/>
      <c r="Q49" s="287"/>
      <c r="R49" s="287"/>
      <c r="S49" s="287"/>
      <c r="T49" s="288" t="s">
        <v>2168</v>
      </c>
      <c r="U49" s="289" t="str">
        <f t="shared" si="1"/>
        <v>NvBlockId_DiagDTCsUnlearnCounters3,</v>
      </c>
      <c r="V49" s="289" t="str">
        <f t="shared" si="2"/>
        <v>u8 NvMirror_DiagDTCsUnlearnCounters3[NvMBlockLength_DiagDTCsUnlearnCounters3];</v>
      </c>
      <c r="W49" s="289" t="str">
        <f t="shared" si="3"/>
        <v>NvMBlockHeader | (u32)((NvMBlockLength_DiagDTCsUnlearnCounters3&gt;&gt; 1) &lt;&lt; 8) | NvBlockId_DiagDTCsUnlearnCounters3,</v>
      </c>
      <c r="X49" s="289" t="str">
        <f t="shared" si="4"/>
        <v>NvMBlockLength_DiagDTCsUnlearnCounters3,</v>
      </c>
      <c r="Y49" s="289" t="str">
        <f t="shared" si="5"/>
        <v>{NvBlockId_DiagDTCsUnlearnCounters3, NvMirror_DiagDTCsUnlearnCounters3, NULL},</v>
      </c>
      <c r="Z49" s="287"/>
      <c r="AA49" s="287"/>
      <c r="AB49" s="287"/>
      <c r="AC49" s="287"/>
      <c r="AD49" s="287"/>
      <c r="AE49" s="287"/>
      <c r="AF49" s="287"/>
      <c r="AG49" s="287"/>
      <c r="AH49" s="287"/>
      <c r="AI49" s="287"/>
      <c r="AJ49" s="287"/>
      <c r="AK49" s="287"/>
      <c r="AL49" s="287"/>
      <c r="AM49" s="287"/>
      <c r="AN49" s="287"/>
      <c r="AO49" s="287"/>
      <c r="AP49" s="287"/>
      <c r="AQ49" s="287"/>
      <c r="AR49" s="287"/>
      <c r="AS49" s="287"/>
      <c r="AT49" s="287"/>
    </row>
    <row r="50" spans="1:46" s="290" customFormat="1">
      <c r="A50" s="366"/>
      <c r="B50" s="366"/>
      <c r="C50" s="70">
        <v>48</v>
      </c>
      <c r="D50" s="78" t="s">
        <v>2169</v>
      </c>
      <c r="E50" s="108" t="str">
        <f t="shared" si="6"/>
        <v>3001</v>
      </c>
      <c r="F50" s="77">
        <v>52</v>
      </c>
      <c r="G50" s="77" t="s">
        <v>68</v>
      </c>
      <c r="H50" s="77" t="s">
        <v>54</v>
      </c>
      <c r="I50" s="77" t="s">
        <v>54</v>
      </c>
      <c r="J50" s="77" t="s">
        <v>54</v>
      </c>
      <c r="K50" s="77" t="s">
        <v>54</v>
      </c>
      <c r="L50" s="78" t="s">
        <v>56</v>
      </c>
      <c r="M50" s="77"/>
      <c r="N50" s="315"/>
      <c r="O50" s="286"/>
      <c r="P50" s="286"/>
      <c r="Q50" s="287"/>
      <c r="R50" s="287"/>
      <c r="S50" s="287"/>
      <c r="T50" s="288" t="s">
        <v>2170</v>
      </c>
      <c r="U50" s="289" t="str">
        <f t="shared" si="1"/>
        <v>NvBlockId_DiagDTCsUnlearnCounters4,</v>
      </c>
      <c r="V50" s="289" t="str">
        <f t="shared" si="2"/>
        <v>u8 NvMirror_DiagDTCsUnlearnCounters4[NvMBlockLength_DiagDTCsUnlearnCounters4];</v>
      </c>
      <c r="W50" s="289" t="str">
        <f t="shared" si="3"/>
        <v>NvMBlockHeader | (u32)((NvMBlockLength_DiagDTCsUnlearnCounters4&gt;&gt; 1) &lt;&lt; 8) | NvBlockId_DiagDTCsUnlearnCounters4,</v>
      </c>
      <c r="X50" s="289" t="str">
        <f t="shared" si="4"/>
        <v>NvMBlockLength_DiagDTCsUnlearnCounters4,</v>
      </c>
      <c r="Y50" s="289" t="str">
        <f t="shared" si="5"/>
        <v>{NvBlockId_DiagDTCsUnlearnCounters4, NvMirror_DiagDTCsUnlearnCounters4, NULL},</v>
      </c>
      <c r="Z50" s="287"/>
      <c r="AA50" s="287"/>
      <c r="AB50" s="287"/>
      <c r="AC50" s="287"/>
      <c r="AD50" s="287"/>
      <c r="AE50" s="287"/>
      <c r="AF50" s="287"/>
      <c r="AG50" s="287"/>
      <c r="AH50" s="287"/>
      <c r="AI50" s="287"/>
      <c r="AJ50" s="287"/>
      <c r="AK50" s="287"/>
      <c r="AL50" s="287"/>
      <c r="AM50" s="287"/>
      <c r="AN50" s="287"/>
      <c r="AO50" s="287"/>
      <c r="AP50" s="287"/>
      <c r="AQ50" s="287"/>
      <c r="AR50" s="287"/>
      <c r="AS50" s="287"/>
      <c r="AT50" s="287"/>
    </row>
    <row r="51" spans="1:46" s="290" customFormat="1">
      <c r="A51" s="367"/>
      <c r="B51" s="367"/>
      <c r="C51" s="70">
        <v>49</v>
      </c>
      <c r="D51" s="78" t="s">
        <v>2171</v>
      </c>
      <c r="E51" s="108" t="str">
        <f t="shared" si="6"/>
        <v>3101</v>
      </c>
      <c r="F51" s="77">
        <v>52</v>
      </c>
      <c r="G51" s="77" t="s">
        <v>68</v>
      </c>
      <c r="H51" s="77" t="s">
        <v>54</v>
      </c>
      <c r="I51" s="77" t="s">
        <v>54</v>
      </c>
      <c r="J51" s="77" t="s">
        <v>54</v>
      </c>
      <c r="K51" s="77" t="s">
        <v>54</v>
      </c>
      <c r="L51" s="78" t="s">
        <v>56</v>
      </c>
      <c r="M51" s="77"/>
      <c r="N51" s="315"/>
      <c r="O51" s="286"/>
      <c r="P51" s="286"/>
      <c r="Q51" s="287"/>
      <c r="R51" s="287"/>
      <c r="S51" s="287"/>
      <c r="T51" s="288" t="s">
        <v>2172</v>
      </c>
      <c r="U51" s="289" t="str">
        <f t="shared" si="1"/>
        <v>NvBlockId_DiagDTCsUnlearnCounters5,</v>
      </c>
      <c r="V51" s="289" t="str">
        <f t="shared" si="2"/>
        <v>u8 NvMirror_DiagDTCsUnlearnCounters5[NvMBlockLength_DiagDTCsUnlearnCounters5];</v>
      </c>
      <c r="W51" s="289" t="str">
        <f t="shared" si="3"/>
        <v>NvMBlockHeader | (u32)((NvMBlockLength_DiagDTCsUnlearnCounters5&gt;&gt; 1) &lt;&lt; 8) | NvBlockId_DiagDTCsUnlearnCounters5,</v>
      </c>
      <c r="X51" s="289" t="str">
        <f t="shared" si="4"/>
        <v>NvMBlockLength_DiagDTCsUnlearnCounters5,</v>
      </c>
      <c r="Y51" s="289" t="str">
        <f t="shared" si="5"/>
        <v>{NvBlockId_DiagDTCsUnlearnCounters5, NvMirror_DiagDTCsUnlearnCounters5, NULL},</v>
      </c>
      <c r="Z51" s="287"/>
      <c r="AA51" s="287"/>
      <c r="AB51" s="287"/>
      <c r="AC51" s="287"/>
      <c r="AD51" s="287"/>
      <c r="AE51" s="287"/>
      <c r="AF51" s="287"/>
      <c r="AG51" s="287"/>
      <c r="AH51" s="287"/>
      <c r="AI51" s="287"/>
      <c r="AJ51" s="287"/>
      <c r="AK51" s="287"/>
      <c r="AL51" s="287"/>
      <c r="AM51" s="287"/>
      <c r="AN51" s="287"/>
      <c r="AO51" s="287"/>
      <c r="AP51" s="287"/>
      <c r="AQ51" s="287"/>
      <c r="AR51" s="287"/>
      <c r="AS51" s="287"/>
      <c r="AT51" s="287"/>
    </row>
    <row r="52" spans="1:46" s="56" customFormat="1">
      <c r="A52" s="362">
        <v>5</v>
      </c>
      <c r="B52" s="362">
        <v>1</v>
      </c>
      <c r="C52" s="70">
        <v>50</v>
      </c>
      <c r="D52" s="70" t="s">
        <v>83</v>
      </c>
      <c r="E52" s="71" t="str">
        <f t="shared" si="6"/>
        <v>3201</v>
      </c>
      <c r="F52" s="77">
        <v>20</v>
      </c>
      <c r="G52" s="69" t="s">
        <v>68</v>
      </c>
      <c r="H52" s="69"/>
      <c r="I52" s="69"/>
      <c r="J52" s="69"/>
      <c r="K52" s="69"/>
      <c r="L52" s="70"/>
      <c r="M52" s="69"/>
      <c r="N52" s="315"/>
      <c r="O52" s="74"/>
      <c r="P52" s="74"/>
      <c r="Q52" s="75"/>
      <c r="R52" s="75"/>
      <c r="S52" s="75"/>
      <c r="T52" s="102" t="s">
        <v>747</v>
      </c>
      <c r="U52" s="102" t="str">
        <f t="shared" si="1"/>
        <v>NvBlockId_CDLStack,</v>
      </c>
      <c r="V52" s="102" t="str">
        <f t="shared" si="2"/>
        <v>u8 NvMirror_CDLStack[NvMBlockLength_CDLStack];</v>
      </c>
      <c r="W52" s="102" t="str">
        <f t="shared" si="3"/>
        <v>NvMBlockHeader | (u32)((NvMBlockLength_CDLStack&gt;&gt; 1) &lt;&lt; 8) | NvBlockId_CDLStack,</v>
      </c>
      <c r="X52" s="102" t="str">
        <f t="shared" si="4"/>
        <v>NvMBlockLength_CDLStack,</v>
      </c>
      <c r="Y52" s="102" t="str">
        <f t="shared" si="5"/>
        <v>{NvBlockId_CDLStack, NvMirror_CDLStack, CDLStack_Default},</v>
      </c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</row>
    <row r="53" spans="1:46" s="56" customFormat="1">
      <c r="A53" s="363"/>
      <c r="B53" s="363"/>
      <c r="C53" s="327">
        <v>51</v>
      </c>
      <c r="D53" s="326" t="s">
        <v>3015</v>
      </c>
      <c r="E53" s="71" t="str">
        <f t="shared" si="6"/>
        <v>3301</v>
      </c>
      <c r="F53" s="77">
        <v>12</v>
      </c>
      <c r="G53" s="69" t="s">
        <v>68</v>
      </c>
      <c r="H53" s="69"/>
      <c r="I53" s="69"/>
      <c r="J53" s="69"/>
      <c r="K53" s="69"/>
      <c r="L53" s="70"/>
      <c r="M53" s="69"/>
      <c r="N53" s="315"/>
      <c r="O53" s="74"/>
      <c r="P53" s="74"/>
      <c r="Q53" s="75"/>
      <c r="R53" s="75"/>
      <c r="S53" s="75"/>
      <c r="T53" s="102" t="s">
        <v>3047</v>
      </c>
      <c r="U53" s="102" t="str">
        <f t="shared" si="1"/>
        <v>NvBlockId_ATWStack,</v>
      </c>
      <c r="V53" s="102" t="str">
        <f t="shared" si="2"/>
        <v>u8 NvMirror_ATWStack[NvMBlockLength_ATWStack];</v>
      </c>
      <c r="W53" s="102" t="str">
        <f t="shared" si="3"/>
        <v>NvMBlockHeader | (u32)((NvMBlockLength_ATWStack&gt;&gt; 1) &lt;&lt; 8) | NvBlockId_ATWStack,</v>
      </c>
      <c r="X53" s="102" t="str">
        <f t="shared" si="4"/>
        <v>NvMBlockLength_ATWStack,</v>
      </c>
      <c r="Y53" s="102" t="str">
        <f t="shared" si="5"/>
        <v>{NvBlockId_ATWStack, NvMirror_ATWStack, ATWStack_Default},</v>
      </c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</row>
    <row r="54" spans="1:46" s="56" customFormat="1">
      <c r="A54" s="363"/>
      <c r="B54" s="363"/>
      <c r="C54" s="70">
        <v>52</v>
      </c>
      <c r="D54" s="70" t="s">
        <v>84</v>
      </c>
      <c r="E54" s="71" t="str">
        <f t="shared" si="6"/>
        <v>3401</v>
      </c>
      <c r="F54" s="77">
        <v>12</v>
      </c>
      <c r="G54" s="69" t="s">
        <v>68</v>
      </c>
      <c r="H54" s="69"/>
      <c r="I54" s="69"/>
      <c r="J54" s="69"/>
      <c r="K54" s="69"/>
      <c r="L54" s="70"/>
      <c r="M54" s="69"/>
      <c r="N54" s="315"/>
      <c r="O54" s="74"/>
      <c r="P54" s="74"/>
      <c r="Q54" s="75"/>
      <c r="R54" s="75"/>
      <c r="S54" s="75"/>
      <c r="T54" s="102" t="s">
        <v>748</v>
      </c>
      <c r="U54" s="102" t="str">
        <f t="shared" si="1"/>
        <v>NvBlockId_PWStack,</v>
      </c>
      <c r="V54" s="102" t="str">
        <f t="shared" si="2"/>
        <v>u8 NvMirror_PWStack[NvMBlockLength_PWStack];</v>
      </c>
      <c r="W54" s="102" t="str">
        <f t="shared" si="3"/>
        <v>NvMBlockHeader | (u32)((NvMBlockLength_PWStack&gt;&gt; 1) &lt;&lt; 8) | NvBlockId_PWStack,</v>
      </c>
      <c r="X54" s="102" t="str">
        <f t="shared" si="4"/>
        <v>NvMBlockLength_PWStack,</v>
      </c>
      <c r="Y54" s="102" t="str">
        <f t="shared" si="5"/>
        <v>{NvBlockId_PWStack, NvMirror_PWStack, PWStack_Default},</v>
      </c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</row>
    <row r="55" spans="1:46" s="56" customFormat="1">
      <c r="A55" s="364"/>
      <c r="B55" s="364"/>
      <c r="C55" s="70">
        <v>53</v>
      </c>
      <c r="D55" s="70" t="s">
        <v>85</v>
      </c>
      <c r="E55" s="71" t="str">
        <f t="shared" si="6"/>
        <v>3501</v>
      </c>
      <c r="F55" s="77">
        <v>20</v>
      </c>
      <c r="G55" s="69" t="s">
        <v>68</v>
      </c>
      <c r="H55" s="69"/>
      <c r="I55" s="69"/>
      <c r="J55" s="69"/>
      <c r="K55" s="69"/>
      <c r="L55" s="69"/>
      <c r="M55" s="69"/>
      <c r="N55" s="315"/>
      <c r="O55" s="74"/>
      <c r="P55" s="74"/>
      <c r="Q55" s="75"/>
      <c r="R55" s="75"/>
      <c r="S55" s="75"/>
      <c r="T55" s="102" t="s">
        <v>749</v>
      </c>
      <c r="U55" s="102" t="str">
        <f t="shared" si="1"/>
        <v>NvBlockId_ReminderStack,</v>
      </c>
      <c r="V55" s="102" t="str">
        <f t="shared" si="2"/>
        <v>u8 NvMirror_ReminderStack[NvMBlockLength_ReminderStack];</v>
      </c>
      <c r="W55" s="102" t="str">
        <f t="shared" si="3"/>
        <v>NvMBlockHeader | (u32)((NvMBlockLength_ReminderStack&gt;&gt; 1) &lt;&lt; 8) | NvBlockId_ReminderStack,</v>
      </c>
      <c r="X55" s="102" t="str">
        <f t="shared" si="4"/>
        <v>NvMBlockLength_ReminderStack,</v>
      </c>
      <c r="Y55" s="102" t="str">
        <f t="shared" si="5"/>
        <v>{NvBlockId_ReminderStack, NvMirror_ReminderStack, ReminderStack_Default},</v>
      </c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</row>
    <row r="56" spans="1:46" s="56" customFormat="1">
      <c r="A56" s="356">
        <v>6</v>
      </c>
      <c r="B56" s="356">
        <v>1</v>
      </c>
      <c r="C56" s="70">
        <v>54</v>
      </c>
      <c r="D56" s="70" t="s">
        <v>48</v>
      </c>
      <c r="E56" s="71" t="str">
        <f t="shared" si="6"/>
        <v>3601</v>
      </c>
      <c r="F56" s="69">
        <v>20</v>
      </c>
      <c r="G56" s="69" t="s">
        <v>68</v>
      </c>
      <c r="H56" s="69"/>
      <c r="I56" s="69"/>
      <c r="J56" s="69"/>
      <c r="K56" s="69"/>
      <c r="L56" s="69"/>
      <c r="M56" s="69"/>
      <c r="N56" s="315"/>
      <c r="O56" s="74"/>
      <c r="P56" s="74"/>
      <c r="Q56" s="75"/>
      <c r="R56" s="75"/>
      <c r="S56" s="75"/>
      <c r="T56" s="102" t="s">
        <v>750</v>
      </c>
      <c r="U56" s="102" t="str">
        <f t="shared" si="1"/>
        <v>NvBlockId_RandomPool,</v>
      </c>
      <c r="V56" s="102" t="str">
        <f t="shared" si="2"/>
        <v>u8 NvMirror_RandomPool[NvMBlockLength_RandomPool];</v>
      </c>
      <c r="W56" s="102" t="str">
        <f t="shared" si="3"/>
        <v>NvMBlockHeader | (u32)((NvMBlockLength_RandomPool&gt;&gt; 1) &lt;&lt; 8) | NvBlockId_RandomPool,</v>
      </c>
      <c r="X56" s="102" t="str">
        <f t="shared" si="4"/>
        <v>NvMBlockLength_RandomPool,</v>
      </c>
      <c r="Y56" s="102" t="str">
        <f t="shared" si="5"/>
        <v>{NvBlockId_RandomPool, NvMirror_RandomPool, RandomPool_Default},</v>
      </c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</row>
    <row r="57" spans="1:46" s="56" customFormat="1">
      <c r="A57" s="357"/>
      <c r="B57" s="357"/>
      <c r="C57" s="70">
        <v>55</v>
      </c>
      <c r="D57" s="70" t="s">
        <v>49</v>
      </c>
      <c r="E57" s="71" t="str">
        <f t="shared" si="6"/>
        <v>3701</v>
      </c>
      <c r="F57" s="69">
        <v>64</v>
      </c>
      <c r="G57" s="69" t="s">
        <v>68</v>
      </c>
      <c r="H57" s="69"/>
      <c r="I57" s="69"/>
      <c r="J57" s="69"/>
      <c r="K57" s="69"/>
      <c r="L57" s="69"/>
      <c r="M57" s="69"/>
      <c r="N57" s="315"/>
      <c r="O57" s="74"/>
      <c r="P57" s="74"/>
      <c r="Q57" s="75"/>
      <c r="R57" s="75"/>
      <c r="S57" s="75"/>
      <c r="T57" s="102" t="s">
        <v>751</v>
      </c>
      <c r="U57" s="102" t="str">
        <f t="shared" si="1"/>
        <v>NvBlockId_ResetCounter,</v>
      </c>
      <c r="V57" s="102" t="str">
        <f t="shared" si="2"/>
        <v>u8 NvMirror_ResetCounter[NvMBlockLength_ResetCounter];</v>
      </c>
      <c r="W57" s="102" t="str">
        <f t="shared" si="3"/>
        <v>NvMBlockHeader | (u32)((NvMBlockLength_ResetCounter&gt;&gt; 1) &lt;&lt; 8) | NvBlockId_ResetCounter,</v>
      </c>
      <c r="X57" s="102" t="str">
        <f t="shared" si="4"/>
        <v>NvMBlockLength_ResetCounter,</v>
      </c>
      <c r="Y57" s="102" t="str">
        <f t="shared" si="5"/>
        <v>{NvBlockId_ResetCounter, NvMirror_ResetCounter, ResetCounter_Default},</v>
      </c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</row>
    <row r="58" spans="1:46" s="75" customFormat="1">
      <c r="A58" s="99"/>
      <c r="B58" s="99"/>
      <c r="C58" s="70">
        <v>56</v>
      </c>
      <c r="D58" s="70" t="s">
        <v>86</v>
      </c>
      <c r="E58" s="71" t="str">
        <f t="shared" si="6"/>
        <v>3801</v>
      </c>
      <c r="F58" s="69">
        <v>20</v>
      </c>
      <c r="G58" s="69" t="s">
        <v>68</v>
      </c>
      <c r="H58" s="69"/>
      <c r="I58" s="69"/>
      <c r="J58" s="69"/>
      <c r="K58" s="69"/>
      <c r="L58" s="69"/>
      <c r="M58" s="69"/>
      <c r="N58" s="315"/>
      <c r="O58" s="74"/>
      <c r="P58" s="74"/>
      <c r="T58" s="102" t="s">
        <v>752</v>
      </c>
      <c r="U58" s="102" t="str">
        <f t="shared" si="1"/>
        <v>NvBlockId_ResetHistory,</v>
      </c>
      <c r="V58" s="102" t="str">
        <f t="shared" si="2"/>
        <v>u8 NvMirror_ResetHistory[NvMBlockLength_ResetHistory];</v>
      </c>
      <c r="W58" s="102" t="str">
        <f t="shared" si="3"/>
        <v>NvMBlockHeader | (u32)((NvMBlockLength_ResetHistory&gt;&gt; 1) &lt;&lt; 8) | NvBlockId_ResetHistory,</v>
      </c>
      <c r="X58" s="102" t="str">
        <f t="shared" si="4"/>
        <v>NvMBlockLength_ResetHistory,</v>
      </c>
      <c r="Y58" s="102" t="str">
        <f t="shared" si="5"/>
        <v>{NvBlockId_ResetHistory, NvMirror_ResetHistory, ResetHistory_Default},</v>
      </c>
    </row>
    <row r="59" spans="1:46" s="75" customFormat="1">
      <c r="A59" s="358"/>
      <c r="B59" s="358"/>
      <c r="C59" s="70">
        <v>57</v>
      </c>
      <c r="D59" s="96" t="s">
        <v>621</v>
      </c>
      <c r="E59" s="71" t="str">
        <f t="shared" si="6"/>
        <v>3901</v>
      </c>
      <c r="F59" s="77">
        <v>16</v>
      </c>
      <c r="G59" s="77" t="s">
        <v>51</v>
      </c>
      <c r="H59" s="77" t="s">
        <v>54</v>
      </c>
      <c r="I59" s="77" t="s">
        <v>55</v>
      </c>
      <c r="J59" s="77" t="s">
        <v>55</v>
      </c>
      <c r="K59" s="77" t="s">
        <v>54</v>
      </c>
      <c r="L59" s="77" t="s">
        <v>56</v>
      </c>
      <c r="M59" s="77" t="s">
        <v>55</v>
      </c>
      <c r="N59" s="315" t="s">
        <v>2565</v>
      </c>
      <c r="O59" s="74"/>
      <c r="P59" s="74"/>
      <c r="T59" s="102" t="s">
        <v>753</v>
      </c>
      <c r="U59" s="102" t="str">
        <f t="shared" si="1"/>
        <v>NvBlockId_DynamicDataGroup1,</v>
      </c>
      <c r="V59" s="102" t="str">
        <f t="shared" si="2"/>
        <v>u8 NvMirror_DynamicDataGroup1[NvMBlockLength_DynamicDataGroup1];</v>
      </c>
      <c r="W59" s="102" t="str">
        <f t="shared" si="3"/>
        <v>NvMBlockHeader | (u32)((NvMBlockLength_DynamicDataGroup1&gt;&gt; 1) &lt;&lt; 8) | NvBlockId_DynamicDataGroup1,</v>
      </c>
      <c r="X59" s="102" t="str">
        <f t="shared" si="4"/>
        <v>NvMBlockLength_DynamicDataGroup1,</v>
      </c>
      <c r="Y59" s="102" t="str">
        <f t="shared" si="5"/>
        <v>{NvBlockId_DynamicDataGroup1, NvMirror_DynamicDataGroup1, DynamicDataGroup1_Default},</v>
      </c>
    </row>
    <row r="60" spans="1:46">
      <c r="A60" s="74"/>
      <c r="B60" s="74"/>
      <c r="C60" s="97"/>
      <c r="D60" s="97"/>
      <c r="E60" s="98"/>
      <c r="F60" s="74"/>
      <c r="G60" s="74"/>
      <c r="H60" s="74"/>
      <c r="I60" s="74"/>
      <c r="J60" s="74"/>
      <c r="K60" s="74"/>
      <c r="L60" s="74"/>
      <c r="M60" s="74"/>
      <c r="N60" s="286"/>
      <c r="O60" s="74"/>
      <c r="P60" s="74"/>
    </row>
    <row r="61" spans="1:46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74"/>
      <c r="N61" s="286"/>
      <c r="O61" s="74"/>
      <c r="P61" s="74"/>
    </row>
    <row r="62" spans="1:46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74"/>
      <c r="N62" s="286"/>
      <c r="O62" s="74"/>
      <c r="P62" s="74"/>
    </row>
    <row r="63" spans="1:46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74"/>
      <c r="N63" s="286"/>
      <c r="O63" s="74"/>
      <c r="P63" s="74"/>
    </row>
    <row r="64" spans="1:46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74"/>
      <c r="N64" s="286"/>
      <c r="O64" s="74"/>
      <c r="P64" s="74"/>
    </row>
    <row r="65" spans="1:16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74"/>
      <c r="N65" s="286"/>
      <c r="O65" s="74"/>
      <c r="P65" s="74"/>
    </row>
    <row r="66" spans="1:16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74"/>
      <c r="N66" s="286"/>
      <c r="O66" s="74"/>
      <c r="P66" s="74"/>
    </row>
    <row r="67" spans="1:16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74"/>
      <c r="N67" s="286"/>
      <c r="O67" s="74"/>
      <c r="P67" s="74"/>
    </row>
    <row r="68" spans="1:16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74"/>
      <c r="N68" s="286"/>
      <c r="O68" s="74"/>
      <c r="P68" s="74"/>
    </row>
    <row r="69" spans="1:16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74"/>
      <c r="N69" s="286"/>
      <c r="O69" s="74"/>
      <c r="P69" s="74"/>
    </row>
    <row r="70" spans="1:16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74"/>
      <c r="N70" s="286"/>
      <c r="O70" s="74"/>
      <c r="P70" s="74"/>
    </row>
    <row r="71" spans="1:16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74"/>
      <c r="N71" s="286"/>
      <c r="O71" s="74"/>
      <c r="P71" s="74"/>
    </row>
    <row r="72" spans="1:16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74"/>
      <c r="N72" s="286"/>
      <c r="O72" s="74"/>
      <c r="P72" s="74"/>
    </row>
    <row r="73" spans="1:16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74"/>
      <c r="N73" s="286"/>
      <c r="O73" s="74"/>
      <c r="P73" s="74"/>
    </row>
    <row r="74" spans="1:16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74"/>
      <c r="N74" s="286"/>
      <c r="O74" s="74"/>
      <c r="P74" s="74"/>
    </row>
    <row r="75" spans="1:16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74"/>
      <c r="N75" s="286"/>
      <c r="O75" s="74"/>
      <c r="P75" s="74"/>
    </row>
    <row r="76" spans="1:16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74"/>
      <c r="N76" s="286"/>
      <c r="O76" s="74"/>
      <c r="P76" s="74"/>
    </row>
    <row r="77" spans="1:16">
      <c r="A77" s="107" t="s">
        <v>1105</v>
      </c>
      <c r="B77" s="106" t="s">
        <v>1103</v>
      </c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74"/>
      <c r="N77" s="286"/>
      <c r="O77" s="74"/>
      <c r="P77" s="74"/>
    </row>
    <row r="78" spans="1:16">
      <c r="A78" s="105" t="s">
        <v>1104</v>
      </c>
      <c r="B78" s="106" t="s">
        <v>1206</v>
      </c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74"/>
      <c r="N78" s="286"/>
      <c r="O78" s="74"/>
      <c r="P78" s="74"/>
    </row>
    <row r="79" spans="1:16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74"/>
      <c r="N79" s="286"/>
      <c r="O79" s="74"/>
      <c r="P79" s="74"/>
    </row>
    <row r="80" spans="1:16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74"/>
      <c r="N80" s="286"/>
      <c r="O80" s="74"/>
      <c r="P80" s="74"/>
    </row>
    <row r="81" spans="1:16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74"/>
      <c r="N81" s="286"/>
      <c r="O81" s="74"/>
      <c r="P81" s="74"/>
    </row>
    <row r="82" spans="1:16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74"/>
      <c r="N82" s="286"/>
      <c r="O82" s="74"/>
      <c r="P82" s="74"/>
    </row>
    <row r="83" spans="1:16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74"/>
      <c r="N83" s="286"/>
      <c r="O83" s="74"/>
      <c r="P83" s="74"/>
    </row>
    <row r="84" spans="1:16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74"/>
      <c r="N84" s="286"/>
      <c r="O84" s="74"/>
      <c r="P84" s="74"/>
    </row>
    <row r="85" spans="1:16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74"/>
      <c r="N85" s="286"/>
      <c r="O85" s="74"/>
      <c r="P85" s="74"/>
    </row>
    <row r="86" spans="1:16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74"/>
      <c r="N86" s="286"/>
      <c r="O86" s="74"/>
      <c r="P86" s="74"/>
    </row>
    <row r="87" spans="1:16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74"/>
      <c r="N87" s="286"/>
      <c r="O87" s="74"/>
      <c r="P87" s="74"/>
    </row>
    <row r="88" spans="1:16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74"/>
      <c r="N88" s="286"/>
      <c r="O88" s="74"/>
      <c r="P88" s="74"/>
    </row>
    <row r="89" spans="1:16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74"/>
      <c r="N89" s="286"/>
      <c r="O89" s="74"/>
      <c r="P89" s="74"/>
    </row>
    <row r="90" spans="1:16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74"/>
      <c r="N90" s="286"/>
      <c r="O90" s="74"/>
      <c r="P90" s="74"/>
    </row>
    <row r="91" spans="1:16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74"/>
      <c r="N91" s="286"/>
      <c r="O91" s="74"/>
      <c r="P91" s="74"/>
    </row>
    <row r="92" spans="1:16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74"/>
      <c r="N92" s="286"/>
      <c r="O92" s="74"/>
      <c r="P92" s="74"/>
    </row>
    <row r="93" spans="1:16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74"/>
      <c r="N93" s="286"/>
      <c r="O93" s="74"/>
      <c r="P93" s="74"/>
    </row>
    <row r="94" spans="1:16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74"/>
      <c r="N94" s="286"/>
      <c r="O94" s="74"/>
      <c r="P94" s="74"/>
    </row>
    <row r="95" spans="1:16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74"/>
      <c r="N95" s="286"/>
      <c r="O95" s="74"/>
      <c r="P95" s="74"/>
    </row>
    <row r="96" spans="1:16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74"/>
      <c r="N96" s="286"/>
      <c r="O96" s="74"/>
      <c r="P96" s="74"/>
    </row>
    <row r="97" spans="1:16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74"/>
      <c r="N97" s="286"/>
      <c r="O97" s="74"/>
      <c r="P97" s="74"/>
    </row>
    <row r="98" spans="1:16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74"/>
      <c r="N98" s="286"/>
      <c r="O98" s="74"/>
      <c r="P98" s="74"/>
    </row>
    <row r="99" spans="1:16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74"/>
      <c r="N99" s="286"/>
      <c r="O99" s="74"/>
      <c r="P99" s="74"/>
    </row>
    <row r="100" spans="1:16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74"/>
      <c r="N100" s="286"/>
      <c r="O100" s="74"/>
      <c r="P100" s="74"/>
    </row>
    <row r="101" spans="1:16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74"/>
      <c r="N101" s="286"/>
      <c r="O101" s="74"/>
      <c r="P101" s="74"/>
    </row>
    <row r="102" spans="1:16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74"/>
      <c r="N102" s="286"/>
      <c r="O102" s="74"/>
      <c r="P102" s="74"/>
    </row>
    <row r="103" spans="1:16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74"/>
      <c r="N103" s="286"/>
      <c r="O103" s="74"/>
      <c r="P103" s="74"/>
    </row>
    <row r="104" spans="1:16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74"/>
      <c r="N104" s="286"/>
      <c r="O104" s="74"/>
      <c r="P104" s="74"/>
    </row>
    <row r="105" spans="1:16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74"/>
      <c r="N105" s="286"/>
      <c r="O105" s="74"/>
      <c r="P105" s="74"/>
    </row>
    <row r="106" spans="1:16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74"/>
      <c r="N106" s="286"/>
      <c r="O106" s="74"/>
      <c r="P106" s="74"/>
    </row>
    <row r="107" spans="1:16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74"/>
      <c r="N107" s="286"/>
      <c r="O107" s="74"/>
      <c r="P107" s="74"/>
    </row>
    <row r="108" spans="1:16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74"/>
      <c r="N108" s="286"/>
      <c r="O108" s="74"/>
      <c r="P108" s="74"/>
    </row>
    <row r="109" spans="1:16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74"/>
      <c r="N109" s="286"/>
      <c r="O109" s="74"/>
      <c r="P109" s="74"/>
    </row>
    <row r="110" spans="1:16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74"/>
      <c r="N110" s="286"/>
      <c r="O110" s="74"/>
      <c r="P110" s="74"/>
    </row>
    <row r="111" spans="1:16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74"/>
      <c r="N111" s="286"/>
      <c r="O111" s="74"/>
      <c r="P111" s="74"/>
    </row>
    <row r="112" spans="1:16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74"/>
      <c r="N112" s="286"/>
      <c r="O112" s="74"/>
      <c r="P112" s="74"/>
    </row>
    <row r="113" spans="1:16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74"/>
      <c r="N113" s="286"/>
      <c r="O113" s="74"/>
      <c r="P113" s="74"/>
    </row>
    <row r="114" spans="1:16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74"/>
      <c r="N114" s="286"/>
      <c r="O114" s="74"/>
      <c r="P114" s="74"/>
    </row>
    <row r="115" spans="1:16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74"/>
      <c r="N115" s="286"/>
      <c r="O115" s="74"/>
      <c r="P115" s="74"/>
    </row>
    <row r="116" spans="1:16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74"/>
      <c r="N116" s="286"/>
      <c r="O116" s="74"/>
      <c r="P116" s="74"/>
    </row>
    <row r="117" spans="1:16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74"/>
      <c r="N117" s="286"/>
      <c r="O117" s="74"/>
      <c r="P117" s="74"/>
    </row>
    <row r="118" spans="1:16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74"/>
      <c r="N118" s="286"/>
      <c r="O118" s="74"/>
      <c r="P118" s="74"/>
    </row>
    <row r="119" spans="1:16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74"/>
      <c r="N119" s="286"/>
      <c r="O119" s="74"/>
      <c r="P119" s="74"/>
    </row>
    <row r="120" spans="1:16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74"/>
      <c r="N120" s="286"/>
      <c r="O120" s="74"/>
      <c r="P120" s="74"/>
    </row>
    <row r="121" spans="1:16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74"/>
      <c r="N121" s="286"/>
      <c r="O121" s="74"/>
      <c r="P121" s="74"/>
    </row>
    <row r="122" spans="1:16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74"/>
      <c r="N122" s="286"/>
      <c r="O122" s="74"/>
      <c r="P122" s="74"/>
    </row>
    <row r="123" spans="1:16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74"/>
      <c r="N123" s="286"/>
      <c r="O123" s="74"/>
      <c r="P123" s="74"/>
    </row>
    <row r="124" spans="1:16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74"/>
      <c r="N124" s="286"/>
      <c r="O124" s="74"/>
      <c r="P124" s="74"/>
    </row>
    <row r="125" spans="1:16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74"/>
      <c r="N125" s="286"/>
      <c r="O125" s="74"/>
      <c r="P125" s="74"/>
    </row>
    <row r="126" spans="1:16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74"/>
      <c r="N126" s="286"/>
      <c r="O126" s="74"/>
      <c r="P126" s="74"/>
    </row>
    <row r="127" spans="1:16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74"/>
      <c r="N127" s="286"/>
      <c r="O127" s="74"/>
      <c r="P127" s="74"/>
    </row>
    <row r="128" spans="1:16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74"/>
      <c r="N128" s="286"/>
      <c r="O128" s="74"/>
      <c r="P128" s="74"/>
    </row>
    <row r="129" spans="1:16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74"/>
      <c r="N129" s="286"/>
      <c r="O129" s="74"/>
      <c r="P129" s="74"/>
    </row>
    <row r="130" spans="1:16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74"/>
      <c r="N130" s="286"/>
      <c r="O130" s="74"/>
      <c r="P130" s="74"/>
    </row>
    <row r="131" spans="1:16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74"/>
      <c r="N131" s="286"/>
      <c r="O131" s="74"/>
      <c r="P131" s="74"/>
    </row>
    <row r="132" spans="1:16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74"/>
      <c r="N132" s="286"/>
      <c r="O132" s="74"/>
      <c r="P132" s="74"/>
    </row>
    <row r="133" spans="1:16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74"/>
      <c r="N133" s="286"/>
      <c r="O133" s="74"/>
      <c r="P133" s="74"/>
    </row>
    <row r="134" spans="1:16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74"/>
      <c r="N134" s="286"/>
      <c r="O134" s="74"/>
      <c r="P134" s="74"/>
    </row>
    <row r="135" spans="1:16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74"/>
      <c r="N135" s="286"/>
      <c r="O135" s="74"/>
      <c r="P135" s="74"/>
    </row>
    <row r="136" spans="1:16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74"/>
      <c r="N136" s="286"/>
      <c r="O136" s="74"/>
      <c r="P136" s="74"/>
    </row>
    <row r="137" spans="1:16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74"/>
      <c r="N137" s="286"/>
      <c r="O137" s="74"/>
      <c r="P137" s="74"/>
    </row>
    <row r="138" spans="1:16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74"/>
      <c r="N138" s="286"/>
      <c r="O138" s="74"/>
      <c r="P138" s="74"/>
    </row>
    <row r="139" spans="1:16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74"/>
      <c r="N139" s="286"/>
      <c r="O139" s="74"/>
      <c r="P139" s="74"/>
    </row>
    <row r="140" spans="1:16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74"/>
      <c r="N140" s="286"/>
      <c r="O140" s="74"/>
      <c r="P140" s="74"/>
    </row>
    <row r="141" spans="1:16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74"/>
      <c r="N141" s="286"/>
      <c r="O141" s="74"/>
      <c r="P141" s="74"/>
    </row>
    <row r="142" spans="1:16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74"/>
      <c r="N142" s="286"/>
      <c r="O142" s="74"/>
      <c r="P142" s="74"/>
    </row>
    <row r="143" spans="1:16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74"/>
      <c r="N143" s="286"/>
      <c r="O143" s="74"/>
      <c r="P143" s="74"/>
    </row>
    <row r="144" spans="1:16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74"/>
      <c r="N144" s="286"/>
      <c r="O144" s="74"/>
      <c r="P144" s="74"/>
    </row>
    <row r="145" spans="1:16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74"/>
      <c r="N145" s="286"/>
      <c r="O145" s="74"/>
      <c r="P145" s="74"/>
    </row>
    <row r="146" spans="1:16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74"/>
      <c r="N146" s="286"/>
      <c r="O146" s="74"/>
      <c r="P146" s="74"/>
    </row>
    <row r="147" spans="1:16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74"/>
      <c r="N147" s="286"/>
      <c r="O147" s="74"/>
      <c r="P147" s="74"/>
    </row>
    <row r="148" spans="1:16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74"/>
      <c r="N148" s="286"/>
      <c r="O148" s="74"/>
      <c r="P148" s="74"/>
    </row>
    <row r="149" spans="1:16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74"/>
      <c r="N149" s="286"/>
      <c r="O149" s="74"/>
      <c r="P149" s="74"/>
    </row>
    <row r="150" spans="1:16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74"/>
      <c r="N150" s="286"/>
      <c r="O150" s="74"/>
      <c r="P150" s="74"/>
    </row>
    <row r="151" spans="1:16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74"/>
      <c r="N151" s="286"/>
      <c r="O151" s="74"/>
      <c r="P151" s="74"/>
    </row>
    <row r="152" spans="1:16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74"/>
      <c r="N152" s="286"/>
      <c r="O152" s="74"/>
      <c r="P152" s="74"/>
    </row>
    <row r="153" spans="1:16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74"/>
      <c r="N153" s="286"/>
      <c r="O153" s="74"/>
      <c r="P153" s="74"/>
    </row>
    <row r="154" spans="1:16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74"/>
      <c r="N154" s="286"/>
      <c r="O154" s="74"/>
      <c r="P154" s="74"/>
    </row>
    <row r="155" spans="1:16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74"/>
      <c r="N155" s="286"/>
      <c r="O155" s="74"/>
      <c r="P155" s="74"/>
    </row>
    <row r="156" spans="1:16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74"/>
      <c r="N156" s="286"/>
      <c r="O156" s="74"/>
      <c r="P156" s="74"/>
    </row>
    <row r="157" spans="1:16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74"/>
      <c r="N157" s="286"/>
      <c r="O157" s="74"/>
      <c r="P157" s="74"/>
    </row>
    <row r="158" spans="1:16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74"/>
      <c r="N158" s="286"/>
      <c r="O158" s="74"/>
      <c r="P158" s="74"/>
    </row>
    <row r="159" spans="1:16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74"/>
      <c r="N159" s="286"/>
      <c r="O159" s="74"/>
      <c r="P159" s="74"/>
    </row>
    <row r="160" spans="1:16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74"/>
      <c r="N160" s="286"/>
      <c r="O160" s="74"/>
      <c r="P160" s="74"/>
    </row>
    <row r="161" spans="1:16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74"/>
      <c r="N161" s="286"/>
      <c r="O161" s="74"/>
      <c r="P161" s="74"/>
    </row>
    <row r="162" spans="1:16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74"/>
      <c r="N162" s="286"/>
      <c r="O162" s="74"/>
      <c r="P162" s="74"/>
    </row>
    <row r="163" spans="1:16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74"/>
      <c r="N163" s="286"/>
      <c r="O163" s="74"/>
      <c r="P163" s="74"/>
    </row>
    <row r="164" spans="1:16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74"/>
      <c r="N164" s="286"/>
      <c r="O164" s="74"/>
      <c r="P164" s="74"/>
    </row>
    <row r="165" spans="1:16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74"/>
      <c r="N165" s="286"/>
      <c r="O165" s="74"/>
      <c r="P165" s="74"/>
    </row>
    <row r="166" spans="1:16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74"/>
      <c r="N166" s="286"/>
      <c r="O166" s="74"/>
      <c r="P166" s="74"/>
    </row>
    <row r="167" spans="1:16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74"/>
      <c r="N167" s="286"/>
      <c r="O167" s="74"/>
      <c r="P167" s="74"/>
    </row>
    <row r="168" spans="1:16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74"/>
      <c r="N168" s="286"/>
      <c r="O168" s="74"/>
      <c r="P168" s="74"/>
    </row>
    <row r="169" spans="1:16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74"/>
      <c r="N169" s="286"/>
      <c r="O169" s="74"/>
      <c r="P169" s="74"/>
    </row>
    <row r="170" spans="1:16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74"/>
      <c r="N170" s="286"/>
      <c r="O170" s="74"/>
      <c r="P170" s="74"/>
    </row>
    <row r="171" spans="1:16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74"/>
      <c r="N171" s="286"/>
      <c r="O171" s="74"/>
      <c r="P171" s="74"/>
    </row>
    <row r="172" spans="1:16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74"/>
      <c r="N172" s="286"/>
      <c r="O172" s="74"/>
      <c r="P172" s="74"/>
    </row>
    <row r="173" spans="1:16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74"/>
      <c r="N173" s="286"/>
      <c r="O173" s="74"/>
      <c r="P173" s="74"/>
    </row>
    <row r="174" spans="1:16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74"/>
      <c r="N174" s="286"/>
      <c r="O174" s="74"/>
      <c r="P174" s="74"/>
    </row>
    <row r="175" spans="1:16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74"/>
      <c r="N175" s="286"/>
      <c r="O175" s="74"/>
      <c r="P175" s="74"/>
    </row>
    <row r="176" spans="1:16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74"/>
      <c r="N176" s="286"/>
      <c r="O176" s="74"/>
      <c r="P176" s="74"/>
    </row>
    <row r="177" spans="1:16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74"/>
      <c r="N177" s="286"/>
      <c r="O177" s="74"/>
      <c r="P177" s="74"/>
    </row>
    <row r="178" spans="1:16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74"/>
      <c r="N178" s="286"/>
      <c r="O178" s="74"/>
      <c r="P178" s="74"/>
    </row>
    <row r="179" spans="1:16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74"/>
      <c r="N179" s="286"/>
      <c r="O179" s="74"/>
      <c r="P179" s="74"/>
    </row>
    <row r="180" spans="1:16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74"/>
      <c r="N180" s="286"/>
      <c r="O180" s="74"/>
      <c r="P180" s="74"/>
    </row>
    <row r="181" spans="1:16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74"/>
      <c r="N181" s="286"/>
      <c r="O181" s="74"/>
      <c r="P181" s="74"/>
    </row>
    <row r="182" spans="1:16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74"/>
      <c r="N182" s="286"/>
      <c r="O182" s="74"/>
      <c r="P182" s="74"/>
    </row>
    <row r="183" spans="1:16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74"/>
      <c r="N183" s="286"/>
      <c r="O183" s="74"/>
      <c r="P183" s="74"/>
    </row>
    <row r="184" spans="1:16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74"/>
      <c r="N184" s="286"/>
      <c r="O184" s="74"/>
      <c r="P184" s="74"/>
    </row>
    <row r="185" spans="1:16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74"/>
      <c r="N185" s="286"/>
      <c r="O185" s="74"/>
      <c r="P185" s="74"/>
    </row>
    <row r="186" spans="1:16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74"/>
      <c r="N186" s="286"/>
      <c r="O186" s="74"/>
      <c r="P186" s="74"/>
    </row>
    <row r="187" spans="1:16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74"/>
      <c r="N187" s="286"/>
      <c r="O187" s="74"/>
      <c r="P187" s="74"/>
    </row>
    <row r="188" spans="1:16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74"/>
      <c r="N188" s="286"/>
      <c r="O188" s="74"/>
      <c r="P188" s="74"/>
    </row>
    <row r="189" spans="1:16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74"/>
      <c r="N189" s="286"/>
      <c r="O189" s="74"/>
      <c r="P189" s="74"/>
    </row>
    <row r="190" spans="1:16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74"/>
      <c r="N190" s="286"/>
      <c r="O190" s="74"/>
      <c r="P190" s="74"/>
    </row>
    <row r="191" spans="1:16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74"/>
      <c r="N191" s="286"/>
      <c r="O191" s="74"/>
      <c r="P191" s="74"/>
    </row>
    <row r="192" spans="1:16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74"/>
      <c r="N192" s="286"/>
      <c r="O192" s="74"/>
      <c r="P192" s="74"/>
    </row>
    <row r="193" spans="1:16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74"/>
      <c r="N193" s="286"/>
      <c r="O193" s="74"/>
      <c r="P193" s="74"/>
    </row>
    <row r="194" spans="1:16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74"/>
      <c r="N194" s="286"/>
      <c r="O194" s="74"/>
      <c r="P194" s="74"/>
    </row>
    <row r="195" spans="1:16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74"/>
      <c r="N195" s="286"/>
      <c r="O195" s="74"/>
      <c r="P195" s="74"/>
    </row>
    <row r="196" spans="1:16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74"/>
      <c r="N196" s="286"/>
      <c r="O196" s="74"/>
      <c r="P196" s="74"/>
    </row>
    <row r="197" spans="1:16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74"/>
      <c r="N197" s="286"/>
      <c r="O197" s="74"/>
      <c r="P197" s="74"/>
    </row>
    <row r="198" spans="1:16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74"/>
      <c r="N198" s="286"/>
      <c r="O198" s="74"/>
      <c r="P198" s="74"/>
    </row>
    <row r="199" spans="1:16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74"/>
      <c r="N199" s="286"/>
      <c r="O199" s="74"/>
      <c r="P199" s="74"/>
    </row>
    <row r="200" spans="1:16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74"/>
      <c r="N200" s="286"/>
      <c r="O200" s="74"/>
      <c r="P200" s="74"/>
    </row>
    <row r="201" spans="1:16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74"/>
      <c r="N201" s="286"/>
      <c r="O201" s="74"/>
      <c r="P201" s="74"/>
    </row>
    <row r="202" spans="1:16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74"/>
      <c r="N202" s="286"/>
      <c r="O202" s="74"/>
      <c r="P202" s="74"/>
    </row>
    <row r="203" spans="1:16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74"/>
      <c r="N203" s="286"/>
      <c r="O203" s="74"/>
      <c r="P203" s="74"/>
    </row>
    <row r="204" spans="1:16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74"/>
      <c r="N204" s="286"/>
      <c r="O204" s="74"/>
      <c r="P204" s="74"/>
    </row>
    <row r="205" spans="1:16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74"/>
      <c r="N205" s="286"/>
      <c r="O205" s="74"/>
      <c r="P205" s="74"/>
    </row>
    <row r="206" spans="1:16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74"/>
      <c r="N206" s="286"/>
      <c r="O206" s="74"/>
      <c r="P206" s="74"/>
    </row>
    <row r="207" spans="1:16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74"/>
      <c r="N207" s="286"/>
      <c r="O207" s="74"/>
      <c r="P207" s="74"/>
    </row>
    <row r="208" spans="1:16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74"/>
      <c r="N208" s="286"/>
      <c r="O208" s="74"/>
      <c r="P208" s="74"/>
    </row>
    <row r="209" spans="1:16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74"/>
      <c r="N209" s="286"/>
      <c r="O209" s="74"/>
      <c r="P209" s="74"/>
    </row>
    <row r="210" spans="1:16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74"/>
      <c r="N210" s="286"/>
      <c r="O210" s="74"/>
      <c r="P210" s="74"/>
    </row>
    <row r="211" spans="1:16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74"/>
      <c r="N211" s="286"/>
      <c r="O211" s="74"/>
      <c r="P211" s="74"/>
    </row>
    <row r="212" spans="1:16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74"/>
      <c r="N212" s="286"/>
      <c r="O212" s="74"/>
      <c r="P212" s="74"/>
    </row>
    <row r="213" spans="1:16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74"/>
      <c r="N213" s="286"/>
      <c r="O213" s="74"/>
      <c r="P213" s="74"/>
    </row>
    <row r="214" spans="1:16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74"/>
      <c r="N214" s="286"/>
      <c r="O214" s="74"/>
      <c r="P214" s="74"/>
    </row>
    <row r="215" spans="1:16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74"/>
      <c r="N215" s="286"/>
      <c r="O215" s="74"/>
      <c r="P215" s="74"/>
    </row>
    <row r="216" spans="1:16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74"/>
      <c r="N216" s="286"/>
      <c r="O216" s="74"/>
      <c r="P216" s="74"/>
    </row>
    <row r="217" spans="1:16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74"/>
      <c r="N217" s="286"/>
      <c r="O217" s="74"/>
      <c r="P217" s="74"/>
    </row>
    <row r="218" spans="1:16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74"/>
      <c r="N218" s="286"/>
      <c r="O218" s="74"/>
      <c r="P218" s="74"/>
    </row>
    <row r="219" spans="1:16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74"/>
      <c r="N219" s="286"/>
      <c r="O219" s="74"/>
      <c r="P219" s="74"/>
    </row>
    <row r="220" spans="1:16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74"/>
      <c r="N220" s="286"/>
      <c r="O220" s="74"/>
      <c r="P220" s="74"/>
    </row>
    <row r="221" spans="1:16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74"/>
      <c r="N221" s="286"/>
      <c r="O221" s="74"/>
      <c r="P221" s="74"/>
    </row>
    <row r="222" spans="1:16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74"/>
      <c r="N222" s="286"/>
      <c r="O222" s="74"/>
      <c r="P222" s="74"/>
    </row>
    <row r="223" spans="1:16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74"/>
      <c r="N223" s="286"/>
      <c r="O223" s="74"/>
      <c r="P223" s="74"/>
    </row>
    <row r="224" spans="1:16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74"/>
      <c r="N224" s="286"/>
      <c r="O224" s="74"/>
      <c r="P224" s="74"/>
    </row>
    <row r="225" spans="1:16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74"/>
      <c r="N225" s="286"/>
      <c r="O225" s="74"/>
      <c r="P225" s="74"/>
    </row>
    <row r="226" spans="1:16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74"/>
      <c r="N226" s="286"/>
      <c r="O226" s="74"/>
      <c r="P226" s="74"/>
    </row>
    <row r="227" spans="1:16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74"/>
      <c r="N227" s="286"/>
      <c r="O227" s="74"/>
      <c r="P227" s="74"/>
    </row>
    <row r="228" spans="1:16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74"/>
      <c r="N228" s="286"/>
      <c r="O228" s="74"/>
      <c r="P228" s="74"/>
    </row>
    <row r="229" spans="1:16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74"/>
      <c r="N229" s="286"/>
      <c r="O229" s="74"/>
      <c r="P229" s="74"/>
    </row>
    <row r="230" spans="1:16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74"/>
      <c r="N230" s="286"/>
      <c r="O230" s="74"/>
      <c r="P230" s="74"/>
    </row>
    <row r="231" spans="1:16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74"/>
      <c r="N231" s="286"/>
      <c r="O231" s="74"/>
      <c r="P231" s="74"/>
    </row>
    <row r="232" spans="1:16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74"/>
      <c r="N232" s="286"/>
      <c r="O232" s="74"/>
      <c r="P232" s="74"/>
    </row>
    <row r="233" spans="1:16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74"/>
      <c r="N233" s="286"/>
      <c r="O233" s="74"/>
      <c r="P233" s="74"/>
    </row>
    <row r="234" spans="1:16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74"/>
      <c r="N234" s="286"/>
      <c r="O234" s="74"/>
      <c r="P234" s="74"/>
    </row>
    <row r="235" spans="1:16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74"/>
      <c r="N235" s="286"/>
      <c r="O235" s="74"/>
      <c r="P235" s="74"/>
    </row>
    <row r="236" spans="1:16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74"/>
      <c r="N236" s="286"/>
      <c r="O236" s="74"/>
      <c r="P236" s="74"/>
    </row>
    <row r="237" spans="1:16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74"/>
      <c r="N237" s="286"/>
      <c r="O237" s="74"/>
      <c r="P237" s="74"/>
    </row>
    <row r="238" spans="1:16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74"/>
      <c r="N238" s="286"/>
      <c r="O238" s="74"/>
      <c r="P238" s="74"/>
    </row>
    <row r="239" spans="1:16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74"/>
      <c r="N239" s="286"/>
      <c r="O239" s="74"/>
      <c r="P239" s="74"/>
    </row>
    <row r="240" spans="1:16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74"/>
      <c r="N240" s="286"/>
      <c r="O240" s="74"/>
      <c r="P240" s="74"/>
    </row>
    <row r="241" spans="1:16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74"/>
      <c r="N241" s="286"/>
      <c r="O241" s="74"/>
      <c r="P241" s="74"/>
    </row>
    <row r="242" spans="1:16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74"/>
      <c r="N242" s="286"/>
      <c r="O242" s="74"/>
      <c r="P242" s="74"/>
    </row>
    <row r="243" spans="1:16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74"/>
      <c r="N243" s="286"/>
      <c r="O243" s="74"/>
      <c r="P243" s="74"/>
    </row>
    <row r="244" spans="1:16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74"/>
      <c r="N244" s="286"/>
      <c r="O244" s="74"/>
      <c r="P244" s="74"/>
    </row>
    <row r="245" spans="1:16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74"/>
      <c r="N245" s="286"/>
      <c r="O245" s="74"/>
      <c r="P245" s="74"/>
    </row>
    <row r="246" spans="1:16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74"/>
      <c r="N246" s="286"/>
      <c r="O246" s="74"/>
      <c r="P246" s="74"/>
    </row>
    <row r="247" spans="1:16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74"/>
      <c r="N247" s="286"/>
      <c r="O247" s="74"/>
      <c r="P247" s="74"/>
    </row>
    <row r="248" spans="1:16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74"/>
      <c r="N248" s="286"/>
      <c r="O248" s="74"/>
      <c r="P248" s="74"/>
    </row>
    <row r="249" spans="1:16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74"/>
      <c r="N249" s="286"/>
      <c r="O249" s="74"/>
      <c r="P249" s="74"/>
    </row>
    <row r="250" spans="1:16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74"/>
      <c r="N250" s="286"/>
      <c r="O250" s="74"/>
      <c r="P250" s="74"/>
    </row>
    <row r="251" spans="1:16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74"/>
      <c r="N251" s="286"/>
      <c r="O251" s="74"/>
      <c r="P251" s="74"/>
    </row>
    <row r="252" spans="1:16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74"/>
      <c r="N252" s="286"/>
      <c r="O252" s="74"/>
      <c r="P252" s="74"/>
    </row>
    <row r="253" spans="1:16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74"/>
      <c r="N253" s="286"/>
      <c r="O253" s="74"/>
      <c r="P253" s="74"/>
    </row>
    <row r="254" spans="1:16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74"/>
      <c r="N254" s="286"/>
      <c r="O254" s="74"/>
      <c r="P254" s="74"/>
    </row>
    <row r="255" spans="1:16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74"/>
      <c r="N255" s="286"/>
      <c r="O255" s="74"/>
      <c r="P255" s="74"/>
    </row>
    <row r="256" spans="1:16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74"/>
      <c r="N256" s="286"/>
      <c r="O256" s="74"/>
      <c r="P256" s="74"/>
    </row>
    <row r="257" spans="1:16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74"/>
      <c r="N257" s="286"/>
      <c r="O257" s="74"/>
      <c r="P257" s="74"/>
    </row>
    <row r="258" spans="1:16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74"/>
      <c r="N258" s="286"/>
      <c r="O258" s="74"/>
      <c r="P258" s="74"/>
    </row>
    <row r="259" spans="1:16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74"/>
      <c r="N259" s="286"/>
      <c r="O259" s="74"/>
      <c r="P259" s="74"/>
    </row>
    <row r="260" spans="1:16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74"/>
      <c r="N260" s="286"/>
      <c r="O260" s="74"/>
      <c r="P260" s="74"/>
    </row>
    <row r="261" spans="1:16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74"/>
      <c r="N261" s="286"/>
      <c r="O261" s="74"/>
      <c r="P261" s="74"/>
    </row>
    <row r="262" spans="1:16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74"/>
      <c r="N262" s="286"/>
      <c r="O262" s="74"/>
      <c r="P262" s="74"/>
    </row>
    <row r="263" spans="1:16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74"/>
      <c r="N263" s="286"/>
      <c r="O263" s="74"/>
      <c r="P263" s="74"/>
    </row>
    <row r="264" spans="1:16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74"/>
      <c r="N264" s="286"/>
      <c r="O264" s="74"/>
      <c r="P264" s="74"/>
    </row>
    <row r="265" spans="1:16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74"/>
      <c r="N265" s="286"/>
      <c r="O265" s="74"/>
      <c r="P265" s="74"/>
    </row>
    <row r="266" spans="1:16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74"/>
      <c r="N266" s="286"/>
      <c r="O266" s="74"/>
      <c r="P266" s="74"/>
    </row>
    <row r="267" spans="1:16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74"/>
      <c r="N267" s="286"/>
      <c r="O267" s="74"/>
      <c r="P267" s="74"/>
    </row>
    <row r="268" spans="1:16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74"/>
      <c r="N268" s="286"/>
      <c r="O268" s="74"/>
      <c r="P268" s="74"/>
    </row>
    <row r="269" spans="1:16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74"/>
      <c r="N269" s="286"/>
      <c r="O269" s="74"/>
      <c r="P269" s="74"/>
    </row>
    <row r="270" spans="1:16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74"/>
      <c r="N270" s="286"/>
      <c r="O270" s="74"/>
      <c r="P270" s="74"/>
    </row>
    <row r="271" spans="1:16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74"/>
      <c r="N271" s="286"/>
      <c r="O271" s="74"/>
      <c r="P271" s="74"/>
    </row>
    <row r="272" spans="1:16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74"/>
      <c r="N272" s="286"/>
      <c r="O272" s="74"/>
      <c r="P272" s="74"/>
    </row>
    <row r="273" spans="1:16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74"/>
      <c r="N273" s="286"/>
      <c r="O273" s="74"/>
      <c r="P273" s="74"/>
    </row>
    <row r="274" spans="1:16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74"/>
      <c r="N274" s="286"/>
      <c r="O274" s="74"/>
      <c r="P274" s="74"/>
    </row>
    <row r="275" spans="1:16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74"/>
      <c r="N275" s="286"/>
      <c r="O275" s="74"/>
      <c r="P275" s="74"/>
    </row>
    <row r="276" spans="1:16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74"/>
      <c r="N276" s="286"/>
      <c r="O276" s="74"/>
      <c r="P276" s="74"/>
    </row>
    <row r="277" spans="1:16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74"/>
      <c r="N277" s="286"/>
      <c r="O277" s="74"/>
      <c r="P277" s="74"/>
    </row>
    <row r="278" spans="1:16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74"/>
      <c r="N278" s="286"/>
      <c r="O278" s="74"/>
      <c r="P278" s="74"/>
    </row>
    <row r="279" spans="1:16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74"/>
      <c r="N279" s="286"/>
      <c r="O279" s="74"/>
      <c r="P279" s="74"/>
    </row>
    <row r="280" spans="1:16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74"/>
      <c r="N280" s="286"/>
      <c r="O280" s="74"/>
      <c r="P280" s="74"/>
    </row>
    <row r="281" spans="1:16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74"/>
      <c r="N281" s="286"/>
      <c r="O281" s="74"/>
      <c r="P281" s="74"/>
    </row>
    <row r="282" spans="1:16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74"/>
      <c r="N282" s="286"/>
      <c r="O282" s="74"/>
      <c r="P282" s="74"/>
    </row>
    <row r="283" spans="1:16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74"/>
      <c r="N283" s="286"/>
      <c r="O283" s="74"/>
      <c r="P283" s="74"/>
    </row>
    <row r="284" spans="1:16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74"/>
      <c r="N284" s="286"/>
      <c r="O284" s="74"/>
      <c r="P284" s="74"/>
    </row>
    <row r="285" spans="1:16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74"/>
      <c r="N285" s="286"/>
      <c r="O285" s="74"/>
      <c r="P285" s="74"/>
    </row>
    <row r="286" spans="1:16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74"/>
      <c r="N286" s="286"/>
      <c r="O286" s="74"/>
      <c r="P286" s="74"/>
    </row>
    <row r="287" spans="1:16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74"/>
      <c r="N287" s="286"/>
      <c r="O287" s="74"/>
      <c r="P287" s="74"/>
    </row>
    <row r="288" spans="1:16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74"/>
      <c r="N288" s="286"/>
      <c r="O288" s="74"/>
      <c r="P288" s="74"/>
    </row>
    <row r="289" spans="1:16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74"/>
      <c r="N289" s="286"/>
      <c r="O289" s="74"/>
      <c r="P289" s="74"/>
    </row>
    <row r="290" spans="1:16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74"/>
      <c r="N290" s="286"/>
      <c r="O290" s="74"/>
      <c r="P290" s="74"/>
    </row>
    <row r="291" spans="1:16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74"/>
      <c r="N291" s="286"/>
      <c r="O291" s="74"/>
      <c r="P291" s="74"/>
    </row>
    <row r="292" spans="1:16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74"/>
      <c r="N292" s="286"/>
      <c r="O292" s="74"/>
      <c r="P292" s="74"/>
    </row>
    <row r="293" spans="1:16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74"/>
      <c r="N293" s="286"/>
      <c r="O293" s="74"/>
      <c r="P293" s="74"/>
    </row>
    <row r="294" spans="1:16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74"/>
      <c r="N294" s="286"/>
      <c r="O294" s="74"/>
      <c r="P294" s="74"/>
    </row>
    <row r="295" spans="1:16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74"/>
      <c r="N295" s="286"/>
      <c r="O295" s="74"/>
      <c r="P295" s="74"/>
    </row>
    <row r="296" spans="1:16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74"/>
      <c r="N296" s="286"/>
      <c r="O296" s="74"/>
      <c r="P296" s="74"/>
    </row>
    <row r="297" spans="1:16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74"/>
      <c r="N297" s="286"/>
      <c r="O297" s="74"/>
      <c r="P297" s="74"/>
    </row>
    <row r="298" spans="1:16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74"/>
      <c r="N298" s="286"/>
      <c r="O298" s="74"/>
      <c r="P298" s="74"/>
    </row>
    <row r="299" spans="1:16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74"/>
      <c r="N299" s="286"/>
      <c r="O299" s="74"/>
      <c r="P299" s="74"/>
    </row>
    <row r="300" spans="1:16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74"/>
      <c r="N300" s="286"/>
      <c r="O300" s="74"/>
      <c r="P300" s="74"/>
    </row>
    <row r="301" spans="1:16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74"/>
      <c r="N301" s="286"/>
      <c r="O301" s="74"/>
      <c r="P301" s="74"/>
    </row>
    <row r="302" spans="1:16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74"/>
      <c r="N302" s="286"/>
      <c r="O302" s="74"/>
      <c r="P302" s="74"/>
    </row>
    <row r="303" spans="1:16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74"/>
      <c r="N303" s="286"/>
      <c r="O303" s="74"/>
      <c r="P303" s="74"/>
    </row>
    <row r="304" spans="1:16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74"/>
      <c r="N304" s="286"/>
      <c r="O304" s="74"/>
      <c r="P304" s="74"/>
    </row>
    <row r="305" spans="1:16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74"/>
      <c r="N305" s="286"/>
      <c r="O305" s="74"/>
      <c r="P305" s="74"/>
    </row>
    <row r="306" spans="1:16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74"/>
      <c r="N306" s="286"/>
      <c r="O306" s="74"/>
      <c r="P306" s="74"/>
    </row>
    <row r="307" spans="1:16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74"/>
      <c r="N307" s="286"/>
      <c r="O307" s="74"/>
      <c r="P307" s="74"/>
    </row>
    <row r="308" spans="1:16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74"/>
      <c r="N308" s="286"/>
      <c r="O308" s="74"/>
      <c r="P308" s="74"/>
    </row>
    <row r="309" spans="1:16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74"/>
      <c r="N309" s="286"/>
      <c r="O309" s="74"/>
      <c r="P309" s="74"/>
    </row>
    <row r="310" spans="1:16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74"/>
      <c r="N310" s="286"/>
      <c r="O310" s="74"/>
      <c r="P310" s="74"/>
    </row>
    <row r="311" spans="1:16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74"/>
      <c r="N311" s="286"/>
      <c r="O311" s="74"/>
      <c r="P311" s="74"/>
    </row>
    <row r="312" spans="1:16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74"/>
      <c r="N312" s="286"/>
      <c r="O312" s="74"/>
      <c r="P312" s="74"/>
    </row>
    <row r="313" spans="1:16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74"/>
      <c r="N313" s="286"/>
      <c r="O313" s="74"/>
      <c r="P313" s="74"/>
    </row>
    <row r="314" spans="1:16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74"/>
      <c r="N314" s="286"/>
      <c r="O314" s="74"/>
      <c r="P314" s="74"/>
    </row>
    <row r="315" spans="1:16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74"/>
      <c r="N315" s="286"/>
      <c r="O315" s="74"/>
      <c r="P315" s="74"/>
    </row>
    <row r="316" spans="1:16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74"/>
      <c r="N316" s="286"/>
      <c r="O316" s="74"/>
      <c r="P316" s="74"/>
    </row>
    <row r="317" spans="1:16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74"/>
      <c r="N317" s="286"/>
      <c r="O317" s="74"/>
      <c r="P317" s="74"/>
    </row>
    <row r="318" spans="1:16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74"/>
      <c r="N318" s="286"/>
      <c r="O318" s="74"/>
      <c r="P318" s="74"/>
    </row>
    <row r="319" spans="1:16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74"/>
      <c r="N319" s="286"/>
      <c r="O319" s="74"/>
      <c r="P319" s="74"/>
    </row>
    <row r="320" spans="1:16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74"/>
      <c r="N320" s="286"/>
      <c r="O320" s="74"/>
      <c r="P320" s="74"/>
    </row>
    <row r="321" spans="1:16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74"/>
      <c r="N321" s="286"/>
      <c r="O321" s="74"/>
      <c r="P321" s="74"/>
    </row>
    <row r="322" spans="1:16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74"/>
      <c r="N322" s="286"/>
      <c r="O322" s="74"/>
      <c r="P322" s="74"/>
    </row>
    <row r="323" spans="1:16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74"/>
      <c r="N323" s="286"/>
      <c r="O323" s="74"/>
      <c r="P323" s="74"/>
    </row>
    <row r="324" spans="1:16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74"/>
      <c r="N324" s="286"/>
      <c r="O324" s="74"/>
      <c r="P324" s="74"/>
    </row>
    <row r="325" spans="1:16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74"/>
      <c r="N325" s="286"/>
      <c r="O325" s="74"/>
      <c r="P325" s="74"/>
    </row>
    <row r="326" spans="1:16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74"/>
      <c r="N326" s="286"/>
      <c r="O326" s="74"/>
      <c r="P326" s="74"/>
    </row>
    <row r="327" spans="1:16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74"/>
      <c r="N327" s="286"/>
      <c r="O327" s="74"/>
      <c r="P327" s="74"/>
    </row>
    <row r="328" spans="1:16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74"/>
      <c r="N328" s="286"/>
      <c r="O328" s="74"/>
      <c r="P328" s="74"/>
    </row>
    <row r="329" spans="1:16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74"/>
      <c r="N329" s="286"/>
      <c r="O329" s="74"/>
      <c r="P329" s="74"/>
    </row>
    <row r="330" spans="1:16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74"/>
      <c r="N330" s="286"/>
      <c r="O330" s="74"/>
      <c r="P330" s="74"/>
    </row>
    <row r="331" spans="1:16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74"/>
      <c r="N331" s="286"/>
      <c r="O331" s="74"/>
      <c r="P331" s="74"/>
    </row>
    <row r="332" spans="1:16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74"/>
      <c r="N332" s="286"/>
      <c r="O332" s="74"/>
      <c r="P332" s="74"/>
    </row>
    <row r="333" spans="1:16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74"/>
      <c r="N333" s="286"/>
      <c r="O333" s="74"/>
      <c r="P333" s="74"/>
    </row>
    <row r="334" spans="1:16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74"/>
      <c r="N334" s="286"/>
      <c r="O334" s="74"/>
      <c r="P334" s="74"/>
    </row>
    <row r="335" spans="1:16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74"/>
      <c r="N335" s="286"/>
      <c r="O335" s="74"/>
      <c r="P335" s="74"/>
    </row>
    <row r="336" spans="1:16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74"/>
      <c r="N336" s="286"/>
      <c r="O336" s="74"/>
      <c r="P336" s="74"/>
    </row>
    <row r="337" spans="1:16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74"/>
      <c r="N337" s="286"/>
      <c r="O337" s="74"/>
      <c r="P337" s="74"/>
    </row>
    <row r="338" spans="1:16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74"/>
      <c r="N338" s="286"/>
      <c r="O338" s="74"/>
      <c r="P338" s="74"/>
    </row>
    <row r="339" spans="1:16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74"/>
      <c r="N339" s="286"/>
      <c r="O339" s="74"/>
      <c r="P339" s="74"/>
    </row>
    <row r="340" spans="1:16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74"/>
      <c r="N340" s="286"/>
      <c r="O340" s="74"/>
      <c r="P340" s="74"/>
    </row>
    <row r="341" spans="1:16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74"/>
      <c r="N341" s="286"/>
      <c r="O341" s="74"/>
      <c r="P341" s="74"/>
    </row>
    <row r="342" spans="1:16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74"/>
      <c r="N342" s="286"/>
      <c r="O342" s="74"/>
      <c r="P342" s="74"/>
    </row>
    <row r="343" spans="1:16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74"/>
      <c r="N343" s="286"/>
      <c r="O343" s="74"/>
      <c r="P343" s="74"/>
    </row>
    <row r="344" spans="1:16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74"/>
      <c r="N344" s="286"/>
      <c r="O344" s="74"/>
      <c r="P344" s="74"/>
    </row>
    <row r="345" spans="1:16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74"/>
      <c r="N345" s="286"/>
      <c r="O345" s="74"/>
      <c r="P345" s="74"/>
    </row>
    <row r="346" spans="1:16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74"/>
      <c r="N346" s="286"/>
      <c r="O346" s="74"/>
      <c r="P346" s="74"/>
    </row>
    <row r="347" spans="1:16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74"/>
      <c r="N347" s="286"/>
      <c r="O347" s="74"/>
      <c r="P347" s="74"/>
    </row>
    <row r="348" spans="1:16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74"/>
      <c r="N348" s="286"/>
      <c r="O348" s="74"/>
      <c r="P348" s="74"/>
    </row>
    <row r="349" spans="1:16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74"/>
      <c r="N349" s="286"/>
      <c r="O349" s="74"/>
      <c r="P349" s="74"/>
    </row>
    <row r="350" spans="1:16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74"/>
      <c r="N350" s="286"/>
      <c r="O350" s="74"/>
      <c r="P350" s="74"/>
    </row>
    <row r="351" spans="1:16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74"/>
      <c r="N351" s="286"/>
      <c r="O351" s="74"/>
      <c r="P351" s="74"/>
    </row>
    <row r="352" spans="1:16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74"/>
      <c r="N352" s="286"/>
      <c r="O352" s="74"/>
      <c r="P352" s="74"/>
    </row>
    <row r="353" spans="1:16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74"/>
      <c r="N353" s="286"/>
      <c r="O353" s="74"/>
      <c r="P353" s="74"/>
    </row>
    <row r="354" spans="1:16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74"/>
      <c r="N354" s="286"/>
      <c r="O354" s="74"/>
      <c r="P354" s="74"/>
    </row>
    <row r="355" spans="1:16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74"/>
      <c r="N355" s="286"/>
      <c r="O355" s="74"/>
      <c r="P355" s="74"/>
    </row>
    <row r="356" spans="1:16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74"/>
      <c r="N356" s="286"/>
      <c r="O356" s="74"/>
      <c r="P356" s="74"/>
    </row>
    <row r="357" spans="1:16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74"/>
      <c r="N357" s="286"/>
      <c r="O357" s="74"/>
      <c r="P357" s="74"/>
    </row>
    <row r="358" spans="1:16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74"/>
      <c r="N358" s="286"/>
      <c r="O358" s="74"/>
      <c r="P358" s="74"/>
    </row>
    <row r="359" spans="1:16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74"/>
      <c r="N359" s="286"/>
      <c r="O359" s="74"/>
      <c r="P359" s="74"/>
    </row>
    <row r="360" spans="1:16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74"/>
      <c r="N360" s="286"/>
      <c r="O360" s="74"/>
      <c r="P360" s="74"/>
    </row>
    <row r="361" spans="1:16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74"/>
      <c r="N361" s="286"/>
      <c r="O361" s="74"/>
      <c r="P361" s="74"/>
    </row>
    <row r="362" spans="1:16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74"/>
      <c r="N362" s="286"/>
      <c r="O362" s="74"/>
      <c r="P362" s="74"/>
    </row>
    <row r="363" spans="1:16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74"/>
      <c r="N363" s="286"/>
      <c r="O363" s="74"/>
      <c r="P363" s="74"/>
    </row>
    <row r="364" spans="1:16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74"/>
      <c r="N364" s="286"/>
      <c r="O364" s="74"/>
      <c r="P364" s="74"/>
    </row>
    <row r="365" spans="1:16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74"/>
      <c r="N365" s="286"/>
      <c r="O365" s="74"/>
      <c r="P365" s="74"/>
    </row>
    <row r="366" spans="1:16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74"/>
      <c r="N366" s="286"/>
      <c r="O366" s="74"/>
      <c r="P366" s="74"/>
    </row>
    <row r="367" spans="1:16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74"/>
      <c r="N367" s="286"/>
      <c r="O367" s="74"/>
      <c r="P367" s="74"/>
    </row>
    <row r="368" spans="1:16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74"/>
      <c r="N368" s="286"/>
      <c r="O368" s="74"/>
      <c r="P368" s="74"/>
    </row>
    <row r="369" spans="1:16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74"/>
      <c r="N369" s="286"/>
      <c r="O369" s="74"/>
      <c r="P369" s="74"/>
    </row>
    <row r="370" spans="1:16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74"/>
      <c r="N370" s="286"/>
      <c r="O370" s="74"/>
      <c r="P370" s="74"/>
    </row>
    <row r="371" spans="1:16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74"/>
      <c r="N371" s="286"/>
      <c r="O371" s="74"/>
      <c r="P371" s="74"/>
    </row>
    <row r="372" spans="1:16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74"/>
      <c r="N372" s="286"/>
      <c r="O372" s="74"/>
      <c r="P372" s="74"/>
    </row>
    <row r="373" spans="1:16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74"/>
      <c r="N373" s="286"/>
      <c r="O373" s="74"/>
      <c r="P373" s="74"/>
    </row>
    <row r="374" spans="1:16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74"/>
      <c r="N374" s="286"/>
      <c r="O374" s="74"/>
      <c r="P374" s="74"/>
    </row>
    <row r="375" spans="1:16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74"/>
      <c r="N375" s="286"/>
      <c r="O375" s="74"/>
      <c r="P375" s="74"/>
    </row>
    <row r="376" spans="1:16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74"/>
      <c r="N376" s="286"/>
      <c r="O376" s="74"/>
      <c r="P376" s="74"/>
    </row>
    <row r="377" spans="1:16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74"/>
      <c r="N377" s="286"/>
      <c r="O377" s="74"/>
      <c r="P377" s="74"/>
    </row>
    <row r="378" spans="1:16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74"/>
      <c r="N378" s="286"/>
      <c r="O378" s="74"/>
      <c r="P378" s="74"/>
    </row>
    <row r="379" spans="1:16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74"/>
      <c r="N379" s="286"/>
      <c r="O379" s="74"/>
      <c r="P379" s="74"/>
    </row>
    <row r="380" spans="1:16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74"/>
      <c r="N380" s="286"/>
      <c r="O380" s="74"/>
      <c r="P380" s="74"/>
    </row>
    <row r="381" spans="1:16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74"/>
      <c r="N381" s="286"/>
      <c r="O381" s="74"/>
      <c r="P381" s="74"/>
    </row>
    <row r="382" spans="1:16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74"/>
      <c r="N382" s="286"/>
      <c r="O382" s="74"/>
      <c r="P382" s="74"/>
    </row>
    <row r="383" spans="1:16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74"/>
      <c r="N383" s="286"/>
      <c r="O383" s="74"/>
      <c r="P383" s="74"/>
    </row>
    <row r="384" spans="1:16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74"/>
      <c r="N384" s="286"/>
      <c r="O384" s="74"/>
      <c r="P384" s="74"/>
    </row>
    <row r="385" spans="1:16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74"/>
      <c r="N385" s="286"/>
      <c r="O385" s="74"/>
      <c r="P385" s="74"/>
    </row>
    <row r="386" spans="1:16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74"/>
      <c r="N386" s="286"/>
      <c r="O386" s="74"/>
      <c r="P386" s="74"/>
    </row>
    <row r="387" spans="1:16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74"/>
      <c r="N387" s="286"/>
      <c r="O387" s="74"/>
      <c r="P387" s="74"/>
    </row>
    <row r="388" spans="1:16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74"/>
      <c r="N388" s="286"/>
      <c r="O388" s="74"/>
      <c r="P388" s="74"/>
    </row>
    <row r="389" spans="1:16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74"/>
      <c r="N389" s="286"/>
      <c r="O389" s="74"/>
      <c r="P389" s="74"/>
    </row>
    <row r="390" spans="1:16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74"/>
      <c r="N390" s="286"/>
      <c r="O390" s="74"/>
      <c r="P390" s="74"/>
    </row>
    <row r="391" spans="1:16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74"/>
      <c r="N391" s="286"/>
      <c r="O391" s="74"/>
      <c r="P391" s="74"/>
    </row>
    <row r="392" spans="1:16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74"/>
      <c r="N392" s="286"/>
      <c r="O392" s="74"/>
      <c r="P392" s="74"/>
    </row>
    <row r="393" spans="1:16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74"/>
      <c r="N393" s="286"/>
      <c r="O393" s="74"/>
      <c r="P393" s="74"/>
    </row>
    <row r="394" spans="1:16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74"/>
      <c r="N394" s="286"/>
      <c r="O394" s="74"/>
      <c r="P394" s="74"/>
    </row>
    <row r="395" spans="1:16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74"/>
      <c r="N395" s="286"/>
      <c r="O395" s="74"/>
      <c r="P395" s="74"/>
    </row>
    <row r="396" spans="1:16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74"/>
      <c r="N396" s="286"/>
      <c r="O396" s="74"/>
      <c r="P396" s="74"/>
    </row>
    <row r="397" spans="1:16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74"/>
      <c r="N397" s="286"/>
      <c r="O397" s="74"/>
      <c r="P397" s="74"/>
    </row>
    <row r="398" spans="1:16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74"/>
      <c r="N398" s="286"/>
      <c r="O398" s="74"/>
      <c r="P398" s="74"/>
    </row>
    <row r="399" spans="1:16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74"/>
      <c r="N399" s="286"/>
      <c r="O399" s="74"/>
      <c r="P399" s="74"/>
    </row>
    <row r="400" spans="1:16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74"/>
      <c r="N400" s="286"/>
      <c r="O400" s="74"/>
      <c r="P400" s="74"/>
    </row>
    <row r="401" spans="1:16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74"/>
      <c r="N401" s="286"/>
      <c r="O401" s="74"/>
      <c r="P401" s="74"/>
    </row>
    <row r="402" spans="1:16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74"/>
      <c r="N402" s="286"/>
      <c r="O402" s="74"/>
      <c r="P402" s="74"/>
    </row>
    <row r="403" spans="1:16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74"/>
      <c r="N403" s="286"/>
      <c r="O403" s="74"/>
      <c r="P403" s="74"/>
    </row>
    <row r="404" spans="1:16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74"/>
      <c r="N404" s="286"/>
      <c r="O404" s="74"/>
      <c r="P404" s="74"/>
    </row>
    <row r="405" spans="1:16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74"/>
      <c r="N405" s="286"/>
      <c r="O405" s="74"/>
      <c r="P405" s="74"/>
    </row>
    <row r="406" spans="1:16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74"/>
      <c r="N406" s="286"/>
      <c r="O406" s="74"/>
      <c r="P406" s="74"/>
    </row>
    <row r="407" spans="1:16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74"/>
      <c r="N407" s="286"/>
      <c r="O407" s="74"/>
      <c r="P407" s="74"/>
    </row>
    <row r="408" spans="1:16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74"/>
      <c r="N408" s="286"/>
      <c r="O408" s="74"/>
      <c r="P408" s="74"/>
    </row>
    <row r="409" spans="1:16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74"/>
      <c r="N409" s="286"/>
      <c r="O409" s="74"/>
      <c r="P409" s="74"/>
    </row>
    <row r="410" spans="1:16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74"/>
      <c r="N410" s="286"/>
      <c r="O410" s="74"/>
      <c r="P410" s="74"/>
    </row>
    <row r="411" spans="1:16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74"/>
      <c r="N411" s="286"/>
      <c r="O411" s="74"/>
      <c r="P411" s="74"/>
    </row>
    <row r="412" spans="1:16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74"/>
      <c r="N412" s="286"/>
      <c r="O412" s="74"/>
      <c r="P412" s="74"/>
    </row>
    <row r="413" spans="1:16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74"/>
      <c r="N413" s="286"/>
      <c r="O413" s="74"/>
      <c r="P413" s="74"/>
    </row>
    <row r="414" spans="1:16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74"/>
      <c r="N414" s="286"/>
      <c r="O414" s="74"/>
      <c r="P414" s="74"/>
    </row>
    <row r="415" spans="1:16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74"/>
      <c r="N415" s="286"/>
      <c r="O415" s="74"/>
      <c r="P415" s="74"/>
    </row>
    <row r="416" spans="1:16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74"/>
      <c r="N416" s="286"/>
      <c r="O416" s="74"/>
      <c r="P416" s="74"/>
    </row>
    <row r="417" spans="1:16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74"/>
      <c r="N417" s="286"/>
      <c r="O417" s="74"/>
      <c r="P417" s="74"/>
    </row>
    <row r="418" spans="1:16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74"/>
      <c r="N418" s="286"/>
      <c r="O418" s="74"/>
      <c r="P418" s="74"/>
    </row>
    <row r="419" spans="1:16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74"/>
      <c r="N419" s="286"/>
      <c r="O419" s="74"/>
      <c r="P419" s="74"/>
    </row>
    <row r="420" spans="1:16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74"/>
      <c r="N420" s="286"/>
      <c r="O420" s="74"/>
      <c r="P420" s="74"/>
    </row>
    <row r="421" spans="1:16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74"/>
      <c r="N421" s="286"/>
      <c r="O421" s="74"/>
      <c r="P421" s="74"/>
    </row>
    <row r="422" spans="1:16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74"/>
      <c r="N422" s="286"/>
      <c r="O422" s="74"/>
      <c r="P422" s="74"/>
    </row>
    <row r="423" spans="1:16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74"/>
      <c r="N423" s="286"/>
      <c r="O423" s="74"/>
      <c r="P423" s="74"/>
    </row>
    <row r="424" spans="1:16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74"/>
      <c r="N424" s="286"/>
      <c r="O424" s="74"/>
      <c r="P424" s="74"/>
    </row>
    <row r="425" spans="1:16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74"/>
      <c r="N425" s="286"/>
      <c r="O425" s="74"/>
      <c r="P425" s="74"/>
    </row>
    <row r="426" spans="1:16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74"/>
      <c r="N426" s="286"/>
      <c r="O426" s="74"/>
      <c r="P426" s="74"/>
    </row>
    <row r="427" spans="1:16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74"/>
      <c r="N427" s="286"/>
      <c r="O427" s="74"/>
      <c r="P427" s="74"/>
    </row>
    <row r="428" spans="1:16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74"/>
      <c r="N428" s="286"/>
      <c r="O428" s="74"/>
      <c r="P428" s="74"/>
    </row>
    <row r="429" spans="1:16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74"/>
      <c r="N429" s="286"/>
      <c r="O429" s="74"/>
      <c r="P429" s="74"/>
    </row>
    <row r="430" spans="1:16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74"/>
      <c r="N430" s="286"/>
      <c r="O430" s="74"/>
      <c r="P430" s="74"/>
    </row>
    <row r="431" spans="1:16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74"/>
      <c r="N431" s="286"/>
      <c r="O431" s="74"/>
      <c r="P431" s="74"/>
    </row>
    <row r="432" spans="1:16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74"/>
      <c r="N432" s="286"/>
      <c r="O432" s="74"/>
      <c r="P432" s="74"/>
    </row>
    <row r="433" spans="1:16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74"/>
      <c r="N433" s="286"/>
      <c r="O433" s="74"/>
      <c r="P433" s="74"/>
    </row>
    <row r="434" spans="1:16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74"/>
      <c r="N434" s="286"/>
      <c r="O434" s="74"/>
      <c r="P434" s="74"/>
    </row>
    <row r="435" spans="1:16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74"/>
      <c r="N435" s="286"/>
      <c r="O435" s="74"/>
      <c r="P435" s="74"/>
    </row>
    <row r="436" spans="1:16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74"/>
      <c r="N436" s="286"/>
      <c r="O436" s="74"/>
      <c r="P436" s="74"/>
    </row>
    <row r="437" spans="1:16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74"/>
      <c r="N437" s="286"/>
      <c r="O437" s="74"/>
      <c r="P437" s="74"/>
    </row>
    <row r="438" spans="1:16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74"/>
      <c r="N438" s="286"/>
      <c r="O438" s="74"/>
      <c r="P438" s="74"/>
    </row>
    <row r="439" spans="1:16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74"/>
      <c r="N439" s="286"/>
      <c r="O439" s="74"/>
      <c r="P439" s="74"/>
    </row>
    <row r="440" spans="1:16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74"/>
      <c r="N440" s="286"/>
      <c r="O440" s="74"/>
      <c r="P440" s="74"/>
    </row>
    <row r="441" spans="1:16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74"/>
      <c r="N441" s="286"/>
      <c r="O441" s="74"/>
      <c r="P441" s="74"/>
    </row>
    <row r="442" spans="1:16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74"/>
      <c r="N442" s="286"/>
      <c r="O442" s="74"/>
      <c r="P442" s="74"/>
    </row>
    <row r="443" spans="1:16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74"/>
      <c r="N443" s="286"/>
      <c r="O443" s="74"/>
      <c r="P443" s="74"/>
    </row>
    <row r="444" spans="1:16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74"/>
      <c r="N444" s="286"/>
      <c r="O444" s="74"/>
      <c r="P444" s="74"/>
    </row>
    <row r="445" spans="1:16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74"/>
      <c r="N445" s="286"/>
      <c r="O445" s="74"/>
      <c r="P445" s="74"/>
    </row>
    <row r="446" spans="1:16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74"/>
      <c r="N446" s="286"/>
      <c r="O446" s="74"/>
      <c r="P446" s="74"/>
    </row>
    <row r="447" spans="1:16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74"/>
      <c r="N447" s="286"/>
      <c r="O447" s="74"/>
      <c r="P447" s="74"/>
    </row>
    <row r="448" spans="1:16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74"/>
      <c r="N448" s="286"/>
      <c r="O448" s="74"/>
      <c r="P448" s="74"/>
    </row>
    <row r="449" spans="1:16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74"/>
      <c r="N449" s="286"/>
      <c r="O449" s="74"/>
      <c r="P449" s="74"/>
    </row>
    <row r="450" spans="1:16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74"/>
      <c r="N450" s="286"/>
      <c r="O450" s="74"/>
      <c r="P450" s="74"/>
    </row>
    <row r="451" spans="1:16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74"/>
      <c r="N451" s="286"/>
      <c r="O451" s="74"/>
      <c r="P451" s="74"/>
    </row>
    <row r="452" spans="1:16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74"/>
      <c r="N452" s="286"/>
      <c r="O452" s="74"/>
      <c r="P452" s="74"/>
    </row>
    <row r="453" spans="1:16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74"/>
      <c r="N453" s="286"/>
      <c r="O453" s="74"/>
      <c r="P453" s="74"/>
    </row>
    <row r="454" spans="1:16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74"/>
      <c r="N454" s="286"/>
      <c r="O454" s="74"/>
      <c r="P454" s="74"/>
    </row>
    <row r="455" spans="1:16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74"/>
      <c r="N455" s="286"/>
      <c r="O455" s="74"/>
      <c r="P455" s="74"/>
    </row>
    <row r="456" spans="1:16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74"/>
      <c r="N456" s="286"/>
      <c r="O456" s="74"/>
      <c r="P456" s="74"/>
    </row>
    <row r="457" spans="1:16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74"/>
      <c r="N457" s="286"/>
      <c r="O457" s="74"/>
      <c r="P457" s="74"/>
    </row>
    <row r="458" spans="1:16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74"/>
      <c r="N458" s="286"/>
      <c r="O458" s="74"/>
      <c r="P458" s="74"/>
    </row>
    <row r="459" spans="1:16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74"/>
      <c r="N459" s="286"/>
      <c r="O459" s="74"/>
      <c r="P459" s="74"/>
    </row>
    <row r="460" spans="1:16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74"/>
      <c r="N460" s="286"/>
      <c r="O460" s="74"/>
      <c r="P460" s="74"/>
    </row>
    <row r="461" spans="1:16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74"/>
      <c r="N461" s="286"/>
      <c r="O461" s="74"/>
      <c r="P461" s="74"/>
    </row>
    <row r="462" spans="1:16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74"/>
      <c r="N462" s="286"/>
      <c r="O462" s="74"/>
      <c r="P462" s="74"/>
    </row>
    <row r="463" spans="1:16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74"/>
      <c r="N463" s="286"/>
      <c r="O463" s="74"/>
      <c r="P463" s="74"/>
    </row>
    <row r="464" spans="1:16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74"/>
      <c r="N464" s="286"/>
      <c r="O464" s="74"/>
      <c r="P464" s="74"/>
    </row>
    <row r="465" spans="1:16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74"/>
      <c r="N465" s="286"/>
      <c r="O465" s="74"/>
      <c r="P465" s="74"/>
    </row>
    <row r="466" spans="1:16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74"/>
      <c r="N466" s="286"/>
      <c r="O466" s="74"/>
      <c r="P466" s="74"/>
    </row>
    <row r="467" spans="1:16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74"/>
      <c r="N467" s="286"/>
      <c r="O467" s="74"/>
      <c r="P467" s="74"/>
    </row>
    <row r="468" spans="1:16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74"/>
      <c r="N468" s="286"/>
      <c r="O468" s="74"/>
      <c r="P468" s="74"/>
    </row>
    <row r="469" spans="1:16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74"/>
      <c r="N469" s="286"/>
      <c r="O469" s="74"/>
      <c r="P469" s="74"/>
    </row>
    <row r="470" spans="1:16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74"/>
      <c r="N470" s="286"/>
      <c r="O470" s="74"/>
      <c r="P470" s="74"/>
    </row>
    <row r="471" spans="1:16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74"/>
      <c r="N471" s="286"/>
      <c r="O471" s="74"/>
      <c r="P471" s="74"/>
    </row>
    <row r="472" spans="1:16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74"/>
      <c r="N472" s="286"/>
      <c r="O472" s="74"/>
      <c r="P472" s="74"/>
    </row>
    <row r="473" spans="1:16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74"/>
      <c r="N473" s="286"/>
      <c r="O473" s="74"/>
      <c r="P473" s="74"/>
    </row>
    <row r="474" spans="1:16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74"/>
      <c r="N474" s="286"/>
      <c r="O474" s="74"/>
      <c r="P474" s="74"/>
    </row>
    <row r="475" spans="1:16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74"/>
      <c r="N475" s="286"/>
      <c r="O475" s="74"/>
      <c r="P475" s="74"/>
    </row>
    <row r="476" spans="1:16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74"/>
      <c r="N476" s="286"/>
      <c r="O476" s="74"/>
      <c r="P476" s="74"/>
    </row>
    <row r="477" spans="1:16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74"/>
      <c r="N477" s="286"/>
      <c r="O477" s="74"/>
      <c r="P477" s="74"/>
    </row>
    <row r="478" spans="1:16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74"/>
      <c r="N478" s="286"/>
      <c r="O478" s="74"/>
      <c r="P478" s="74"/>
    </row>
    <row r="479" spans="1:16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74"/>
      <c r="N479" s="286"/>
      <c r="O479" s="74"/>
      <c r="P479" s="74"/>
    </row>
    <row r="480" spans="1:16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74"/>
      <c r="N480" s="286"/>
      <c r="O480" s="74"/>
      <c r="P480" s="74"/>
    </row>
    <row r="481" spans="1:16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74"/>
      <c r="N481" s="286"/>
      <c r="O481" s="74"/>
      <c r="P481" s="74"/>
    </row>
    <row r="482" spans="1:16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74"/>
      <c r="N482" s="286"/>
      <c r="O482" s="74"/>
      <c r="P482" s="74"/>
    </row>
    <row r="483" spans="1:16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74"/>
      <c r="N483" s="286"/>
      <c r="O483" s="74"/>
      <c r="P483" s="74"/>
    </row>
    <row r="484" spans="1:16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74"/>
      <c r="N484" s="286"/>
      <c r="O484" s="74"/>
      <c r="P484" s="74"/>
    </row>
    <row r="485" spans="1:16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74"/>
      <c r="N485" s="286"/>
      <c r="O485" s="74"/>
      <c r="P485" s="74"/>
    </row>
    <row r="486" spans="1:16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74"/>
      <c r="N486" s="286"/>
      <c r="O486" s="74"/>
      <c r="P486" s="74"/>
    </row>
    <row r="487" spans="1:16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74"/>
      <c r="N487" s="286"/>
      <c r="O487" s="74"/>
      <c r="P487" s="74"/>
    </row>
    <row r="488" spans="1:16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74"/>
      <c r="N488" s="286"/>
      <c r="O488" s="74"/>
      <c r="P488" s="74"/>
    </row>
    <row r="489" spans="1:16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74"/>
      <c r="N489" s="286"/>
      <c r="O489" s="74"/>
      <c r="P489" s="74"/>
    </row>
    <row r="490" spans="1:16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74"/>
      <c r="N490" s="286"/>
      <c r="O490" s="74"/>
      <c r="P490" s="74"/>
    </row>
    <row r="491" spans="1:16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74"/>
      <c r="N491" s="286"/>
      <c r="O491" s="74"/>
      <c r="P491" s="74"/>
    </row>
    <row r="492" spans="1:16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74"/>
      <c r="N492" s="286"/>
      <c r="O492" s="74"/>
      <c r="P492" s="74"/>
    </row>
    <row r="493" spans="1:16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74"/>
      <c r="N493" s="286"/>
      <c r="O493" s="74"/>
      <c r="P493" s="74"/>
    </row>
    <row r="494" spans="1:16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74"/>
      <c r="N494" s="286"/>
      <c r="O494" s="74"/>
      <c r="P494" s="74"/>
    </row>
    <row r="495" spans="1:16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74"/>
      <c r="N495" s="286"/>
      <c r="O495" s="74"/>
      <c r="P495" s="74"/>
    </row>
    <row r="496" spans="1:16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74"/>
      <c r="N496" s="286"/>
      <c r="O496" s="74"/>
      <c r="P496" s="74"/>
    </row>
    <row r="497" spans="1:16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74"/>
      <c r="N497" s="286"/>
      <c r="O497" s="74"/>
      <c r="P497" s="74"/>
    </row>
    <row r="498" spans="1:16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74"/>
      <c r="N498" s="286"/>
      <c r="O498" s="74"/>
      <c r="P498" s="74"/>
    </row>
    <row r="499" spans="1:16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74"/>
      <c r="N499" s="286"/>
      <c r="O499" s="74"/>
      <c r="P499" s="74"/>
    </row>
    <row r="500" spans="1:16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74"/>
      <c r="N500" s="286"/>
      <c r="O500" s="74"/>
      <c r="P500" s="74"/>
    </row>
    <row r="501" spans="1:16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74"/>
      <c r="N501" s="286"/>
      <c r="O501" s="74"/>
      <c r="P501" s="74"/>
    </row>
    <row r="502" spans="1:16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74"/>
      <c r="N502" s="286"/>
      <c r="O502" s="74"/>
      <c r="P502" s="74"/>
    </row>
    <row r="503" spans="1:16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74"/>
      <c r="N503" s="286"/>
      <c r="O503" s="74"/>
      <c r="P503" s="74"/>
    </row>
    <row r="504" spans="1:16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74"/>
      <c r="N504" s="286"/>
      <c r="O504" s="74"/>
      <c r="P504" s="74"/>
    </row>
    <row r="505" spans="1:16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74"/>
      <c r="N505" s="286"/>
      <c r="O505" s="74"/>
      <c r="P505" s="74"/>
    </row>
    <row r="506" spans="1:16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74"/>
      <c r="N506" s="286"/>
      <c r="O506" s="74"/>
      <c r="P506" s="74"/>
    </row>
    <row r="507" spans="1:16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74"/>
      <c r="N507" s="286"/>
      <c r="O507" s="74"/>
      <c r="P507" s="74"/>
    </row>
    <row r="508" spans="1:16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74"/>
      <c r="N508" s="286"/>
      <c r="O508" s="74"/>
      <c r="P508" s="74"/>
    </row>
    <row r="509" spans="1:16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74"/>
      <c r="N509" s="286"/>
      <c r="O509" s="74"/>
      <c r="P509" s="74"/>
    </row>
    <row r="510" spans="1:16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74"/>
      <c r="N510" s="286"/>
      <c r="O510" s="74"/>
      <c r="P510" s="74"/>
    </row>
    <row r="511" spans="1:16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74"/>
      <c r="N511" s="286"/>
      <c r="O511" s="74"/>
      <c r="P511" s="74"/>
    </row>
    <row r="512" spans="1:16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74"/>
      <c r="N512" s="286"/>
      <c r="O512" s="74"/>
      <c r="P512" s="74"/>
    </row>
    <row r="513" spans="1:16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74"/>
      <c r="N513" s="286"/>
      <c r="O513" s="74"/>
      <c r="P513" s="74"/>
    </row>
    <row r="514" spans="1:16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74"/>
      <c r="N514" s="286"/>
      <c r="O514" s="74"/>
      <c r="P514" s="74"/>
    </row>
    <row r="515" spans="1:16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74"/>
      <c r="N515" s="286"/>
      <c r="O515" s="74"/>
      <c r="P515" s="74"/>
    </row>
    <row r="516" spans="1:16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74"/>
      <c r="N516" s="286"/>
      <c r="O516" s="74"/>
      <c r="P516" s="74"/>
    </row>
    <row r="517" spans="1:16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74"/>
      <c r="N517" s="286"/>
      <c r="O517" s="74"/>
      <c r="P517" s="74"/>
    </row>
    <row r="518" spans="1:16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74"/>
      <c r="N518" s="286"/>
      <c r="O518" s="74"/>
      <c r="P518" s="74"/>
    </row>
    <row r="519" spans="1:16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74"/>
      <c r="N519" s="286"/>
      <c r="O519" s="74"/>
      <c r="P519" s="74"/>
    </row>
    <row r="520" spans="1:16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74"/>
      <c r="N520" s="286"/>
      <c r="O520" s="74"/>
      <c r="P520" s="74"/>
    </row>
    <row r="521" spans="1:16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74"/>
      <c r="N521" s="286"/>
      <c r="O521" s="74"/>
      <c r="P521" s="74"/>
    </row>
    <row r="522" spans="1:16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74"/>
      <c r="N522" s="286"/>
      <c r="O522" s="74"/>
      <c r="P522" s="74"/>
    </row>
    <row r="523" spans="1:16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74"/>
      <c r="N523" s="286"/>
      <c r="O523" s="74"/>
      <c r="P523" s="74"/>
    </row>
    <row r="524" spans="1:16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74"/>
      <c r="N524" s="286"/>
      <c r="O524" s="74"/>
      <c r="P524" s="74"/>
    </row>
    <row r="525" spans="1:16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74"/>
      <c r="N525" s="286"/>
      <c r="O525" s="74"/>
      <c r="P525" s="74"/>
    </row>
    <row r="526" spans="1:16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74"/>
      <c r="N526" s="286"/>
      <c r="O526" s="74"/>
      <c r="P526" s="74"/>
    </row>
    <row r="527" spans="1:16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74"/>
      <c r="N527" s="286"/>
      <c r="O527" s="74"/>
      <c r="P527" s="74"/>
    </row>
    <row r="528" spans="1:16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74"/>
      <c r="N528" s="286"/>
      <c r="O528" s="74"/>
      <c r="P528" s="74"/>
    </row>
    <row r="529" spans="1:16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74"/>
      <c r="N529" s="286"/>
      <c r="O529" s="74"/>
      <c r="P529" s="74"/>
    </row>
    <row r="530" spans="1:16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74"/>
      <c r="N530" s="286"/>
      <c r="O530" s="74"/>
      <c r="P530" s="74"/>
    </row>
    <row r="531" spans="1:16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74"/>
      <c r="N531" s="286"/>
      <c r="O531" s="74"/>
      <c r="P531" s="74"/>
    </row>
    <row r="532" spans="1:16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74"/>
      <c r="N532" s="286"/>
      <c r="O532" s="74"/>
      <c r="P532" s="74"/>
    </row>
    <row r="533" spans="1:16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74"/>
      <c r="N533" s="286"/>
      <c r="O533" s="74"/>
      <c r="P533" s="74"/>
    </row>
    <row r="534" spans="1:16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74"/>
      <c r="N534" s="286"/>
      <c r="O534" s="74"/>
      <c r="P534" s="74"/>
    </row>
    <row r="535" spans="1:16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74"/>
      <c r="N535" s="286"/>
      <c r="O535" s="74"/>
      <c r="P535" s="74"/>
    </row>
    <row r="536" spans="1:16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74"/>
      <c r="N536" s="286"/>
      <c r="O536" s="74"/>
      <c r="P536" s="74"/>
    </row>
    <row r="537" spans="1:16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74"/>
      <c r="N537" s="286"/>
      <c r="O537" s="74"/>
      <c r="P537" s="74"/>
    </row>
    <row r="538" spans="1:16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74"/>
      <c r="N538" s="286"/>
      <c r="O538" s="74"/>
      <c r="P538" s="74"/>
    </row>
    <row r="539" spans="1:16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74"/>
      <c r="N539" s="286"/>
      <c r="O539" s="74"/>
      <c r="P539" s="74"/>
    </row>
    <row r="540" spans="1:16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74"/>
      <c r="N540" s="286"/>
      <c r="O540" s="74"/>
      <c r="P540" s="74"/>
    </row>
    <row r="541" spans="1:16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74"/>
      <c r="N541" s="286"/>
      <c r="O541" s="74"/>
      <c r="P541" s="74"/>
    </row>
    <row r="542" spans="1:16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74"/>
      <c r="N542" s="286"/>
      <c r="O542" s="74"/>
      <c r="P542" s="74"/>
    </row>
    <row r="543" spans="1:16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74"/>
      <c r="N543" s="286"/>
      <c r="O543" s="74"/>
      <c r="P543" s="74"/>
    </row>
    <row r="544" spans="1:16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74"/>
      <c r="N544" s="286"/>
      <c r="O544" s="74"/>
      <c r="P544" s="74"/>
    </row>
    <row r="545" spans="1:16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74"/>
      <c r="N545" s="286"/>
      <c r="O545" s="74"/>
      <c r="P545" s="74"/>
    </row>
    <row r="546" spans="1:16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74"/>
      <c r="N546" s="286"/>
      <c r="O546" s="74"/>
      <c r="P546" s="74"/>
    </row>
    <row r="547" spans="1:16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74"/>
      <c r="N547" s="286"/>
      <c r="O547" s="74"/>
      <c r="P547" s="74"/>
    </row>
    <row r="548" spans="1:16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74"/>
      <c r="N548" s="286"/>
      <c r="O548" s="74"/>
      <c r="P548" s="74"/>
    </row>
    <row r="549" spans="1:16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74"/>
      <c r="N549" s="286"/>
      <c r="O549" s="74"/>
      <c r="P549" s="74"/>
    </row>
    <row r="550" spans="1:16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74"/>
      <c r="N550" s="286"/>
      <c r="O550" s="74"/>
      <c r="P550" s="74"/>
    </row>
    <row r="551" spans="1:16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74"/>
      <c r="N551" s="286"/>
      <c r="O551" s="74"/>
      <c r="P551" s="74"/>
    </row>
    <row r="552" spans="1:16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74"/>
      <c r="N552" s="286"/>
      <c r="O552" s="74"/>
      <c r="P552" s="74"/>
    </row>
    <row r="553" spans="1:16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74"/>
      <c r="N553" s="286"/>
      <c r="O553" s="74"/>
      <c r="P553" s="74"/>
    </row>
    <row r="554" spans="1:16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74"/>
      <c r="N554" s="286"/>
      <c r="O554" s="74"/>
      <c r="P554" s="74"/>
    </row>
    <row r="555" spans="1:16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74"/>
      <c r="N555" s="286"/>
      <c r="O555" s="74"/>
      <c r="P555" s="74"/>
    </row>
    <row r="556" spans="1:16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74"/>
      <c r="N556" s="286"/>
      <c r="O556" s="74"/>
      <c r="P556" s="74"/>
    </row>
    <row r="557" spans="1:16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74"/>
      <c r="N557" s="286"/>
      <c r="O557" s="74"/>
      <c r="P557" s="74"/>
    </row>
    <row r="558" spans="1:16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74"/>
      <c r="N558" s="286"/>
      <c r="O558" s="74"/>
      <c r="P558" s="74"/>
    </row>
    <row r="559" spans="1:16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74"/>
      <c r="N559" s="286"/>
      <c r="O559" s="74"/>
      <c r="P559" s="74"/>
    </row>
    <row r="560" spans="1:16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74"/>
      <c r="N560" s="286"/>
      <c r="O560" s="74"/>
      <c r="P560" s="74"/>
    </row>
    <row r="561" spans="1:16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74"/>
      <c r="N561" s="286"/>
      <c r="O561" s="74"/>
      <c r="P561" s="74"/>
    </row>
    <row r="562" spans="1:16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74"/>
      <c r="N562" s="286"/>
      <c r="O562" s="74"/>
      <c r="P562" s="74"/>
    </row>
    <row r="563" spans="1:16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74"/>
      <c r="N563" s="286"/>
      <c r="O563" s="74"/>
      <c r="P563" s="74"/>
    </row>
    <row r="564" spans="1:16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74"/>
      <c r="N564" s="286"/>
      <c r="O564" s="74"/>
      <c r="P564" s="74"/>
    </row>
    <row r="565" spans="1:16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74"/>
      <c r="N565" s="286"/>
      <c r="O565" s="74"/>
      <c r="P565" s="74"/>
    </row>
    <row r="566" spans="1:16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74"/>
      <c r="N566" s="286"/>
      <c r="O566" s="74"/>
      <c r="P566" s="74"/>
    </row>
    <row r="567" spans="1:16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74"/>
      <c r="N567" s="286"/>
      <c r="O567" s="74"/>
      <c r="P567" s="74"/>
    </row>
    <row r="568" spans="1:16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74"/>
      <c r="N568" s="286"/>
      <c r="O568" s="74"/>
      <c r="P568" s="74"/>
    </row>
    <row r="569" spans="1:16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74"/>
      <c r="N569" s="286"/>
      <c r="O569" s="74"/>
      <c r="P569" s="74"/>
    </row>
    <row r="570" spans="1:16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74"/>
      <c r="N570" s="286"/>
      <c r="O570" s="74"/>
      <c r="P570" s="74"/>
    </row>
    <row r="571" spans="1:16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74"/>
      <c r="N571" s="286"/>
      <c r="O571" s="74"/>
      <c r="P571" s="74"/>
    </row>
    <row r="572" spans="1:16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74"/>
      <c r="N572" s="286"/>
      <c r="O572" s="74"/>
      <c r="P572" s="74"/>
    </row>
    <row r="573" spans="1:16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74"/>
      <c r="N573" s="286"/>
      <c r="O573" s="74"/>
      <c r="P573" s="74"/>
    </row>
    <row r="574" spans="1:16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74"/>
      <c r="N574" s="286"/>
      <c r="O574" s="74"/>
      <c r="P574" s="74"/>
    </row>
    <row r="575" spans="1:16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74"/>
      <c r="N575" s="286"/>
      <c r="O575" s="74"/>
      <c r="P575" s="74"/>
    </row>
    <row r="576" spans="1:16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74"/>
      <c r="N576" s="286"/>
      <c r="O576" s="74"/>
      <c r="P576" s="74"/>
    </row>
    <row r="577" spans="1:16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74"/>
      <c r="N577" s="286"/>
      <c r="O577" s="74"/>
      <c r="P577" s="74"/>
    </row>
    <row r="578" spans="1:16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74"/>
      <c r="N578" s="286"/>
      <c r="O578" s="74"/>
      <c r="P578" s="74"/>
    </row>
    <row r="579" spans="1:16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74"/>
      <c r="N579" s="286"/>
      <c r="O579" s="74"/>
      <c r="P579" s="74"/>
    </row>
    <row r="580" spans="1:16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74"/>
      <c r="N580" s="286"/>
      <c r="O580" s="74"/>
      <c r="P580" s="74"/>
    </row>
    <row r="581" spans="1:16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74"/>
      <c r="N581" s="286"/>
      <c r="O581" s="74"/>
      <c r="P581" s="74"/>
    </row>
    <row r="582" spans="1:16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74"/>
      <c r="N582" s="286"/>
      <c r="O582" s="74"/>
      <c r="P582" s="74"/>
    </row>
    <row r="583" spans="1:16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74"/>
      <c r="N583" s="286"/>
      <c r="O583" s="74"/>
      <c r="P583" s="74"/>
    </row>
    <row r="584" spans="1:16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74"/>
      <c r="N584" s="286"/>
      <c r="O584" s="74"/>
      <c r="P584" s="74"/>
    </row>
    <row r="585" spans="1:16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74"/>
      <c r="N585" s="286"/>
      <c r="O585" s="74"/>
      <c r="P585" s="74"/>
    </row>
    <row r="586" spans="1:16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74"/>
      <c r="N586" s="286"/>
      <c r="O586" s="74"/>
      <c r="P586" s="74"/>
    </row>
    <row r="587" spans="1:16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74"/>
      <c r="N587" s="286"/>
      <c r="O587" s="74"/>
      <c r="P587" s="74"/>
    </row>
    <row r="588" spans="1:16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74"/>
      <c r="N588" s="286"/>
      <c r="O588" s="74"/>
      <c r="P588" s="74"/>
    </row>
    <row r="589" spans="1:16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74"/>
      <c r="N589" s="286"/>
      <c r="O589" s="74"/>
      <c r="P589" s="74"/>
    </row>
    <row r="590" spans="1:16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74"/>
      <c r="N590" s="286"/>
      <c r="O590" s="74"/>
      <c r="P590" s="74"/>
    </row>
    <row r="591" spans="1:16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74"/>
      <c r="N591" s="286"/>
      <c r="O591" s="74"/>
      <c r="P591" s="74"/>
    </row>
    <row r="592" spans="1:16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74"/>
      <c r="N592" s="286"/>
      <c r="O592" s="74"/>
      <c r="P592" s="74"/>
    </row>
    <row r="593" spans="1:16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74"/>
      <c r="N593" s="286"/>
      <c r="O593" s="74"/>
      <c r="P593" s="74"/>
    </row>
    <row r="594" spans="1:16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74"/>
      <c r="N594" s="286"/>
      <c r="O594" s="74"/>
      <c r="P594" s="74"/>
    </row>
    <row r="595" spans="1:16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74"/>
      <c r="N595" s="286"/>
      <c r="O595" s="74"/>
      <c r="P595" s="74"/>
    </row>
    <row r="596" spans="1:16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74"/>
      <c r="N596" s="286"/>
      <c r="O596" s="74"/>
      <c r="P596" s="74"/>
    </row>
    <row r="597" spans="1:16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74"/>
      <c r="N597" s="286"/>
      <c r="O597" s="74"/>
      <c r="P597" s="74"/>
    </row>
    <row r="598" spans="1:16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74"/>
      <c r="N598" s="286"/>
      <c r="O598" s="74"/>
      <c r="P598" s="74"/>
    </row>
    <row r="599" spans="1:16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74"/>
      <c r="N599" s="286"/>
      <c r="O599" s="74"/>
      <c r="P599" s="74"/>
    </row>
    <row r="600" spans="1:16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74"/>
      <c r="N600" s="286"/>
      <c r="O600" s="74"/>
      <c r="P600" s="74"/>
    </row>
    <row r="601" spans="1:16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74"/>
      <c r="N601" s="286"/>
      <c r="O601" s="74"/>
      <c r="P601" s="74"/>
    </row>
    <row r="602" spans="1:16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74"/>
      <c r="N602" s="286"/>
      <c r="O602" s="74"/>
      <c r="P602" s="74"/>
    </row>
    <row r="603" spans="1:16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74"/>
      <c r="N603" s="286"/>
      <c r="O603" s="74"/>
      <c r="P603" s="74"/>
    </row>
    <row r="604" spans="1:16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74"/>
      <c r="N604" s="286"/>
      <c r="O604" s="74"/>
      <c r="P604" s="74"/>
    </row>
    <row r="605" spans="1:16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74"/>
      <c r="N605" s="286"/>
      <c r="O605" s="74"/>
      <c r="P605" s="74"/>
    </row>
    <row r="606" spans="1:16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74"/>
      <c r="N606" s="286"/>
      <c r="O606" s="74"/>
      <c r="P606" s="74"/>
    </row>
    <row r="607" spans="1:16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74"/>
      <c r="N607" s="286"/>
      <c r="O607" s="74"/>
      <c r="P607" s="74"/>
    </row>
    <row r="608" spans="1:16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74"/>
      <c r="N608" s="286"/>
      <c r="O608" s="74"/>
      <c r="P608" s="74"/>
    </row>
    <row r="609" spans="1:16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74"/>
      <c r="N609" s="286"/>
      <c r="O609" s="74"/>
      <c r="P609" s="74"/>
    </row>
    <row r="610" spans="1:16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74"/>
      <c r="N610" s="286"/>
      <c r="O610" s="74"/>
      <c r="P610" s="74"/>
    </row>
    <row r="611" spans="1:16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74"/>
      <c r="N611" s="286"/>
      <c r="O611" s="74"/>
      <c r="P611" s="74"/>
    </row>
    <row r="612" spans="1:16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74"/>
      <c r="N612" s="286"/>
      <c r="O612" s="74"/>
      <c r="P612" s="74"/>
    </row>
    <row r="613" spans="1:16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74"/>
      <c r="N613" s="286"/>
      <c r="O613" s="74"/>
      <c r="P613" s="74"/>
    </row>
    <row r="614" spans="1:16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74"/>
      <c r="N614" s="286"/>
      <c r="O614" s="74"/>
      <c r="P614" s="74"/>
    </row>
    <row r="615" spans="1:16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74"/>
      <c r="N615" s="286"/>
      <c r="O615" s="74"/>
      <c r="P615" s="74"/>
    </row>
    <row r="616" spans="1:16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74"/>
      <c r="N616" s="286"/>
      <c r="O616" s="74"/>
      <c r="P616" s="74"/>
    </row>
    <row r="617" spans="1:16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74"/>
      <c r="N617" s="286"/>
      <c r="O617" s="74"/>
      <c r="P617" s="74"/>
    </row>
    <row r="618" spans="1:16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74"/>
      <c r="N618" s="286"/>
      <c r="O618" s="74"/>
      <c r="P618" s="74"/>
    </row>
    <row r="619" spans="1:16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74"/>
      <c r="N619" s="286"/>
      <c r="O619" s="74"/>
      <c r="P619" s="74"/>
    </row>
    <row r="620" spans="1:16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74"/>
      <c r="N620" s="286"/>
      <c r="O620" s="74"/>
      <c r="P620" s="74"/>
    </row>
    <row r="621" spans="1:16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74"/>
      <c r="N621" s="286"/>
      <c r="O621" s="74"/>
      <c r="P621" s="74"/>
    </row>
    <row r="622" spans="1:16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74"/>
      <c r="N622" s="286"/>
      <c r="O622" s="74"/>
      <c r="P622" s="74"/>
    </row>
    <row r="623" spans="1:16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74"/>
      <c r="N623" s="286"/>
      <c r="O623" s="74"/>
      <c r="P623" s="74"/>
    </row>
    <row r="624" spans="1:16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74"/>
      <c r="N624" s="286"/>
      <c r="O624" s="74"/>
      <c r="P624" s="74"/>
    </row>
    <row r="625" spans="1:16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74"/>
      <c r="N625" s="286"/>
      <c r="O625" s="74"/>
      <c r="P625" s="74"/>
    </row>
    <row r="626" spans="1:16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74"/>
      <c r="N626" s="286"/>
      <c r="O626" s="74"/>
      <c r="P626" s="74"/>
    </row>
    <row r="627" spans="1:16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74"/>
      <c r="N627" s="286"/>
      <c r="O627" s="74"/>
      <c r="P627" s="74"/>
    </row>
    <row r="628" spans="1:16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74"/>
      <c r="N628" s="286"/>
      <c r="O628" s="74"/>
      <c r="P628" s="74"/>
    </row>
    <row r="629" spans="1:16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74"/>
      <c r="N629" s="286"/>
      <c r="O629" s="74"/>
      <c r="P629" s="74"/>
    </row>
    <row r="630" spans="1:16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74"/>
      <c r="N630" s="286"/>
      <c r="O630" s="74"/>
      <c r="P630" s="74"/>
    </row>
    <row r="631" spans="1:16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74"/>
      <c r="N631" s="286"/>
      <c r="O631" s="74"/>
      <c r="P631" s="74"/>
    </row>
    <row r="632" spans="1:16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74"/>
      <c r="N632" s="286"/>
      <c r="O632" s="74"/>
      <c r="P632" s="74"/>
    </row>
    <row r="633" spans="1:16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74"/>
      <c r="N633" s="286"/>
      <c r="O633" s="74"/>
      <c r="P633" s="74"/>
    </row>
    <row r="634" spans="1:16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74"/>
      <c r="N634" s="286"/>
      <c r="O634" s="74"/>
      <c r="P634" s="74"/>
    </row>
    <row r="635" spans="1:16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74"/>
      <c r="N635" s="286"/>
      <c r="O635" s="74"/>
      <c r="P635" s="74"/>
    </row>
    <row r="636" spans="1:16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74"/>
      <c r="N636" s="286"/>
      <c r="O636" s="74"/>
      <c r="P636" s="74"/>
    </row>
    <row r="637" spans="1:16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74"/>
      <c r="N637" s="286"/>
      <c r="O637" s="74"/>
      <c r="P637" s="74"/>
    </row>
    <row r="638" spans="1:16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74"/>
      <c r="N638" s="286"/>
      <c r="O638" s="74"/>
      <c r="P638" s="74"/>
    </row>
    <row r="639" spans="1:16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74"/>
      <c r="N639" s="286"/>
      <c r="O639" s="74"/>
      <c r="P639" s="74"/>
    </row>
    <row r="640" spans="1:16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74"/>
      <c r="N640" s="286"/>
      <c r="O640" s="74"/>
      <c r="P640" s="74"/>
    </row>
    <row r="641" spans="1:16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74"/>
      <c r="N641" s="286"/>
      <c r="O641" s="74"/>
      <c r="P641" s="74"/>
    </row>
    <row r="642" spans="1:16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74"/>
      <c r="N642" s="286"/>
      <c r="O642" s="74"/>
      <c r="P642" s="74"/>
    </row>
    <row r="643" spans="1:16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74"/>
      <c r="N643" s="286"/>
      <c r="O643" s="74"/>
      <c r="P643" s="74"/>
    </row>
    <row r="644" spans="1:16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74"/>
      <c r="N644" s="286"/>
      <c r="O644" s="74"/>
      <c r="P644" s="74"/>
    </row>
    <row r="645" spans="1:16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74"/>
      <c r="N645" s="286"/>
      <c r="O645" s="74"/>
      <c r="P645" s="74"/>
    </row>
    <row r="646" spans="1:16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74"/>
      <c r="N646" s="286"/>
      <c r="O646" s="74"/>
      <c r="P646" s="74"/>
    </row>
    <row r="647" spans="1:16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74"/>
      <c r="N647" s="286"/>
      <c r="O647" s="74"/>
      <c r="P647" s="74"/>
    </row>
    <row r="648" spans="1:16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74"/>
      <c r="N648" s="286"/>
      <c r="O648" s="74"/>
      <c r="P648" s="74"/>
    </row>
    <row r="649" spans="1:16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74"/>
      <c r="N649" s="286"/>
      <c r="O649" s="74"/>
      <c r="P649" s="74"/>
    </row>
    <row r="650" spans="1:16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74"/>
      <c r="N650" s="286"/>
      <c r="O650" s="74"/>
      <c r="P650" s="74"/>
    </row>
    <row r="651" spans="1:16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74"/>
      <c r="N651" s="286"/>
      <c r="O651" s="74"/>
      <c r="P651" s="74"/>
    </row>
    <row r="652" spans="1:16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74"/>
      <c r="N652" s="286"/>
      <c r="O652" s="74"/>
      <c r="P652" s="74"/>
    </row>
    <row r="653" spans="1:16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74"/>
      <c r="N653" s="286"/>
      <c r="O653" s="74"/>
      <c r="P653" s="74"/>
    </row>
    <row r="654" spans="1:16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74"/>
      <c r="N654" s="286"/>
      <c r="O654" s="74"/>
      <c r="P654" s="74"/>
    </row>
    <row r="655" spans="1:16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74"/>
      <c r="N655" s="286"/>
      <c r="O655" s="74"/>
      <c r="P655" s="74"/>
    </row>
    <row r="656" spans="1:16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74"/>
      <c r="N656" s="286"/>
      <c r="O656" s="74"/>
      <c r="P656" s="74"/>
    </row>
    <row r="657" spans="1:16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74"/>
      <c r="N657" s="286"/>
      <c r="O657" s="74"/>
      <c r="P657" s="74"/>
    </row>
    <row r="658" spans="1:16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74"/>
      <c r="N658" s="286"/>
      <c r="O658" s="74"/>
      <c r="P658" s="74"/>
    </row>
    <row r="659" spans="1:16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74"/>
      <c r="N659" s="286"/>
      <c r="O659" s="74"/>
      <c r="P659" s="74"/>
    </row>
    <row r="660" spans="1:16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74"/>
      <c r="N660" s="286"/>
      <c r="O660" s="74"/>
      <c r="P660" s="74"/>
    </row>
    <row r="661" spans="1:16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74"/>
      <c r="N661" s="286"/>
      <c r="O661" s="74"/>
      <c r="P661" s="74"/>
    </row>
    <row r="662" spans="1:16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74"/>
      <c r="N662" s="286"/>
      <c r="O662" s="74"/>
      <c r="P662" s="74"/>
    </row>
    <row r="663" spans="1:16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74"/>
      <c r="N663" s="286"/>
      <c r="O663" s="74"/>
      <c r="P663" s="74"/>
    </row>
    <row r="664" spans="1:16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74"/>
      <c r="N664" s="286"/>
      <c r="O664" s="74"/>
      <c r="P664" s="74"/>
    </row>
    <row r="665" spans="1:16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74"/>
      <c r="N665" s="286"/>
      <c r="O665" s="74"/>
      <c r="P665" s="74"/>
    </row>
    <row r="666" spans="1:16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74"/>
      <c r="N666" s="286"/>
      <c r="O666" s="74"/>
      <c r="P666" s="74"/>
    </row>
    <row r="667" spans="1:16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74"/>
      <c r="N667" s="286"/>
      <c r="O667" s="74"/>
      <c r="P667" s="74"/>
    </row>
    <row r="668" spans="1:16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74"/>
      <c r="N668" s="286"/>
      <c r="O668" s="74"/>
      <c r="P668" s="74"/>
    </row>
    <row r="669" spans="1:16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74"/>
      <c r="N669" s="286"/>
      <c r="O669" s="74"/>
      <c r="P669" s="74"/>
    </row>
    <row r="670" spans="1:16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74"/>
      <c r="N670" s="286"/>
      <c r="O670" s="74"/>
      <c r="P670" s="74"/>
    </row>
    <row r="671" spans="1:16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74"/>
      <c r="N671" s="286"/>
      <c r="O671" s="74"/>
      <c r="P671" s="74"/>
    </row>
    <row r="672" spans="1:16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74"/>
      <c r="N672" s="286"/>
      <c r="O672" s="74"/>
      <c r="P672" s="74"/>
    </row>
    <row r="673" spans="1:16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74"/>
      <c r="N673" s="286"/>
      <c r="O673" s="74"/>
      <c r="P673" s="74"/>
    </row>
    <row r="674" spans="1:16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74"/>
      <c r="N674" s="286"/>
      <c r="O674" s="74"/>
      <c r="P674" s="74"/>
    </row>
    <row r="675" spans="1:16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74"/>
      <c r="N675" s="286"/>
      <c r="O675" s="74"/>
      <c r="P675" s="74"/>
    </row>
    <row r="676" spans="1:16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74"/>
      <c r="N676" s="286"/>
      <c r="O676" s="74"/>
      <c r="P676" s="74"/>
    </row>
    <row r="677" spans="1:16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74"/>
      <c r="N677" s="286"/>
      <c r="O677" s="74"/>
      <c r="P677" s="74"/>
    </row>
    <row r="678" spans="1:16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74"/>
      <c r="N678" s="286"/>
      <c r="O678" s="74"/>
      <c r="P678" s="74"/>
    </row>
    <row r="679" spans="1:16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74"/>
      <c r="N679" s="286"/>
      <c r="O679" s="74"/>
      <c r="P679" s="74"/>
    </row>
    <row r="680" spans="1:16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74"/>
      <c r="N680" s="286"/>
      <c r="O680" s="74"/>
      <c r="P680" s="74"/>
    </row>
    <row r="681" spans="1:16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74"/>
      <c r="N681" s="286"/>
      <c r="O681" s="74"/>
      <c r="P681" s="74"/>
    </row>
    <row r="682" spans="1:16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74"/>
      <c r="N682" s="286"/>
      <c r="O682" s="74"/>
      <c r="P682" s="74"/>
    </row>
    <row r="683" spans="1:16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74"/>
      <c r="N683" s="286"/>
      <c r="O683" s="74"/>
      <c r="P683" s="74"/>
    </row>
    <row r="684" spans="1:16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74"/>
      <c r="N684" s="286"/>
      <c r="O684" s="74"/>
      <c r="P684" s="74"/>
    </row>
    <row r="685" spans="1:16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74"/>
      <c r="N685" s="286"/>
      <c r="O685" s="74"/>
      <c r="P685" s="74"/>
    </row>
    <row r="686" spans="1:16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74"/>
      <c r="N686" s="286"/>
      <c r="O686" s="74"/>
      <c r="P686" s="74"/>
    </row>
    <row r="687" spans="1:16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74"/>
      <c r="N687" s="286"/>
      <c r="O687" s="74"/>
      <c r="P687" s="74"/>
    </row>
    <row r="688" spans="1:16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74"/>
      <c r="N688" s="286"/>
      <c r="O688" s="74"/>
      <c r="P688" s="74"/>
    </row>
    <row r="689" spans="1:16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74"/>
      <c r="N689" s="286"/>
      <c r="O689" s="74"/>
      <c r="P689" s="74"/>
    </row>
    <row r="690" spans="1:16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74"/>
      <c r="N690" s="286"/>
      <c r="O690" s="74"/>
      <c r="P690" s="74"/>
    </row>
    <row r="691" spans="1:16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74"/>
      <c r="N691" s="286"/>
      <c r="O691" s="74"/>
      <c r="P691" s="74"/>
    </row>
    <row r="692" spans="1:16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74"/>
      <c r="N692" s="286"/>
      <c r="O692" s="74"/>
      <c r="P692" s="74"/>
    </row>
    <row r="693" spans="1:16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74"/>
      <c r="N693" s="286"/>
      <c r="O693" s="74"/>
      <c r="P693" s="74"/>
    </row>
    <row r="694" spans="1:16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74"/>
      <c r="N694" s="286"/>
      <c r="O694" s="74"/>
      <c r="P694" s="74"/>
    </row>
    <row r="695" spans="1:16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74"/>
      <c r="N695" s="286"/>
      <c r="O695" s="74"/>
      <c r="P695" s="74"/>
    </row>
    <row r="696" spans="1:16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74"/>
      <c r="N696" s="286"/>
      <c r="O696" s="74"/>
      <c r="P696" s="74"/>
    </row>
    <row r="697" spans="1:16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74"/>
      <c r="N697" s="286"/>
      <c r="O697" s="74"/>
      <c r="P697" s="74"/>
    </row>
    <row r="698" spans="1:16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74"/>
      <c r="N698" s="286"/>
      <c r="O698" s="74"/>
      <c r="P698" s="74"/>
    </row>
    <row r="699" spans="1:16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74"/>
      <c r="N699" s="286"/>
      <c r="O699" s="74"/>
      <c r="P699" s="74"/>
    </row>
    <row r="700" spans="1:16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74"/>
      <c r="N700" s="286"/>
      <c r="O700" s="74"/>
      <c r="P700" s="74"/>
    </row>
    <row r="701" spans="1:16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74"/>
      <c r="N701" s="286"/>
      <c r="O701" s="74"/>
      <c r="P701" s="74"/>
    </row>
    <row r="702" spans="1:16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74"/>
      <c r="N702" s="286"/>
      <c r="O702" s="74"/>
      <c r="P702" s="74"/>
    </row>
    <row r="703" spans="1:16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74"/>
      <c r="N703" s="286"/>
      <c r="O703" s="74"/>
      <c r="P703" s="74"/>
    </row>
    <row r="704" spans="1:16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74"/>
      <c r="N704" s="286"/>
      <c r="O704" s="74"/>
      <c r="P704" s="74"/>
    </row>
    <row r="705" spans="1:16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74"/>
      <c r="N705" s="286"/>
      <c r="O705" s="74"/>
      <c r="P705" s="74"/>
    </row>
    <row r="706" spans="1:16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74"/>
      <c r="N706" s="286"/>
      <c r="O706" s="74"/>
      <c r="P706" s="74"/>
    </row>
    <row r="707" spans="1:16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74"/>
      <c r="N707" s="286"/>
      <c r="O707" s="74"/>
      <c r="P707" s="74"/>
    </row>
    <row r="708" spans="1:16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74"/>
      <c r="N708" s="286"/>
      <c r="O708" s="74"/>
      <c r="P708" s="74"/>
    </row>
    <row r="709" spans="1:16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74"/>
      <c r="N709" s="286"/>
      <c r="O709" s="74"/>
      <c r="P709" s="74"/>
    </row>
    <row r="710" spans="1:16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74"/>
      <c r="N710" s="286"/>
      <c r="O710" s="74"/>
      <c r="P710" s="74"/>
    </row>
    <row r="711" spans="1:16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74"/>
      <c r="N711" s="286"/>
      <c r="O711" s="74"/>
      <c r="P711" s="74"/>
    </row>
    <row r="712" spans="1:16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74"/>
      <c r="N712" s="286"/>
      <c r="O712" s="74"/>
      <c r="P712" s="74"/>
    </row>
    <row r="713" spans="1:16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74"/>
      <c r="N713" s="286"/>
      <c r="O713" s="74"/>
      <c r="P713" s="74"/>
    </row>
    <row r="714" spans="1:16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74"/>
      <c r="N714" s="286"/>
      <c r="O714" s="74"/>
      <c r="P714" s="74"/>
    </row>
    <row r="715" spans="1:16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74"/>
      <c r="N715" s="286"/>
      <c r="O715" s="74"/>
      <c r="P715" s="74"/>
    </row>
    <row r="716" spans="1:16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74"/>
      <c r="N716" s="286"/>
      <c r="O716" s="74"/>
      <c r="P716" s="74"/>
    </row>
    <row r="717" spans="1:16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74"/>
      <c r="N717" s="286"/>
      <c r="O717" s="74"/>
      <c r="P717" s="74"/>
    </row>
    <row r="718" spans="1:16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74"/>
      <c r="N718" s="286"/>
      <c r="O718" s="74"/>
      <c r="P718" s="74"/>
    </row>
    <row r="719" spans="1:16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74"/>
      <c r="N719" s="286"/>
      <c r="O719" s="74"/>
      <c r="P719" s="74"/>
    </row>
    <row r="720" spans="1:16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74"/>
      <c r="N720" s="286"/>
      <c r="O720" s="74"/>
      <c r="P720" s="74"/>
    </row>
    <row r="721" spans="1:16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74"/>
      <c r="N721" s="286"/>
      <c r="O721" s="74"/>
      <c r="P721" s="74"/>
    </row>
    <row r="722" spans="1:16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74"/>
      <c r="N722" s="286"/>
      <c r="O722" s="74"/>
      <c r="P722" s="74"/>
    </row>
    <row r="723" spans="1:16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74"/>
      <c r="N723" s="286"/>
      <c r="O723" s="74"/>
      <c r="P723" s="74"/>
    </row>
    <row r="724" spans="1:16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74"/>
      <c r="N724" s="286"/>
      <c r="O724" s="74"/>
      <c r="P724" s="74"/>
    </row>
    <row r="725" spans="1:16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74"/>
      <c r="N725" s="286"/>
      <c r="O725" s="74"/>
      <c r="P725" s="74"/>
    </row>
    <row r="726" spans="1:16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74"/>
      <c r="N726" s="286"/>
      <c r="O726" s="74"/>
      <c r="P726" s="74"/>
    </row>
    <row r="727" spans="1:16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74"/>
      <c r="N727" s="286"/>
      <c r="O727" s="74"/>
      <c r="P727" s="74"/>
    </row>
    <row r="728" spans="1:16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74"/>
      <c r="N728" s="286"/>
      <c r="O728" s="74"/>
      <c r="P728" s="74"/>
    </row>
    <row r="729" spans="1:16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74"/>
      <c r="N729" s="286"/>
      <c r="O729" s="74"/>
      <c r="P729" s="74"/>
    </row>
    <row r="730" spans="1:16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74"/>
      <c r="N730" s="286"/>
      <c r="O730" s="74"/>
      <c r="P730" s="74"/>
    </row>
    <row r="731" spans="1:16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74"/>
      <c r="N731" s="286"/>
      <c r="O731" s="74"/>
      <c r="P731" s="74"/>
    </row>
    <row r="732" spans="1:16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74"/>
      <c r="N732" s="286"/>
      <c r="O732" s="74"/>
      <c r="P732" s="74"/>
    </row>
    <row r="733" spans="1:16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74"/>
      <c r="N733" s="286"/>
      <c r="O733" s="74"/>
      <c r="P733" s="74"/>
    </row>
    <row r="734" spans="1:16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74"/>
      <c r="N734" s="286"/>
      <c r="O734" s="74"/>
      <c r="P734" s="74"/>
    </row>
    <row r="735" spans="1:16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74"/>
      <c r="N735" s="286"/>
      <c r="O735" s="74"/>
      <c r="P735" s="74"/>
    </row>
    <row r="736" spans="1:16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74"/>
      <c r="N736" s="286"/>
      <c r="O736" s="74"/>
      <c r="P736" s="74"/>
    </row>
    <row r="737" spans="1:16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74"/>
      <c r="N737" s="286"/>
      <c r="O737" s="74"/>
      <c r="P737" s="74"/>
    </row>
    <row r="738" spans="1:16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74"/>
      <c r="N738" s="286"/>
      <c r="O738" s="74"/>
      <c r="P738" s="74"/>
    </row>
    <row r="739" spans="1:16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74"/>
      <c r="N739" s="286"/>
      <c r="O739" s="74"/>
      <c r="P739" s="74"/>
    </row>
    <row r="740" spans="1:16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74"/>
      <c r="N740" s="286"/>
      <c r="O740" s="74"/>
      <c r="P740" s="74"/>
    </row>
    <row r="741" spans="1:16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74"/>
      <c r="N741" s="286"/>
      <c r="O741" s="74"/>
      <c r="P741" s="74"/>
    </row>
    <row r="742" spans="1:16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74"/>
      <c r="N742" s="286"/>
      <c r="O742" s="74"/>
      <c r="P742" s="74"/>
    </row>
    <row r="743" spans="1:16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74"/>
      <c r="N743" s="286"/>
      <c r="O743" s="74"/>
      <c r="P743" s="74"/>
    </row>
    <row r="744" spans="1:16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74"/>
      <c r="N744" s="286"/>
      <c r="O744" s="74"/>
      <c r="P744" s="74"/>
    </row>
    <row r="745" spans="1:16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74"/>
      <c r="N745" s="286"/>
      <c r="O745" s="74"/>
      <c r="P745" s="74"/>
    </row>
    <row r="746" spans="1:16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74"/>
      <c r="N746" s="286"/>
      <c r="O746" s="74"/>
      <c r="P746" s="74"/>
    </row>
    <row r="747" spans="1:16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74"/>
      <c r="N747" s="286"/>
      <c r="O747" s="74"/>
      <c r="P747" s="74"/>
    </row>
    <row r="748" spans="1:16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74"/>
      <c r="N748" s="286"/>
      <c r="O748" s="74"/>
      <c r="P748" s="74"/>
    </row>
    <row r="749" spans="1:16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74"/>
      <c r="N749" s="286"/>
      <c r="O749" s="74"/>
      <c r="P749" s="74"/>
    </row>
    <row r="750" spans="1:16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74"/>
      <c r="N750" s="286"/>
      <c r="O750" s="74"/>
      <c r="P750" s="74"/>
    </row>
    <row r="751" spans="1:16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74"/>
      <c r="N751" s="286"/>
      <c r="O751" s="74"/>
      <c r="P751" s="74"/>
    </row>
    <row r="752" spans="1:16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74"/>
      <c r="N752" s="286"/>
      <c r="O752" s="74"/>
      <c r="P752" s="74"/>
    </row>
    <row r="753" spans="1:16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74"/>
      <c r="N753" s="286"/>
      <c r="O753" s="74"/>
      <c r="P753" s="74"/>
    </row>
    <row r="754" spans="1:16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74"/>
      <c r="N754" s="286"/>
      <c r="O754" s="74"/>
      <c r="P754" s="74"/>
    </row>
    <row r="755" spans="1:16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74"/>
      <c r="N755" s="286"/>
      <c r="O755" s="74"/>
      <c r="P755" s="74"/>
    </row>
    <row r="756" spans="1:16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74"/>
      <c r="N756" s="286"/>
      <c r="O756" s="74"/>
      <c r="P756" s="74"/>
    </row>
    <row r="757" spans="1:16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74"/>
      <c r="N757" s="286"/>
      <c r="O757" s="74"/>
      <c r="P757" s="74"/>
    </row>
    <row r="758" spans="1:16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74"/>
      <c r="N758" s="286"/>
      <c r="O758" s="74"/>
      <c r="P758" s="74"/>
    </row>
    <row r="759" spans="1:16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74"/>
      <c r="N759" s="286"/>
      <c r="O759" s="74"/>
      <c r="P759" s="74"/>
    </row>
    <row r="760" spans="1:16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74"/>
      <c r="N760" s="286"/>
      <c r="O760" s="74"/>
      <c r="P760" s="74"/>
    </row>
    <row r="761" spans="1:16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74"/>
      <c r="N761" s="286"/>
      <c r="O761" s="74"/>
      <c r="P761" s="74"/>
    </row>
    <row r="762" spans="1:16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74"/>
      <c r="N762" s="286"/>
      <c r="O762" s="74"/>
      <c r="P762" s="74"/>
    </row>
    <row r="763" spans="1:16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74"/>
      <c r="N763" s="286"/>
      <c r="O763" s="74"/>
      <c r="P763" s="74"/>
    </row>
    <row r="764" spans="1:16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74"/>
      <c r="N764" s="286"/>
      <c r="O764" s="74"/>
      <c r="P764" s="74"/>
    </row>
    <row r="765" spans="1:16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74"/>
      <c r="N765" s="286"/>
      <c r="O765" s="74"/>
      <c r="P765" s="74"/>
    </row>
    <row r="766" spans="1:16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74"/>
      <c r="N766" s="286"/>
      <c r="O766" s="74"/>
      <c r="P766" s="74"/>
    </row>
    <row r="767" spans="1:16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74"/>
      <c r="N767" s="286"/>
      <c r="O767" s="74"/>
      <c r="P767" s="74"/>
    </row>
    <row r="768" spans="1:16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74"/>
      <c r="N768" s="286"/>
      <c r="O768" s="74"/>
      <c r="P768" s="74"/>
    </row>
    <row r="769" spans="1:16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74"/>
      <c r="N769" s="286"/>
      <c r="O769" s="74"/>
      <c r="P769" s="74"/>
    </row>
    <row r="770" spans="1:16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74"/>
      <c r="N770" s="286"/>
      <c r="O770" s="74"/>
      <c r="P770" s="74"/>
    </row>
    <row r="771" spans="1:16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74"/>
      <c r="N771" s="286"/>
      <c r="O771" s="74"/>
      <c r="P771" s="74"/>
    </row>
    <row r="772" spans="1:16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74"/>
      <c r="N772" s="286"/>
      <c r="O772" s="74"/>
      <c r="P772" s="74"/>
    </row>
    <row r="773" spans="1:16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74"/>
      <c r="N773" s="286"/>
      <c r="O773" s="74"/>
      <c r="P773" s="74"/>
    </row>
    <row r="774" spans="1:16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74"/>
      <c r="N774" s="286"/>
      <c r="O774" s="74"/>
      <c r="P774" s="74"/>
    </row>
    <row r="775" spans="1:16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74"/>
      <c r="N775" s="286"/>
      <c r="O775" s="74"/>
      <c r="P775" s="74"/>
    </row>
    <row r="776" spans="1:16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74"/>
      <c r="N776" s="286"/>
      <c r="O776" s="74"/>
      <c r="P776" s="74"/>
    </row>
    <row r="777" spans="1:16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74"/>
      <c r="N777" s="286"/>
      <c r="O777" s="74"/>
      <c r="P777" s="74"/>
    </row>
    <row r="778" spans="1:16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74"/>
      <c r="N778" s="286"/>
      <c r="O778" s="74"/>
      <c r="P778" s="74"/>
    </row>
    <row r="779" spans="1:16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74"/>
      <c r="N779" s="286"/>
      <c r="O779" s="74"/>
      <c r="P779" s="74"/>
    </row>
    <row r="780" spans="1:16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74"/>
      <c r="N780" s="286"/>
      <c r="O780" s="74"/>
      <c r="P780" s="74"/>
    </row>
    <row r="781" spans="1:16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74"/>
      <c r="N781" s="286"/>
      <c r="O781" s="74"/>
      <c r="P781" s="74"/>
    </row>
    <row r="782" spans="1:16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74"/>
      <c r="N782" s="286"/>
      <c r="O782" s="74"/>
      <c r="P782" s="74"/>
    </row>
    <row r="783" spans="1:16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74"/>
      <c r="N783" s="286"/>
      <c r="O783" s="74"/>
      <c r="P783" s="74"/>
    </row>
    <row r="784" spans="1:16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74"/>
      <c r="N784" s="286"/>
      <c r="O784" s="74"/>
      <c r="P784" s="74"/>
    </row>
    <row r="785" spans="1:16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74"/>
      <c r="N785" s="286"/>
      <c r="O785" s="74"/>
      <c r="P785" s="74"/>
    </row>
    <row r="786" spans="1:16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74"/>
      <c r="N786" s="286"/>
      <c r="O786" s="74"/>
      <c r="P786" s="74"/>
    </row>
    <row r="787" spans="1:16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74"/>
      <c r="N787" s="286"/>
      <c r="O787" s="74"/>
      <c r="P787" s="74"/>
    </row>
    <row r="788" spans="1:16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74"/>
      <c r="N788" s="286"/>
      <c r="O788" s="74"/>
      <c r="P788" s="74"/>
    </row>
    <row r="789" spans="1:16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74"/>
      <c r="N789" s="286"/>
      <c r="O789" s="74"/>
      <c r="P789" s="74"/>
    </row>
    <row r="790" spans="1:16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74"/>
      <c r="N790" s="286"/>
      <c r="O790" s="74"/>
      <c r="P790" s="74"/>
    </row>
    <row r="791" spans="1:16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74"/>
      <c r="N791" s="286"/>
      <c r="O791" s="74"/>
      <c r="P791" s="74"/>
    </row>
    <row r="792" spans="1:16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74"/>
      <c r="N792" s="286"/>
      <c r="O792" s="74"/>
      <c r="P792" s="74"/>
    </row>
    <row r="793" spans="1:16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74"/>
      <c r="N793" s="286"/>
      <c r="O793" s="74"/>
      <c r="P793" s="74"/>
    </row>
    <row r="794" spans="1:16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74"/>
      <c r="N794" s="286"/>
      <c r="O794" s="74"/>
      <c r="P794" s="74"/>
    </row>
    <row r="795" spans="1:16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74"/>
      <c r="N795" s="286"/>
      <c r="O795" s="74"/>
      <c r="P795" s="74"/>
    </row>
    <row r="796" spans="1:16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74"/>
      <c r="N796" s="286"/>
      <c r="O796" s="74"/>
      <c r="P796" s="74"/>
    </row>
    <row r="797" spans="1:16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74"/>
      <c r="N797" s="286"/>
      <c r="O797" s="74"/>
      <c r="P797" s="74"/>
    </row>
    <row r="798" spans="1:16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74"/>
      <c r="N798" s="286"/>
      <c r="O798" s="74"/>
      <c r="P798" s="74"/>
    </row>
    <row r="799" spans="1:16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74"/>
      <c r="N799" s="286"/>
      <c r="O799" s="74"/>
      <c r="P799" s="74"/>
    </row>
    <row r="800" spans="1:16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74"/>
      <c r="N800" s="286"/>
      <c r="O800" s="74"/>
      <c r="P800" s="74"/>
    </row>
    <row r="801" spans="1:16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74"/>
      <c r="N801" s="286"/>
      <c r="O801" s="74"/>
      <c r="P801" s="74"/>
    </row>
    <row r="802" spans="1:16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74"/>
      <c r="N802" s="286"/>
      <c r="O802" s="74"/>
      <c r="P802" s="74"/>
    </row>
    <row r="803" spans="1:16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74"/>
      <c r="N803" s="286"/>
      <c r="O803" s="74"/>
      <c r="P803" s="74"/>
    </row>
    <row r="804" spans="1:16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74"/>
      <c r="N804" s="286"/>
      <c r="O804" s="74"/>
      <c r="P804" s="74"/>
    </row>
    <row r="805" spans="1:16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74"/>
      <c r="N805" s="286"/>
      <c r="O805" s="74"/>
      <c r="P805" s="74"/>
    </row>
    <row r="806" spans="1:16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74"/>
      <c r="N806" s="286"/>
      <c r="O806" s="74"/>
      <c r="P806" s="74"/>
    </row>
    <row r="807" spans="1:16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74"/>
      <c r="N807" s="286"/>
      <c r="O807" s="74"/>
      <c r="P807" s="74"/>
    </row>
    <row r="808" spans="1:16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74"/>
      <c r="N808" s="286"/>
      <c r="O808" s="74"/>
      <c r="P808" s="74"/>
    </row>
    <row r="809" spans="1:16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74"/>
      <c r="N809" s="286"/>
      <c r="O809" s="74"/>
      <c r="P809" s="74"/>
    </row>
    <row r="810" spans="1:16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74"/>
      <c r="N810" s="286"/>
      <c r="O810" s="74"/>
      <c r="P810" s="74"/>
    </row>
    <row r="811" spans="1:16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74"/>
      <c r="N811" s="286"/>
      <c r="O811" s="74"/>
      <c r="P811" s="74"/>
    </row>
    <row r="812" spans="1:16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74"/>
      <c r="N812" s="286"/>
      <c r="O812" s="74"/>
      <c r="P812" s="74"/>
    </row>
    <row r="813" spans="1:16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74"/>
      <c r="N813" s="286"/>
      <c r="O813" s="74"/>
      <c r="P813" s="74"/>
    </row>
    <row r="814" spans="1:16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74"/>
      <c r="N814" s="286"/>
      <c r="O814" s="74"/>
      <c r="P814" s="74"/>
    </row>
    <row r="815" spans="1:16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74"/>
      <c r="N815" s="286"/>
      <c r="O815" s="74"/>
      <c r="P815" s="74"/>
    </row>
    <row r="816" spans="1:16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74"/>
      <c r="N816" s="286"/>
      <c r="O816" s="74"/>
      <c r="P816" s="74"/>
    </row>
    <row r="817" spans="1:16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74"/>
      <c r="N817" s="286"/>
      <c r="O817" s="74"/>
      <c r="P817" s="74"/>
    </row>
    <row r="818" spans="1:16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74"/>
      <c r="N818" s="286"/>
      <c r="O818" s="74"/>
      <c r="P818" s="74"/>
    </row>
    <row r="819" spans="1:16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74"/>
      <c r="N819" s="286"/>
      <c r="O819" s="74"/>
      <c r="P819" s="74"/>
    </row>
    <row r="820" spans="1:16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74"/>
      <c r="N820" s="286"/>
      <c r="O820" s="74"/>
      <c r="P820" s="74"/>
    </row>
    <row r="821" spans="1:16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74"/>
      <c r="N821" s="286"/>
      <c r="O821" s="74"/>
      <c r="P821" s="74"/>
    </row>
    <row r="822" spans="1:16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74"/>
      <c r="N822" s="286"/>
      <c r="O822" s="74"/>
      <c r="P822" s="74"/>
    </row>
    <row r="823" spans="1:16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74"/>
      <c r="N823" s="286"/>
      <c r="O823" s="74"/>
      <c r="P823" s="74"/>
    </row>
    <row r="824" spans="1:16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74"/>
      <c r="N824" s="286"/>
      <c r="O824" s="74"/>
      <c r="P824" s="74"/>
    </row>
    <row r="825" spans="1:16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74"/>
      <c r="N825" s="286"/>
      <c r="O825" s="74"/>
      <c r="P825" s="74"/>
    </row>
    <row r="826" spans="1:16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74"/>
      <c r="N826" s="286"/>
      <c r="O826" s="74"/>
      <c r="P826" s="74"/>
    </row>
    <row r="827" spans="1:16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74"/>
      <c r="N827" s="286"/>
      <c r="O827" s="74"/>
      <c r="P827" s="74"/>
    </row>
    <row r="828" spans="1:16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74"/>
      <c r="N828" s="286"/>
      <c r="O828" s="74"/>
      <c r="P828" s="74"/>
    </row>
    <row r="829" spans="1:16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74"/>
      <c r="N829" s="286"/>
      <c r="O829" s="74"/>
      <c r="P829" s="74"/>
    </row>
    <row r="830" spans="1:16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74"/>
      <c r="N830" s="286"/>
      <c r="O830" s="74"/>
      <c r="P830" s="74"/>
    </row>
    <row r="831" spans="1:16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74"/>
      <c r="N831" s="286"/>
      <c r="O831" s="74"/>
      <c r="P831" s="74"/>
    </row>
    <row r="832" spans="1:16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74"/>
      <c r="N832" s="286"/>
      <c r="O832" s="74"/>
      <c r="P832" s="74"/>
    </row>
    <row r="833" spans="1:16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74"/>
      <c r="N833" s="286"/>
      <c r="O833" s="74"/>
      <c r="P833" s="74"/>
    </row>
    <row r="834" spans="1:16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74"/>
      <c r="N834" s="286"/>
      <c r="O834" s="74"/>
      <c r="P834" s="74"/>
    </row>
    <row r="835" spans="1:16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74"/>
      <c r="N835" s="286"/>
      <c r="O835" s="74"/>
      <c r="P835" s="74"/>
    </row>
    <row r="836" spans="1:16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74"/>
      <c r="N836" s="286"/>
      <c r="O836" s="74"/>
      <c r="P836" s="74"/>
    </row>
    <row r="837" spans="1:16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74"/>
      <c r="N837" s="286"/>
      <c r="O837" s="74"/>
      <c r="P837" s="74"/>
    </row>
    <row r="838" spans="1:16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74"/>
      <c r="N838" s="286"/>
      <c r="O838" s="74"/>
      <c r="P838" s="74"/>
    </row>
    <row r="839" spans="1:16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74"/>
      <c r="N839" s="286"/>
      <c r="O839" s="74"/>
      <c r="P839" s="74"/>
    </row>
    <row r="840" spans="1:16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74"/>
      <c r="N840" s="286"/>
      <c r="O840" s="74"/>
      <c r="P840" s="74"/>
    </row>
    <row r="841" spans="1:16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74"/>
      <c r="N841" s="286"/>
      <c r="O841" s="74"/>
      <c r="P841" s="74"/>
    </row>
    <row r="842" spans="1:16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74"/>
      <c r="N842" s="286"/>
      <c r="O842" s="74"/>
      <c r="P842" s="74"/>
    </row>
    <row r="843" spans="1:16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74"/>
      <c r="N843" s="286"/>
      <c r="O843" s="74"/>
      <c r="P843" s="74"/>
    </row>
    <row r="844" spans="1:16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74"/>
      <c r="N844" s="286"/>
      <c r="O844" s="74"/>
      <c r="P844" s="74"/>
    </row>
    <row r="845" spans="1:16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74"/>
      <c r="N845" s="286"/>
      <c r="O845" s="74"/>
      <c r="P845" s="74"/>
    </row>
    <row r="846" spans="1:16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74"/>
      <c r="N846" s="286"/>
      <c r="O846" s="74"/>
      <c r="P846" s="74"/>
    </row>
    <row r="847" spans="1:16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74"/>
      <c r="N847" s="286"/>
      <c r="O847" s="74"/>
      <c r="P847" s="74"/>
    </row>
    <row r="848" spans="1:16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74"/>
      <c r="N848" s="286"/>
      <c r="O848" s="74"/>
      <c r="P848" s="74"/>
    </row>
    <row r="849" spans="1:16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74"/>
      <c r="N849" s="286"/>
      <c r="O849" s="74"/>
      <c r="P849" s="74"/>
    </row>
    <row r="850" spans="1:16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74"/>
      <c r="N850" s="286"/>
      <c r="O850" s="74"/>
      <c r="P850" s="74"/>
    </row>
    <row r="851" spans="1:16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74"/>
      <c r="N851" s="286"/>
      <c r="O851" s="74"/>
      <c r="P851" s="74"/>
    </row>
    <row r="852" spans="1:16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74"/>
      <c r="N852" s="286"/>
      <c r="O852" s="74"/>
      <c r="P852" s="74"/>
    </row>
    <row r="853" spans="1:16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74"/>
      <c r="N853" s="286"/>
      <c r="O853" s="74"/>
      <c r="P853" s="74"/>
    </row>
    <row r="854" spans="1:16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74"/>
      <c r="N854" s="286"/>
      <c r="O854" s="74"/>
      <c r="P854" s="74"/>
    </row>
    <row r="855" spans="1:16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74"/>
      <c r="N855" s="286"/>
      <c r="O855" s="74"/>
      <c r="P855" s="74"/>
    </row>
    <row r="856" spans="1:16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74"/>
      <c r="N856" s="286"/>
      <c r="O856" s="74"/>
      <c r="P856" s="74"/>
    </row>
    <row r="857" spans="1:16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74"/>
      <c r="N857" s="286"/>
      <c r="O857" s="74"/>
      <c r="P857" s="74"/>
    </row>
    <row r="858" spans="1:16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74"/>
      <c r="N858" s="286"/>
      <c r="O858" s="74"/>
      <c r="P858" s="74"/>
    </row>
    <row r="859" spans="1:16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74"/>
      <c r="N859" s="286"/>
      <c r="O859" s="74"/>
      <c r="P859" s="74"/>
    </row>
    <row r="860" spans="1:16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74"/>
      <c r="N860" s="286"/>
      <c r="O860" s="74"/>
      <c r="P860" s="74"/>
    </row>
    <row r="861" spans="1:16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74"/>
      <c r="N861" s="286"/>
      <c r="O861" s="74"/>
      <c r="P861" s="74"/>
    </row>
    <row r="862" spans="1:16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74"/>
      <c r="N862" s="286"/>
      <c r="O862" s="74"/>
      <c r="P862" s="74"/>
    </row>
    <row r="863" spans="1:16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74"/>
      <c r="N863" s="286"/>
      <c r="O863" s="74"/>
      <c r="P863" s="74"/>
    </row>
    <row r="864" spans="1:16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74"/>
      <c r="N864" s="286"/>
      <c r="O864" s="74"/>
      <c r="P864" s="74"/>
    </row>
    <row r="865" spans="1:16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74"/>
      <c r="N865" s="286"/>
      <c r="O865" s="74"/>
      <c r="P865" s="74"/>
    </row>
    <row r="866" spans="1:16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74"/>
      <c r="N866" s="286"/>
      <c r="O866" s="74"/>
      <c r="P866" s="74"/>
    </row>
    <row r="867" spans="1:16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74"/>
      <c r="N867" s="286"/>
      <c r="O867" s="74"/>
      <c r="P867" s="74"/>
    </row>
    <row r="868" spans="1:16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74"/>
      <c r="N868" s="286"/>
      <c r="O868" s="74"/>
      <c r="P868" s="74"/>
    </row>
    <row r="869" spans="1:16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74"/>
      <c r="N869" s="286"/>
      <c r="O869" s="74"/>
      <c r="P869" s="74"/>
    </row>
    <row r="870" spans="1:16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74"/>
      <c r="N870" s="286"/>
      <c r="O870" s="74"/>
      <c r="P870" s="74"/>
    </row>
    <row r="871" spans="1:16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74"/>
      <c r="N871" s="286"/>
      <c r="O871" s="74"/>
      <c r="P871" s="74"/>
    </row>
    <row r="872" spans="1:16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74"/>
      <c r="N872" s="286"/>
      <c r="O872" s="74"/>
      <c r="P872" s="74"/>
    </row>
    <row r="873" spans="1:16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74"/>
      <c r="N873" s="286"/>
      <c r="O873" s="74"/>
      <c r="P873" s="74"/>
    </row>
    <row r="874" spans="1:16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74"/>
      <c r="N874" s="286"/>
      <c r="O874" s="74"/>
      <c r="P874" s="74"/>
    </row>
    <row r="875" spans="1:16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74"/>
      <c r="N875" s="286"/>
      <c r="O875" s="74"/>
      <c r="P875" s="74"/>
    </row>
    <row r="876" spans="1:16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74"/>
      <c r="N876" s="286"/>
      <c r="O876" s="74"/>
      <c r="P876" s="74"/>
    </row>
    <row r="877" spans="1:16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74"/>
      <c r="N877" s="286"/>
      <c r="O877" s="74"/>
      <c r="P877" s="74"/>
    </row>
    <row r="878" spans="1:16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74"/>
      <c r="N878" s="286"/>
      <c r="O878" s="74"/>
      <c r="P878" s="74"/>
    </row>
    <row r="879" spans="1:16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74"/>
      <c r="N879" s="286"/>
      <c r="O879" s="74"/>
      <c r="P879" s="74"/>
    </row>
    <row r="880" spans="1:16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74"/>
      <c r="N880" s="286"/>
      <c r="O880" s="74"/>
      <c r="P880" s="74"/>
    </row>
    <row r="881" spans="1:16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74"/>
      <c r="N881" s="286"/>
      <c r="O881" s="74"/>
      <c r="P881" s="74"/>
    </row>
    <row r="882" spans="1:16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74"/>
      <c r="N882" s="286"/>
      <c r="O882" s="74"/>
      <c r="P882" s="74"/>
    </row>
    <row r="883" spans="1:16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74"/>
      <c r="N883" s="286"/>
      <c r="O883" s="74"/>
      <c r="P883" s="74"/>
    </row>
    <row r="884" spans="1:16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74"/>
      <c r="N884" s="286"/>
      <c r="O884" s="74"/>
      <c r="P884" s="74"/>
    </row>
    <row r="885" spans="1:16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74"/>
      <c r="N885" s="286"/>
      <c r="O885" s="74"/>
      <c r="P885" s="74"/>
    </row>
    <row r="886" spans="1:16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74"/>
      <c r="N886" s="286"/>
      <c r="O886" s="74"/>
      <c r="P886" s="74"/>
    </row>
    <row r="887" spans="1:16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74"/>
      <c r="N887" s="286"/>
      <c r="O887" s="74"/>
      <c r="P887" s="74"/>
    </row>
    <row r="888" spans="1:16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74"/>
      <c r="N888" s="286"/>
      <c r="O888" s="74"/>
      <c r="P888" s="74"/>
    </row>
    <row r="889" spans="1:16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74"/>
      <c r="N889" s="286"/>
      <c r="O889" s="74"/>
      <c r="P889" s="74"/>
    </row>
    <row r="890" spans="1:16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74"/>
      <c r="N890" s="286"/>
      <c r="O890" s="74"/>
      <c r="P890" s="74"/>
    </row>
    <row r="891" spans="1:16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74"/>
      <c r="N891" s="286"/>
      <c r="O891" s="74"/>
      <c r="P891" s="74"/>
    </row>
    <row r="892" spans="1:16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74"/>
      <c r="N892" s="286"/>
      <c r="O892" s="74"/>
      <c r="P892" s="74"/>
    </row>
    <row r="893" spans="1:16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74"/>
      <c r="N893" s="286"/>
      <c r="O893" s="74"/>
      <c r="P893" s="74"/>
    </row>
    <row r="894" spans="1:16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74"/>
      <c r="N894" s="286"/>
      <c r="O894" s="74"/>
      <c r="P894" s="74"/>
    </row>
    <row r="895" spans="1:16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74"/>
      <c r="N895" s="286"/>
      <c r="O895" s="74"/>
      <c r="P895" s="74"/>
    </row>
    <row r="896" spans="1:16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74"/>
      <c r="N896" s="286"/>
      <c r="O896" s="74"/>
      <c r="P896" s="74"/>
    </row>
    <row r="897" spans="1:16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74"/>
      <c r="N897" s="286"/>
      <c r="O897" s="74"/>
      <c r="P897" s="74"/>
    </row>
    <row r="898" spans="1:16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74"/>
      <c r="N898" s="286"/>
      <c r="O898" s="74"/>
      <c r="P898" s="74"/>
    </row>
    <row r="899" spans="1:16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74"/>
      <c r="N899" s="286"/>
      <c r="O899" s="74"/>
      <c r="P899" s="74"/>
    </row>
    <row r="900" spans="1:16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74"/>
      <c r="N900" s="286"/>
      <c r="O900" s="74"/>
      <c r="P900" s="74"/>
    </row>
    <row r="901" spans="1:16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74"/>
      <c r="N901" s="286"/>
      <c r="O901" s="74"/>
      <c r="P901" s="74"/>
    </row>
    <row r="902" spans="1:16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74"/>
      <c r="N902" s="286"/>
      <c r="O902" s="74"/>
      <c r="P902" s="74"/>
    </row>
    <row r="903" spans="1:16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74"/>
      <c r="N903" s="286"/>
      <c r="O903" s="74"/>
      <c r="P903" s="74"/>
    </row>
    <row r="904" spans="1:16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74"/>
      <c r="N904" s="286"/>
      <c r="O904" s="74"/>
      <c r="P904" s="74"/>
    </row>
    <row r="905" spans="1:16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74"/>
      <c r="N905" s="286"/>
      <c r="O905" s="74"/>
      <c r="P905" s="74"/>
    </row>
    <row r="906" spans="1:16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74"/>
      <c r="N906" s="286"/>
      <c r="O906" s="74"/>
      <c r="P906" s="74"/>
    </row>
    <row r="907" spans="1:16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74"/>
      <c r="N907" s="286"/>
      <c r="O907" s="74"/>
      <c r="P907" s="74"/>
    </row>
    <row r="908" spans="1:16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74"/>
      <c r="N908" s="286"/>
      <c r="O908" s="74"/>
      <c r="P908" s="74"/>
    </row>
    <row r="909" spans="1:16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74"/>
      <c r="N909" s="286"/>
      <c r="O909" s="74"/>
      <c r="P909" s="74"/>
    </row>
    <row r="910" spans="1:16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74"/>
      <c r="N910" s="286"/>
      <c r="O910" s="74"/>
      <c r="P910" s="74"/>
    </row>
    <row r="911" spans="1:16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74"/>
      <c r="N911" s="286"/>
      <c r="O911" s="74"/>
      <c r="P911" s="74"/>
    </row>
    <row r="912" spans="1:16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74"/>
      <c r="N912" s="286"/>
      <c r="O912" s="74"/>
      <c r="P912" s="74"/>
    </row>
    <row r="913" spans="1:16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74"/>
      <c r="N913" s="286"/>
      <c r="O913" s="74"/>
      <c r="P913" s="74"/>
    </row>
    <row r="914" spans="1:16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74"/>
      <c r="N914" s="286"/>
      <c r="O914" s="74"/>
      <c r="P914" s="74"/>
    </row>
    <row r="915" spans="1:16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74"/>
      <c r="N915" s="286"/>
      <c r="O915" s="74"/>
      <c r="P915" s="74"/>
    </row>
    <row r="916" spans="1:16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74"/>
      <c r="N916" s="286"/>
      <c r="O916" s="74"/>
      <c r="P916" s="74"/>
    </row>
    <row r="917" spans="1:16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74"/>
      <c r="N917" s="286"/>
      <c r="O917" s="74"/>
      <c r="P917" s="74"/>
    </row>
    <row r="918" spans="1:16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74"/>
      <c r="N918" s="286"/>
      <c r="O918" s="74"/>
      <c r="P918" s="74"/>
    </row>
    <row r="919" spans="1:16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74"/>
      <c r="N919" s="286"/>
      <c r="O919" s="74"/>
      <c r="P919" s="74"/>
    </row>
    <row r="920" spans="1:16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74"/>
      <c r="N920" s="286"/>
      <c r="O920" s="74"/>
      <c r="P920" s="74"/>
    </row>
    <row r="921" spans="1:16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74"/>
      <c r="N921" s="286"/>
      <c r="O921" s="74"/>
      <c r="P921" s="74"/>
    </row>
    <row r="922" spans="1:16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74"/>
      <c r="N922" s="286"/>
      <c r="O922" s="74"/>
      <c r="P922" s="74"/>
    </row>
    <row r="923" spans="1:16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74"/>
      <c r="N923" s="286"/>
      <c r="O923" s="74"/>
      <c r="P923" s="74"/>
    </row>
    <row r="924" spans="1:16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74"/>
      <c r="N924" s="286"/>
      <c r="O924" s="74"/>
      <c r="P924" s="74"/>
    </row>
    <row r="925" spans="1:16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74"/>
      <c r="N925" s="286"/>
      <c r="O925" s="74"/>
      <c r="P925" s="74"/>
    </row>
    <row r="926" spans="1:16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74"/>
      <c r="N926" s="286"/>
      <c r="O926" s="74"/>
      <c r="P926" s="74"/>
    </row>
    <row r="927" spans="1:16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74"/>
      <c r="N927" s="286"/>
      <c r="O927" s="74"/>
      <c r="P927" s="74"/>
    </row>
    <row r="928" spans="1:16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74"/>
      <c r="N928" s="286"/>
      <c r="O928" s="74"/>
      <c r="P928" s="74"/>
    </row>
    <row r="929" spans="1:16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74"/>
      <c r="N929" s="286"/>
      <c r="O929" s="74"/>
      <c r="P929" s="74"/>
    </row>
    <row r="930" spans="1:16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74"/>
      <c r="N930" s="286"/>
      <c r="O930" s="74"/>
      <c r="P930" s="74"/>
    </row>
    <row r="931" spans="1:16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74"/>
      <c r="N931" s="286"/>
      <c r="O931" s="74"/>
      <c r="P931" s="74"/>
    </row>
    <row r="932" spans="1:16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74"/>
      <c r="N932" s="286"/>
      <c r="O932" s="74"/>
      <c r="P932" s="74"/>
    </row>
    <row r="933" spans="1:16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74"/>
      <c r="N933" s="286"/>
      <c r="O933" s="74"/>
      <c r="P933" s="74"/>
    </row>
    <row r="934" spans="1:16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74"/>
      <c r="N934" s="286"/>
      <c r="O934" s="74"/>
      <c r="P934" s="74"/>
    </row>
    <row r="935" spans="1:16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74"/>
      <c r="N935" s="286"/>
      <c r="O935" s="74"/>
      <c r="P935" s="74"/>
    </row>
    <row r="936" spans="1:16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74"/>
      <c r="N936" s="286"/>
      <c r="O936" s="74"/>
      <c r="P936" s="74"/>
    </row>
    <row r="937" spans="1:16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74"/>
      <c r="N937" s="286"/>
      <c r="O937" s="74"/>
      <c r="P937" s="74"/>
    </row>
    <row r="938" spans="1:16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74"/>
      <c r="N938" s="286"/>
      <c r="O938" s="74"/>
      <c r="P938" s="74"/>
    </row>
    <row r="939" spans="1:16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74"/>
      <c r="N939" s="286"/>
      <c r="O939" s="74"/>
      <c r="P939" s="74"/>
    </row>
    <row r="940" spans="1:16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74"/>
      <c r="N940" s="286"/>
      <c r="O940" s="74"/>
      <c r="P940" s="74"/>
    </row>
    <row r="941" spans="1:16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74"/>
      <c r="N941" s="286"/>
      <c r="O941" s="74"/>
      <c r="P941" s="74"/>
    </row>
    <row r="942" spans="1:16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74"/>
      <c r="N942" s="286"/>
      <c r="O942" s="74"/>
      <c r="P942" s="74"/>
    </row>
    <row r="943" spans="1:16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74"/>
      <c r="N943" s="286"/>
      <c r="O943" s="74"/>
      <c r="P943" s="74"/>
    </row>
    <row r="944" spans="1:16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74"/>
      <c r="N944" s="286"/>
      <c r="O944" s="74"/>
      <c r="P944" s="74"/>
    </row>
    <row r="945" spans="1:16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74"/>
      <c r="N945" s="286"/>
      <c r="O945" s="74"/>
      <c r="P945" s="74"/>
    </row>
    <row r="946" spans="1:16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74"/>
      <c r="N946" s="286"/>
      <c r="O946" s="74"/>
      <c r="P946" s="74"/>
    </row>
    <row r="947" spans="1:16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74"/>
      <c r="N947" s="286"/>
      <c r="O947" s="74"/>
      <c r="P947" s="74"/>
    </row>
    <row r="948" spans="1:16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74"/>
      <c r="N948" s="286"/>
      <c r="O948" s="74"/>
      <c r="P948" s="74"/>
    </row>
    <row r="949" spans="1:16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74"/>
      <c r="N949" s="286"/>
      <c r="O949" s="74"/>
      <c r="P949" s="74"/>
    </row>
    <row r="950" spans="1:16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74"/>
      <c r="N950" s="286"/>
      <c r="O950" s="74"/>
      <c r="P950" s="74"/>
    </row>
    <row r="951" spans="1:16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74"/>
      <c r="N951" s="286"/>
      <c r="O951" s="74"/>
      <c r="P951" s="74"/>
    </row>
    <row r="952" spans="1:16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74"/>
      <c r="N952" s="286"/>
      <c r="O952" s="74"/>
      <c r="P952" s="74"/>
    </row>
    <row r="953" spans="1:16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74"/>
      <c r="N953" s="286"/>
      <c r="O953" s="74"/>
      <c r="P953" s="74"/>
    </row>
    <row r="954" spans="1:16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74"/>
      <c r="N954" s="286"/>
      <c r="O954" s="74"/>
      <c r="P954" s="74"/>
    </row>
    <row r="955" spans="1:16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74"/>
      <c r="N955" s="286"/>
      <c r="O955" s="74"/>
      <c r="P955" s="74"/>
    </row>
    <row r="956" spans="1:16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74"/>
      <c r="N956" s="286"/>
      <c r="O956" s="74"/>
      <c r="P956" s="74"/>
    </row>
    <row r="957" spans="1:16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74"/>
      <c r="N957" s="286"/>
      <c r="O957" s="74"/>
      <c r="P957" s="74"/>
    </row>
    <row r="958" spans="1:16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74"/>
      <c r="N958" s="286"/>
      <c r="O958" s="74"/>
      <c r="P958" s="74"/>
    </row>
    <row r="959" spans="1:16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74"/>
      <c r="N959" s="286"/>
      <c r="O959" s="74"/>
      <c r="P959" s="74"/>
    </row>
    <row r="960" spans="1:16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74"/>
      <c r="N960" s="286"/>
      <c r="O960" s="74"/>
      <c r="P960" s="74"/>
    </row>
    <row r="961" spans="1:16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74"/>
      <c r="N961" s="286"/>
      <c r="O961" s="74"/>
      <c r="P961" s="74"/>
    </row>
    <row r="962" spans="1:16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74"/>
      <c r="N962" s="286"/>
      <c r="O962" s="74"/>
      <c r="P962" s="74"/>
    </row>
    <row r="963" spans="1:16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74"/>
      <c r="N963" s="286"/>
      <c r="O963" s="74"/>
      <c r="P963" s="74"/>
    </row>
    <row r="964" spans="1:16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74"/>
      <c r="N964" s="286"/>
      <c r="O964" s="74"/>
      <c r="P964" s="74"/>
    </row>
    <row r="965" spans="1:16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74"/>
      <c r="N965" s="286"/>
      <c r="O965" s="74"/>
      <c r="P965" s="74"/>
    </row>
    <row r="966" spans="1:16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74"/>
      <c r="N966" s="286"/>
      <c r="O966" s="74"/>
      <c r="P966" s="74"/>
    </row>
    <row r="967" spans="1:16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74"/>
      <c r="N967" s="286"/>
      <c r="O967" s="74"/>
      <c r="P967" s="74"/>
    </row>
    <row r="968" spans="1:16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74"/>
      <c r="N968" s="286"/>
      <c r="O968" s="74"/>
      <c r="P968" s="74"/>
    </row>
    <row r="969" spans="1:16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74"/>
      <c r="N969" s="286"/>
      <c r="O969" s="74"/>
      <c r="P969" s="74"/>
    </row>
    <row r="970" spans="1:16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74"/>
      <c r="N970" s="286"/>
      <c r="O970" s="74"/>
      <c r="P970" s="74"/>
    </row>
    <row r="971" spans="1:16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74"/>
      <c r="N971" s="286"/>
      <c r="O971" s="74"/>
      <c r="P971" s="74"/>
    </row>
    <row r="972" spans="1:16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74"/>
      <c r="N972" s="286"/>
      <c r="O972" s="74"/>
      <c r="P972" s="74"/>
    </row>
    <row r="973" spans="1:16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74"/>
      <c r="N973" s="286"/>
      <c r="O973" s="74"/>
      <c r="P973" s="74"/>
    </row>
    <row r="974" spans="1:16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74"/>
      <c r="N974" s="286"/>
      <c r="O974" s="74"/>
      <c r="P974" s="74"/>
    </row>
    <row r="975" spans="1:16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74"/>
      <c r="N975" s="286"/>
      <c r="O975" s="74"/>
      <c r="P975" s="74"/>
    </row>
    <row r="976" spans="1:16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74"/>
      <c r="N976" s="286"/>
      <c r="O976" s="74"/>
      <c r="P976" s="74"/>
    </row>
    <row r="977" spans="1:16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74"/>
      <c r="N977" s="286"/>
      <c r="O977" s="74"/>
      <c r="P977" s="74"/>
    </row>
    <row r="978" spans="1:16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74"/>
      <c r="N978" s="286"/>
      <c r="O978" s="74"/>
      <c r="P978" s="74"/>
    </row>
    <row r="979" spans="1:16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74"/>
      <c r="N979" s="286"/>
      <c r="O979" s="74"/>
      <c r="P979" s="74"/>
    </row>
    <row r="980" spans="1:16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74"/>
      <c r="N980" s="286"/>
      <c r="O980" s="74"/>
      <c r="P980" s="74"/>
    </row>
    <row r="981" spans="1:16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74"/>
      <c r="N981" s="286"/>
      <c r="O981" s="74"/>
      <c r="P981" s="74"/>
    </row>
    <row r="982" spans="1:16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74"/>
      <c r="N982" s="286"/>
      <c r="O982" s="74"/>
      <c r="P982" s="74"/>
    </row>
    <row r="983" spans="1:16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74"/>
      <c r="N983" s="286"/>
      <c r="O983" s="74"/>
      <c r="P983" s="74"/>
    </row>
    <row r="984" spans="1:16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74"/>
      <c r="N984" s="286"/>
      <c r="O984" s="74"/>
      <c r="P984" s="74"/>
    </row>
    <row r="985" spans="1:16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74"/>
      <c r="N985" s="286"/>
      <c r="O985" s="74"/>
      <c r="P985" s="74"/>
    </row>
    <row r="986" spans="1:16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74"/>
      <c r="N986" s="286"/>
      <c r="O986" s="74"/>
      <c r="P986" s="74"/>
    </row>
    <row r="987" spans="1:16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74"/>
      <c r="N987" s="286"/>
      <c r="O987" s="74"/>
      <c r="P987" s="74"/>
    </row>
    <row r="988" spans="1:16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74"/>
      <c r="N988" s="286"/>
      <c r="O988" s="74"/>
      <c r="P988" s="74"/>
    </row>
    <row r="989" spans="1:16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74"/>
      <c r="N989" s="286"/>
      <c r="O989" s="74"/>
      <c r="P989" s="74"/>
    </row>
    <row r="990" spans="1:16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74"/>
      <c r="N990" s="286"/>
      <c r="O990" s="74"/>
      <c r="P990" s="74"/>
    </row>
    <row r="991" spans="1:16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74"/>
      <c r="N991" s="286"/>
      <c r="O991" s="74"/>
      <c r="P991" s="74"/>
    </row>
    <row r="992" spans="1:16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74"/>
      <c r="N992" s="286"/>
      <c r="O992" s="74"/>
      <c r="P992" s="74"/>
    </row>
    <row r="993" spans="1:16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74"/>
      <c r="N993" s="286"/>
      <c r="O993" s="74"/>
      <c r="P993" s="74"/>
    </row>
    <row r="994" spans="1:16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74"/>
      <c r="N994" s="286"/>
      <c r="O994" s="74"/>
      <c r="P994" s="74"/>
    </row>
    <row r="995" spans="1:16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74"/>
      <c r="N995" s="286"/>
      <c r="O995" s="74"/>
      <c r="P995" s="74"/>
    </row>
    <row r="996" spans="1:16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74"/>
      <c r="N996" s="286"/>
      <c r="O996" s="74"/>
      <c r="P996" s="74"/>
    </row>
    <row r="997" spans="1:16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74"/>
      <c r="N997" s="286"/>
      <c r="O997" s="74"/>
      <c r="P997" s="74"/>
    </row>
    <row r="998" spans="1:16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74"/>
      <c r="N998" s="286"/>
      <c r="O998" s="74"/>
      <c r="P998" s="74"/>
    </row>
    <row r="999" spans="1:16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74"/>
      <c r="N999" s="286"/>
      <c r="O999" s="74"/>
      <c r="P999" s="74"/>
    </row>
    <row r="1000" spans="1:16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74"/>
      <c r="N1000" s="286"/>
      <c r="O1000" s="74"/>
      <c r="P1000" s="74"/>
    </row>
    <row r="1001" spans="1:16">
      <c r="A1001" s="66"/>
      <c r="B1001" s="66"/>
      <c r="C1001" s="66"/>
      <c r="D1001" s="66"/>
      <c r="E1001" s="66"/>
      <c r="F1001" s="66"/>
      <c r="G1001" s="66"/>
      <c r="H1001" s="66"/>
      <c r="I1001" s="66"/>
      <c r="J1001" s="66"/>
      <c r="K1001" s="66"/>
      <c r="L1001" s="66"/>
      <c r="M1001" s="74"/>
      <c r="N1001" s="286"/>
      <c r="O1001" s="74"/>
      <c r="P1001" s="74"/>
    </row>
    <row r="1002" spans="1:16">
      <c r="A1002" s="66"/>
      <c r="B1002" s="66"/>
      <c r="C1002" s="66"/>
      <c r="D1002" s="66"/>
      <c r="E1002" s="66"/>
      <c r="F1002" s="66"/>
      <c r="G1002" s="66"/>
      <c r="H1002" s="66"/>
      <c r="I1002" s="66"/>
      <c r="J1002" s="66"/>
      <c r="K1002" s="66"/>
      <c r="L1002" s="66"/>
      <c r="M1002" s="74"/>
      <c r="N1002" s="286"/>
      <c r="O1002" s="74"/>
      <c r="P1002" s="74"/>
    </row>
    <row r="1003" spans="1:16">
      <c r="A1003" s="66"/>
      <c r="B1003" s="66"/>
      <c r="C1003" s="66"/>
      <c r="D1003" s="66"/>
      <c r="E1003" s="66"/>
      <c r="F1003" s="66"/>
      <c r="G1003" s="66"/>
      <c r="H1003" s="66"/>
      <c r="I1003" s="66"/>
      <c r="J1003" s="66"/>
      <c r="K1003" s="66"/>
      <c r="L1003" s="66"/>
      <c r="M1003" s="74"/>
      <c r="N1003" s="286"/>
      <c r="O1003" s="74"/>
      <c r="P1003" s="74"/>
    </row>
    <row r="1004" spans="1:16">
      <c r="A1004" s="66"/>
      <c r="B1004" s="66"/>
      <c r="C1004" s="66"/>
      <c r="D1004" s="66"/>
      <c r="E1004" s="66"/>
      <c r="F1004" s="66"/>
      <c r="G1004" s="66"/>
      <c r="H1004" s="66"/>
      <c r="I1004" s="66"/>
      <c r="J1004" s="66"/>
      <c r="K1004" s="66"/>
      <c r="L1004" s="66"/>
      <c r="M1004" s="74"/>
      <c r="N1004" s="286"/>
      <c r="O1004" s="74"/>
      <c r="P1004" s="74"/>
    </row>
    <row r="1005" spans="1:16">
      <c r="A1005" s="66"/>
      <c r="B1005" s="66"/>
      <c r="C1005" s="66"/>
      <c r="D1005" s="66"/>
      <c r="E1005" s="66"/>
      <c r="F1005" s="66"/>
      <c r="G1005" s="66"/>
      <c r="H1005" s="66"/>
      <c r="I1005" s="66"/>
      <c r="J1005" s="66"/>
      <c r="K1005" s="66"/>
      <c r="L1005" s="66"/>
      <c r="M1005" s="74"/>
      <c r="N1005" s="286"/>
      <c r="O1005" s="74"/>
      <c r="P1005" s="74"/>
    </row>
    <row r="1006" spans="1:16">
      <c r="A1006" s="66"/>
      <c r="B1006" s="66"/>
      <c r="C1006" s="66"/>
      <c r="D1006" s="66"/>
      <c r="E1006" s="66"/>
      <c r="F1006" s="66"/>
      <c r="G1006" s="66"/>
      <c r="H1006" s="66"/>
      <c r="I1006" s="66"/>
      <c r="J1006" s="66"/>
      <c r="K1006" s="66"/>
      <c r="L1006" s="66"/>
      <c r="M1006" s="74"/>
      <c r="N1006" s="286"/>
      <c r="O1006" s="74"/>
      <c r="P1006" s="74"/>
    </row>
    <row r="1007" spans="1:16">
      <c r="A1007" s="66"/>
      <c r="B1007" s="66"/>
      <c r="C1007" s="66"/>
      <c r="D1007" s="66"/>
      <c r="E1007" s="66"/>
      <c r="F1007" s="66"/>
      <c r="G1007" s="66"/>
      <c r="H1007" s="66"/>
      <c r="I1007" s="66"/>
      <c r="J1007" s="66"/>
      <c r="K1007" s="66"/>
      <c r="L1007" s="66"/>
      <c r="M1007" s="74"/>
      <c r="N1007" s="286"/>
      <c r="O1007" s="74"/>
      <c r="P1007" s="74"/>
    </row>
    <row r="1008" spans="1:16">
      <c r="A1008" s="66"/>
      <c r="B1008" s="66"/>
      <c r="C1008" s="66"/>
      <c r="D1008" s="66"/>
      <c r="E1008" s="66"/>
      <c r="F1008" s="66"/>
      <c r="G1008" s="66"/>
      <c r="H1008" s="66"/>
      <c r="I1008" s="66"/>
      <c r="J1008" s="66"/>
      <c r="K1008" s="66"/>
      <c r="L1008" s="66"/>
      <c r="M1008" s="74"/>
      <c r="N1008" s="286"/>
      <c r="O1008" s="74"/>
      <c r="P1008" s="74"/>
    </row>
    <row r="1009" spans="1:16">
      <c r="A1009" s="66"/>
      <c r="B1009" s="66"/>
      <c r="C1009" s="66"/>
      <c r="D1009" s="66"/>
      <c r="E1009" s="66"/>
      <c r="F1009" s="66"/>
      <c r="G1009" s="66"/>
      <c r="H1009" s="66"/>
      <c r="I1009" s="66"/>
      <c r="J1009" s="66"/>
      <c r="K1009" s="66"/>
      <c r="L1009" s="66"/>
      <c r="M1009" s="74"/>
      <c r="N1009" s="286"/>
      <c r="O1009" s="74"/>
      <c r="P1009" s="74"/>
    </row>
    <row r="1010" spans="1:16">
      <c r="A1010" s="66"/>
      <c r="B1010" s="66"/>
      <c r="C1010" s="66"/>
      <c r="D1010" s="66"/>
      <c r="E1010" s="66"/>
      <c r="F1010" s="66"/>
      <c r="G1010" s="66"/>
      <c r="H1010" s="66"/>
      <c r="I1010" s="66"/>
      <c r="J1010" s="66"/>
      <c r="K1010" s="66"/>
      <c r="L1010" s="66"/>
      <c r="M1010" s="74"/>
      <c r="N1010" s="286"/>
      <c r="O1010" s="74"/>
      <c r="P1010" s="74"/>
    </row>
    <row r="1011" spans="1:16">
      <c r="A1011" s="66"/>
      <c r="B1011" s="66"/>
      <c r="C1011" s="66"/>
      <c r="D1011" s="66"/>
      <c r="E1011" s="66"/>
      <c r="F1011" s="66"/>
      <c r="G1011" s="66"/>
      <c r="H1011" s="66"/>
      <c r="I1011" s="66"/>
      <c r="J1011" s="66"/>
      <c r="K1011" s="66"/>
      <c r="L1011" s="66"/>
      <c r="M1011" s="74"/>
      <c r="N1011" s="286"/>
      <c r="O1011" s="74"/>
      <c r="P1011" s="74"/>
    </row>
    <row r="1012" spans="1:16">
      <c r="A1012" s="66"/>
      <c r="B1012" s="66"/>
      <c r="C1012" s="66"/>
      <c r="D1012" s="66"/>
      <c r="E1012" s="66"/>
      <c r="F1012" s="66"/>
      <c r="G1012" s="66"/>
      <c r="H1012" s="66"/>
      <c r="I1012" s="66"/>
      <c r="J1012" s="66"/>
      <c r="K1012" s="66"/>
      <c r="L1012" s="66"/>
      <c r="M1012" s="74"/>
      <c r="N1012" s="286"/>
      <c r="O1012" s="74"/>
      <c r="P1012" s="74"/>
    </row>
    <row r="1013" spans="1:16">
      <c r="A1013" s="66"/>
      <c r="B1013" s="66"/>
      <c r="C1013" s="66"/>
      <c r="D1013" s="66"/>
      <c r="E1013" s="66"/>
      <c r="F1013" s="66"/>
      <c r="G1013" s="66"/>
      <c r="H1013" s="66"/>
      <c r="I1013" s="66"/>
      <c r="J1013" s="66"/>
      <c r="K1013" s="66"/>
      <c r="L1013" s="66"/>
      <c r="M1013" s="74"/>
      <c r="N1013" s="286"/>
      <c r="O1013" s="74"/>
      <c r="P1013" s="74"/>
    </row>
    <row r="1014" spans="1:16">
      <c r="A1014" s="66"/>
      <c r="B1014" s="66"/>
      <c r="C1014" s="66"/>
      <c r="D1014" s="66"/>
      <c r="E1014" s="66"/>
      <c r="F1014" s="66"/>
      <c r="G1014" s="66"/>
      <c r="H1014" s="66"/>
      <c r="I1014" s="66"/>
      <c r="J1014" s="66"/>
      <c r="K1014" s="66"/>
      <c r="L1014" s="66"/>
      <c r="M1014" s="74"/>
      <c r="N1014" s="286"/>
      <c r="O1014" s="74"/>
      <c r="P1014" s="74"/>
    </row>
    <row r="1015" spans="1:16">
      <c r="A1015" s="66"/>
      <c r="B1015" s="66"/>
      <c r="C1015" s="66"/>
      <c r="D1015" s="66"/>
      <c r="E1015" s="66"/>
      <c r="F1015" s="66"/>
      <c r="G1015" s="66"/>
      <c r="H1015" s="66"/>
      <c r="I1015" s="66"/>
      <c r="J1015" s="66"/>
      <c r="K1015" s="66"/>
      <c r="L1015" s="66"/>
      <c r="M1015" s="74"/>
      <c r="N1015" s="286"/>
      <c r="O1015" s="74"/>
      <c r="P1015" s="74"/>
    </row>
    <row r="1016" spans="1:16">
      <c r="A1016" s="66"/>
      <c r="B1016" s="66"/>
      <c r="C1016" s="66"/>
      <c r="D1016" s="66"/>
      <c r="E1016" s="66"/>
      <c r="F1016" s="66"/>
      <c r="G1016" s="66"/>
      <c r="H1016" s="66"/>
      <c r="I1016" s="66"/>
      <c r="J1016" s="66"/>
      <c r="K1016" s="66"/>
      <c r="L1016" s="66"/>
      <c r="M1016" s="74"/>
      <c r="N1016" s="286"/>
      <c r="O1016" s="74"/>
      <c r="P1016" s="74"/>
    </row>
    <row r="1017" spans="1:16">
      <c r="A1017" s="66"/>
      <c r="B1017" s="66"/>
      <c r="C1017" s="66"/>
      <c r="D1017" s="66"/>
      <c r="E1017" s="66"/>
      <c r="F1017" s="66"/>
      <c r="G1017" s="66"/>
      <c r="H1017" s="66"/>
      <c r="I1017" s="66"/>
      <c r="J1017" s="66"/>
      <c r="K1017" s="66"/>
      <c r="L1017" s="66"/>
      <c r="M1017" s="74"/>
      <c r="N1017" s="286"/>
      <c r="O1017" s="74"/>
      <c r="P1017" s="74"/>
    </row>
    <row r="1018" spans="1:16">
      <c r="A1018" s="66"/>
      <c r="B1018" s="66"/>
      <c r="C1018" s="66"/>
      <c r="D1018" s="66"/>
      <c r="E1018" s="66"/>
      <c r="F1018" s="66"/>
      <c r="G1018" s="66"/>
      <c r="H1018" s="66"/>
      <c r="I1018" s="66"/>
      <c r="J1018" s="66"/>
      <c r="K1018" s="66"/>
      <c r="L1018" s="66"/>
      <c r="M1018" s="74"/>
      <c r="N1018" s="286"/>
      <c r="O1018" s="74"/>
      <c r="P1018" s="74"/>
    </row>
    <row r="1019" spans="1:16">
      <c r="A1019" s="66"/>
      <c r="B1019" s="66"/>
      <c r="C1019" s="66"/>
      <c r="D1019" s="66"/>
      <c r="E1019" s="66"/>
      <c r="F1019" s="66"/>
      <c r="G1019" s="66"/>
      <c r="H1019" s="66"/>
      <c r="I1019" s="66"/>
      <c r="J1019" s="66"/>
      <c r="K1019" s="66"/>
      <c r="L1019" s="66"/>
      <c r="M1019" s="74"/>
      <c r="N1019" s="286"/>
      <c r="O1019" s="74"/>
      <c r="P1019" s="74"/>
    </row>
    <row r="1020" spans="1:16">
      <c r="A1020" s="66"/>
      <c r="B1020" s="66"/>
      <c r="C1020" s="66"/>
      <c r="D1020" s="66"/>
      <c r="E1020" s="66"/>
      <c r="F1020" s="66"/>
      <c r="G1020" s="66"/>
      <c r="H1020" s="66"/>
      <c r="I1020" s="66"/>
      <c r="J1020" s="66"/>
      <c r="K1020" s="66"/>
      <c r="L1020" s="66"/>
      <c r="M1020" s="74"/>
      <c r="N1020" s="286"/>
      <c r="O1020" s="74"/>
      <c r="P1020" s="74"/>
    </row>
    <row r="1021" spans="1:16">
      <c r="A1021" s="66"/>
      <c r="B1021" s="66"/>
      <c r="C1021" s="66"/>
      <c r="D1021" s="66"/>
      <c r="E1021" s="66"/>
      <c r="F1021" s="66"/>
      <c r="G1021" s="66"/>
      <c r="H1021" s="66"/>
      <c r="I1021" s="66"/>
      <c r="J1021" s="66"/>
      <c r="K1021" s="66"/>
      <c r="L1021" s="66"/>
      <c r="M1021" s="74"/>
      <c r="N1021" s="286"/>
      <c r="O1021" s="74"/>
      <c r="P1021" s="74"/>
    </row>
    <row r="1022" spans="1:16">
      <c r="A1022" s="66"/>
      <c r="B1022" s="66"/>
      <c r="C1022" s="66"/>
      <c r="D1022" s="66"/>
      <c r="E1022" s="66"/>
      <c r="F1022" s="66"/>
      <c r="G1022" s="66"/>
      <c r="H1022" s="66"/>
      <c r="I1022" s="66"/>
      <c r="J1022" s="66"/>
      <c r="K1022" s="66"/>
      <c r="L1022" s="66"/>
      <c r="M1022" s="74"/>
      <c r="N1022" s="286"/>
      <c r="O1022" s="74"/>
      <c r="P1022" s="74"/>
    </row>
    <row r="1023" spans="1:16">
      <c r="A1023" s="66"/>
      <c r="B1023" s="66"/>
      <c r="C1023" s="66"/>
      <c r="D1023" s="66"/>
      <c r="E1023" s="66"/>
      <c r="F1023" s="66"/>
      <c r="G1023" s="66"/>
      <c r="H1023" s="66"/>
      <c r="I1023" s="66"/>
      <c r="J1023" s="66"/>
      <c r="K1023" s="66"/>
      <c r="L1023" s="66"/>
      <c r="M1023" s="74"/>
      <c r="N1023" s="286"/>
      <c r="O1023" s="74"/>
      <c r="P1023" s="74"/>
    </row>
    <row r="1024" spans="1:16">
      <c r="A1024" s="66"/>
      <c r="B1024" s="66"/>
      <c r="C1024" s="66"/>
      <c r="D1024" s="66"/>
      <c r="E1024" s="66"/>
      <c r="F1024" s="66"/>
      <c r="G1024" s="66"/>
      <c r="H1024" s="66"/>
      <c r="I1024" s="66"/>
      <c r="J1024" s="66"/>
      <c r="K1024" s="66"/>
      <c r="L1024" s="66"/>
      <c r="M1024" s="74"/>
      <c r="N1024" s="286"/>
      <c r="O1024" s="74"/>
      <c r="P1024" s="74"/>
    </row>
    <row r="1025" spans="1:16">
      <c r="A1025" s="66"/>
      <c r="B1025" s="66"/>
      <c r="C1025" s="66"/>
      <c r="D1025" s="66"/>
      <c r="E1025" s="66"/>
      <c r="F1025" s="66"/>
      <c r="G1025" s="66"/>
      <c r="H1025" s="66"/>
      <c r="I1025" s="66"/>
      <c r="J1025" s="66"/>
      <c r="K1025" s="66"/>
      <c r="L1025" s="66"/>
      <c r="M1025" s="74"/>
      <c r="N1025" s="286"/>
      <c r="O1025" s="74"/>
      <c r="P1025" s="74"/>
    </row>
    <row r="1026" spans="1:16">
      <c r="A1026" s="66"/>
      <c r="B1026" s="66"/>
      <c r="C1026" s="66"/>
      <c r="D1026" s="66"/>
      <c r="E1026" s="66"/>
      <c r="F1026" s="66"/>
      <c r="G1026" s="66"/>
      <c r="H1026" s="66"/>
      <c r="I1026" s="66"/>
      <c r="J1026" s="66"/>
      <c r="K1026" s="66"/>
      <c r="L1026" s="66"/>
      <c r="M1026" s="74"/>
      <c r="N1026" s="286"/>
      <c r="O1026" s="74"/>
      <c r="P1026" s="74"/>
    </row>
    <row r="1027" spans="1:16">
      <c r="A1027" s="66"/>
      <c r="B1027" s="66"/>
      <c r="C1027" s="66"/>
      <c r="D1027" s="66"/>
      <c r="E1027" s="66"/>
      <c r="F1027" s="66"/>
      <c r="G1027" s="66"/>
      <c r="H1027" s="66"/>
      <c r="I1027" s="66"/>
      <c r="J1027" s="66"/>
      <c r="K1027" s="66"/>
      <c r="L1027" s="66"/>
      <c r="M1027" s="74"/>
      <c r="N1027" s="286"/>
      <c r="O1027" s="74"/>
      <c r="P1027" s="74"/>
    </row>
    <row r="1028" spans="1:16">
      <c r="A1028" s="66"/>
      <c r="B1028" s="66"/>
      <c r="C1028" s="66"/>
      <c r="D1028" s="66"/>
      <c r="E1028" s="66"/>
      <c r="F1028" s="66"/>
      <c r="G1028" s="66"/>
      <c r="H1028" s="66"/>
      <c r="I1028" s="66"/>
      <c r="J1028" s="66"/>
      <c r="K1028" s="66"/>
      <c r="L1028" s="66"/>
      <c r="M1028" s="74"/>
      <c r="N1028" s="286"/>
      <c r="O1028" s="74"/>
      <c r="P1028" s="74"/>
    </row>
    <row r="1029" spans="1:16">
      <c r="A1029" s="66"/>
      <c r="B1029" s="66"/>
      <c r="C1029" s="66"/>
      <c r="D1029" s="66"/>
      <c r="E1029" s="66"/>
      <c r="F1029" s="66"/>
      <c r="G1029" s="66"/>
      <c r="H1029" s="66"/>
      <c r="I1029" s="66"/>
      <c r="J1029" s="66"/>
      <c r="K1029" s="66"/>
      <c r="L1029" s="66"/>
      <c r="M1029" s="74"/>
      <c r="N1029" s="286"/>
      <c r="O1029" s="74"/>
      <c r="P1029" s="74"/>
    </row>
    <row r="1030" spans="1:16">
      <c r="A1030" s="66"/>
      <c r="B1030" s="66"/>
      <c r="C1030" s="66"/>
      <c r="D1030" s="66"/>
      <c r="E1030" s="66"/>
      <c r="F1030" s="66"/>
      <c r="G1030" s="66"/>
      <c r="H1030" s="66"/>
      <c r="I1030" s="66"/>
      <c r="J1030" s="66"/>
      <c r="K1030" s="66"/>
      <c r="L1030" s="66"/>
      <c r="M1030" s="74"/>
      <c r="N1030" s="286"/>
      <c r="O1030" s="74"/>
      <c r="P1030" s="74"/>
    </row>
    <row r="1031" spans="1:16">
      <c r="A1031" s="66"/>
      <c r="B1031" s="66"/>
      <c r="C1031" s="66"/>
      <c r="D1031" s="66"/>
      <c r="E1031" s="66"/>
      <c r="F1031" s="66"/>
      <c r="G1031" s="66"/>
      <c r="H1031" s="66"/>
      <c r="I1031" s="66"/>
      <c r="J1031" s="66"/>
      <c r="K1031" s="66"/>
      <c r="L1031" s="66"/>
      <c r="M1031" s="74"/>
      <c r="N1031" s="286"/>
      <c r="O1031" s="74"/>
      <c r="P1031" s="74"/>
    </row>
    <row r="1032" spans="1:16">
      <c r="A1032" s="66"/>
      <c r="B1032" s="66"/>
      <c r="C1032" s="66"/>
      <c r="D1032" s="66"/>
      <c r="E1032" s="66"/>
      <c r="F1032" s="66"/>
      <c r="G1032" s="66"/>
      <c r="H1032" s="66"/>
      <c r="I1032" s="66"/>
      <c r="J1032" s="66"/>
      <c r="K1032" s="66"/>
      <c r="L1032" s="66"/>
      <c r="M1032" s="74"/>
      <c r="N1032" s="286"/>
      <c r="O1032" s="74"/>
      <c r="P1032" s="74"/>
    </row>
    <row r="1033" spans="1:16">
      <c r="A1033" s="66"/>
      <c r="B1033" s="66"/>
      <c r="C1033" s="66"/>
      <c r="D1033" s="66"/>
      <c r="E1033" s="66"/>
      <c r="F1033" s="66"/>
      <c r="G1033" s="66"/>
      <c r="H1033" s="66"/>
      <c r="I1033" s="66"/>
      <c r="J1033" s="66"/>
      <c r="K1033" s="66"/>
      <c r="L1033" s="66"/>
      <c r="M1033" s="74"/>
      <c r="N1033" s="286"/>
      <c r="O1033" s="74"/>
      <c r="P1033" s="74"/>
    </row>
    <row r="1034" spans="1:16">
      <c r="A1034" s="66"/>
      <c r="B1034" s="66"/>
      <c r="C1034" s="66"/>
      <c r="D1034" s="66"/>
      <c r="E1034" s="66"/>
      <c r="F1034" s="66"/>
      <c r="G1034" s="66"/>
      <c r="H1034" s="66"/>
      <c r="I1034" s="66"/>
      <c r="J1034" s="66"/>
      <c r="K1034" s="66"/>
      <c r="L1034" s="66"/>
      <c r="M1034" s="74"/>
      <c r="N1034" s="286"/>
      <c r="O1034" s="74"/>
      <c r="P1034" s="74"/>
    </row>
    <row r="1035" spans="1:16">
      <c r="A1035" s="66"/>
      <c r="B1035" s="66"/>
      <c r="C1035" s="66"/>
      <c r="D1035" s="66"/>
      <c r="E1035" s="66"/>
      <c r="F1035" s="66"/>
      <c r="G1035" s="66"/>
      <c r="H1035" s="66"/>
      <c r="I1035" s="66"/>
      <c r="J1035" s="66"/>
      <c r="K1035" s="66"/>
      <c r="L1035" s="66"/>
      <c r="M1035" s="74"/>
      <c r="N1035" s="286"/>
      <c r="O1035" s="74"/>
      <c r="P1035" s="74"/>
    </row>
    <row r="1036" spans="1:16">
      <c r="A1036" s="66"/>
      <c r="B1036" s="66"/>
      <c r="C1036" s="66"/>
      <c r="D1036" s="66"/>
      <c r="E1036" s="66"/>
      <c r="F1036" s="66"/>
      <c r="G1036" s="66"/>
      <c r="H1036" s="66"/>
      <c r="I1036" s="66"/>
      <c r="J1036" s="66"/>
      <c r="K1036" s="66"/>
      <c r="L1036" s="66"/>
      <c r="M1036" s="74"/>
      <c r="N1036" s="286"/>
      <c r="O1036" s="74"/>
      <c r="P1036" s="74"/>
    </row>
    <row r="1037" spans="1:16">
      <c r="A1037" s="66"/>
      <c r="B1037" s="66"/>
      <c r="C1037" s="66"/>
      <c r="D1037" s="66"/>
      <c r="E1037" s="66"/>
      <c r="F1037" s="66"/>
      <c r="G1037" s="66"/>
      <c r="H1037" s="66"/>
      <c r="I1037" s="66"/>
      <c r="J1037" s="66"/>
      <c r="K1037" s="66"/>
      <c r="L1037" s="66"/>
      <c r="M1037" s="74"/>
    </row>
  </sheetData>
  <mergeCells count="4">
    <mergeCell ref="A52:A55"/>
    <mergeCell ref="B52:B55"/>
    <mergeCell ref="A40:A51"/>
    <mergeCell ref="B40:B51"/>
  </mergeCells>
  <dataValidations count="2">
    <dataValidation type="list" allowBlank="1" showInputMessage="1" showErrorMessage="1" sqref="M59 M6 M2:M4 M12:M18 M33:M39 M21 M25 H2:K60">
      <formula1>"Yes,No"</formula1>
    </dataValidation>
    <dataValidation type="list" allowBlank="1" showInputMessage="1" showErrorMessage="1" sqref="G2:G60">
      <formula1>"No Map,Bit Map,Byte Map"</formula1>
    </dataValidation>
  </dataValidations>
  <hyperlinks>
    <hyperlink ref="D21" location="HWConfig!A1" display="HWConfig!A1"/>
    <hyperlink ref="D33" location="UIDSYNCCounter!A1" display="UIDSYNCCounter!A1"/>
    <hyperlink ref="D59" location="DynamicDataGroup1!A1" display="DynamicDataGroup1!A1"/>
    <hyperlink ref="D18" location="HWParameter!A1" display="HWParameter!A1"/>
    <hyperlink ref="D34" location="DTMS_SystemState!A1" display="DTMS_SystemState!A1"/>
    <hyperlink ref="D36" location="DTMS_WuState!A1" display="DTMS_WuState!A1"/>
    <hyperlink ref="D37" location="DTMS_SystemDiagnostic!A1" display="DTMS_SystemDiagnostic!A1"/>
    <hyperlink ref="D38" location="DTMS_WuDiagnostic!A1" display="DTMS_WuDiagnostic!A1"/>
    <hyperlink ref="D39" location="DTMS_WarnEvent!A1" display="DTMS_WarnEvent!A1"/>
    <hyperlink ref="D2" location="SKC!A1" display="SKC!A1"/>
    <hyperlink ref="D3" location="SC!A1" display="SC!A1"/>
    <hyperlink ref="D4" location="ECU_State!A1" display="ECU_State!A1"/>
    <hyperlink ref="D6" location="UIDTransmitterID!A1" display="UIDTransmitterID!A1"/>
    <hyperlink ref="D10" location="FBLData1!A1" display="FBLData1!A1"/>
    <hyperlink ref="D11" location="FBLData2!A1" display="FBLData2!A1"/>
    <hyperlink ref="D5" location="HellaProductionData!A1" display="HellaProductionData!A1"/>
    <hyperlink ref="D7" location="EOLData!A1" display="EOLData!A1"/>
    <hyperlink ref="D8" location="ICTData!A1" display="ICTData!A1"/>
    <hyperlink ref="D9" location="CustomerEOLData!A1" display="CustomerEOLData!A1"/>
    <hyperlink ref="D12" location="CodingHella!A1" display="CodingHella!A1"/>
    <hyperlink ref="D13" location="CodingGeely!A1" display="CodingGeely!A1"/>
    <hyperlink ref="D14" location="CodingUser!A1" display="CodingUser!A1"/>
    <hyperlink ref="D15" location="ASILAParameter!A1" display="ASILAParameter!A1"/>
    <hyperlink ref="D16" location="ASILBParameter!A1" display="ASILBParameter!A1"/>
    <hyperlink ref="D17" location="NonASILParameter!A1" display="NonASILParameter!A1"/>
    <hyperlink ref="D25" location="DTMS_Configuration!A1" display="DTMS_Configuration!A1"/>
    <hyperlink ref="D35" location="Odometer!A1" display="Odometer!A1"/>
    <hyperlink ref="D22" location="DiagBackupInfo2!A1" display="DiagBackupInfo2!A1"/>
    <hyperlink ref="D23" location="DiagBackupInfo3!A1" display="DiagBackupInfo3!A1"/>
    <hyperlink ref="D24" location="DiagBackupInfo4!A1" display="DiagBackupInfo4!A1"/>
    <hyperlink ref="D20" location="KDTCCalibrationByte0!A1" display="KDTCCalibrationByte0!A1"/>
  </hyperlink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drawing r:id="rId2"/>
  <legacyDrawing r:id="rId3"/>
  <controls>
    <mc:AlternateContent xmlns:mc="http://schemas.openxmlformats.org/markup-compatibility/2006">
      <mc:Choice Requires="x14">
        <control shapeId="14384" r:id="rId4" name="lblFilePath">
          <controlPr defaultSize="0" autoLine="0" r:id="rId5">
            <anchor moveWithCells="1">
              <from>
                <xdr:col>3</xdr:col>
                <xdr:colOff>209550</xdr:colOff>
                <xdr:row>61</xdr:row>
                <xdr:rowOff>28575</xdr:rowOff>
              </from>
              <to>
                <xdr:col>11</xdr:col>
                <xdr:colOff>952500</xdr:colOff>
                <xdr:row>62</xdr:row>
                <xdr:rowOff>133350</xdr:rowOff>
              </to>
            </anchor>
          </controlPr>
        </control>
      </mc:Choice>
      <mc:Fallback>
        <control shapeId="14384" r:id="rId4" name="lblFilePath"/>
      </mc:Fallback>
    </mc:AlternateContent>
    <mc:AlternateContent xmlns:mc="http://schemas.openxmlformats.org/markup-compatibility/2006">
      <mc:Choice Requires="x14">
        <control shapeId="14337" r:id="rId6" name="Button 1">
          <controlPr defaultSize="0" print="0" autoFill="0" autoPict="0" macro="[0]!Generate_Hex">
            <anchor moveWithCells="1" sizeWithCells="1">
              <from>
                <xdr:col>9</xdr:col>
                <xdr:colOff>123825</xdr:colOff>
                <xdr:row>65</xdr:row>
                <xdr:rowOff>95250</xdr:rowOff>
              </from>
              <to>
                <xdr:col>11</xdr:col>
                <xdr:colOff>323850</xdr:colOff>
                <xdr:row>67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4" r:id="rId7" name="Button 18">
          <controlPr defaultSize="0" print="0" autoFill="0" autoPict="0" macro="[0]!CheckBlockTableAndGenerateSheet">
            <anchor moveWithCells="1" sizeWithCells="1">
              <from>
                <xdr:col>1</xdr:col>
                <xdr:colOff>238125</xdr:colOff>
                <xdr:row>63</xdr:row>
                <xdr:rowOff>66675</xdr:rowOff>
              </from>
              <to>
                <xdr:col>3</xdr:col>
                <xdr:colOff>495300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62" r:id="rId8" name="Button 26">
          <controlPr defaultSize="0" print="0" autoFill="0" autoPict="0" macro="[0]!NVM_Block_Config.GenerateMapFile">
            <anchor moveWithCells="1" sizeWithCells="1">
              <from>
                <xdr:col>4</xdr:col>
                <xdr:colOff>295275</xdr:colOff>
                <xdr:row>63</xdr:row>
                <xdr:rowOff>66675</xdr:rowOff>
              </from>
              <to>
                <xdr:col>6</xdr:col>
                <xdr:colOff>247650</xdr:colOff>
                <xdr:row>66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74" r:id="rId9" name="Button 38">
          <controlPr defaultSize="0" print="0" autoFill="0" autoPict="0" macro="[0]!Generate_HPM_config">
            <anchor moveWithCells="1" sizeWithCells="1">
              <from>
                <xdr:col>1</xdr:col>
                <xdr:colOff>257175</xdr:colOff>
                <xdr:row>70</xdr:row>
                <xdr:rowOff>9525</xdr:rowOff>
              </from>
              <to>
                <xdr:col>3</xdr:col>
                <xdr:colOff>485775</xdr:colOff>
                <xdr:row>72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80" r:id="rId10" name="Button 44">
          <controlPr defaultSize="0" print="0" autoFill="0" autoPict="0" macro="[0]!CopyCoding">
            <anchor moveWithCells="1" sizeWithCells="1">
              <from>
                <xdr:col>4</xdr:col>
                <xdr:colOff>247650</xdr:colOff>
                <xdr:row>69</xdr:row>
                <xdr:rowOff>85725</xdr:rowOff>
              </from>
              <to>
                <xdr:col>6</xdr:col>
                <xdr:colOff>219075</xdr:colOff>
                <xdr:row>72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81" r:id="rId11" name="Button 45">
          <controlPr defaultSize="0" print="0" autoFill="0" autoPict="0" macro="[0]!CopyParam">
            <anchor moveWithCells="1" sizeWithCells="1">
              <from>
                <xdr:col>9</xdr:col>
                <xdr:colOff>142875</xdr:colOff>
                <xdr:row>69</xdr:row>
                <xdr:rowOff>19050</xdr:rowOff>
              </from>
              <to>
                <xdr:col>11</xdr:col>
                <xdr:colOff>342900</xdr:colOff>
                <xdr:row>72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82" r:id="rId12" name="Label 46">
          <controlPr defaultSize="0" autoFill="0" autoLine="0" autoPict="0">
            <anchor moveWithCells="1">
              <from>
                <xdr:col>1</xdr:col>
                <xdr:colOff>581025</xdr:colOff>
                <xdr:row>61</xdr:row>
                <xdr:rowOff>57150</xdr:rowOff>
              </from>
              <to>
                <xdr:col>2</xdr:col>
                <xdr:colOff>476250</xdr:colOff>
                <xdr:row>62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85" r:id="rId13" name="Button 49">
          <controlPr defaultSize="0" print="0" autoFill="0" autoPict="0" macro="[0]!NVM_Block_Config.OpenFolder">
            <anchor moveWithCells="1" sizeWithCells="1">
              <from>
                <xdr:col>11</xdr:col>
                <xdr:colOff>1200150</xdr:colOff>
                <xdr:row>61</xdr:row>
                <xdr:rowOff>28575</xdr:rowOff>
              </from>
              <to>
                <xdr:col>12</xdr:col>
                <xdr:colOff>581025</xdr:colOff>
                <xdr:row>62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96" r:id="rId14" name="Button 60">
          <controlPr defaultSize="0" print="0" autoFill="0" autoPict="0" macro="[0]!NVM_Block_Config.ClearPath_Click">
            <anchor moveWithCells="1" sizeWithCells="1">
              <from>
                <xdr:col>0</xdr:col>
                <xdr:colOff>161925</xdr:colOff>
                <xdr:row>61</xdr:row>
                <xdr:rowOff>38100</xdr:rowOff>
              </from>
              <to>
                <xdr:col>1</xdr:col>
                <xdr:colOff>523875</xdr:colOff>
                <xdr:row>62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97" r:id="rId15" name="Button 61">
          <controlPr defaultSize="0" print="0" autoFill="0" autoPict="0" macro="[0]!Generate_HMF">
            <anchor moveWithCells="1" sizeWithCells="1">
              <from>
                <xdr:col>9</xdr:col>
                <xdr:colOff>161925</xdr:colOff>
                <xdr:row>73</xdr:row>
                <xdr:rowOff>66675</xdr:rowOff>
              </from>
              <to>
                <xdr:col>11</xdr:col>
                <xdr:colOff>342900</xdr:colOff>
                <xdr:row>76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98" r:id="rId16" name="Button 62">
          <controlPr defaultSize="0" print="0" autoFill="0" autoPict="0" macro="[0]!Generate_s19">
            <anchor moveWithCells="1" sizeWithCells="1">
              <from>
                <xdr:col>9</xdr:col>
                <xdr:colOff>123825</xdr:colOff>
                <xdr:row>63</xdr:row>
                <xdr:rowOff>85725</xdr:rowOff>
              </from>
              <to>
                <xdr:col>11</xdr:col>
                <xdr:colOff>323850</xdr:colOff>
                <xdr:row>65</xdr:row>
                <xdr:rowOff>28575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84"/>
  <sheetViews>
    <sheetView topLeftCell="A246" workbookViewId="0">
      <selection activeCell="A261" sqref="A261"/>
    </sheetView>
  </sheetViews>
  <sheetFormatPr defaultRowHeight="12.75"/>
  <sheetData>
    <row r="1" spans="1:7">
      <c r="A1" t="s">
        <v>37</v>
      </c>
      <c r="B1">
        <v>1</v>
      </c>
      <c r="D1">
        <v>1</v>
      </c>
      <c r="E1">
        <v>0</v>
      </c>
      <c r="F1">
        <v>0</v>
      </c>
      <c r="G1">
        <v>0</v>
      </c>
    </row>
    <row r="2" spans="1:7">
      <c r="A2" t="s">
        <v>437</v>
      </c>
      <c r="B2">
        <v>1</v>
      </c>
      <c r="D2">
        <v>255</v>
      </c>
      <c r="E2">
        <v>1</v>
      </c>
      <c r="F2">
        <v>1</v>
      </c>
      <c r="G2">
        <v>1</v>
      </c>
    </row>
    <row r="3" spans="1:7">
      <c r="A3" t="s">
        <v>438</v>
      </c>
      <c r="B3">
        <v>1</v>
      </c>
      <c r="D3">
        <v>255</v>
      </c>
      <c r="E3" t="s">
        <v>457</v>
      </c>
      <c r="F3" t="s">
        <v>457</v>
      </c>
      <c r="G3" t="s">
        <v>457</v>
      </c>
    </row>
    <row r="4" spans="1:7">
      <c r="A4" t="s">
        <v>439</v>
      </c>
      <c r="B4">
        <v>1</v>
      </c>
      <c r="D4">
        <v>255</v>
      </c>
      <c r="E4" t="s">
        <v>458</v>
      </c>
      <c r="F4" t="s">
        <v>458</v>
      </c>
      <c r="G4" t="s">
        <v>458</v>
      </c>
    </row>
    <row r="5" spans="1:7">
      <c r="A5" t="s">
        <v>440</v>
      </c>
      <c r="B5">
        <v>1</v>
      </c>
      <c r="D5">
        <v>255</v>
      </c>
      <c r="E5" t="s">
        <v>459</v>
      </c>
      <c r="F5" t="s">
        <v>459</v>
      </c>
      <c r="G5" t="s">
        <v>459</v>
      </c>
    </row>
    <row r="6" spans="1:7">
      <c r="A6" t="s">
        <v>441</v>
      </c>
      <c r="B6">
        <v>1</v>
      </c>
      <c r="D6">
        <v>255</v>
      </c>
      <c r="E6" t="s">
        <v>460</v>
      </c>
      <c r="F6" t="s">
        <v>460</v>
      </c>
      <c r="G6" t="s">
        <v>460</v>
      </c>
    </row>
    <row r="7" spans="1:7">
      <c r="A7" t="s">
        <v>442</v>
      </c>
      <c r="B7">
        <v>1</v>
      </c>
      <c r="D7">
        <v>255</v>
      </c>
      <c r="E7" t="s">
        <v>461</v>
      </c>
      <c r="F7" t="s">
        <v>461</v>
      </c>
      <c r="G7" t="s">
        <v>461</v>
      </c>
    </row>
    <row r="8" spans="1:7">
      <c r="A8" t="s">
        <v>443</v>
      </c>
      <c r="B8">
        <v>1</v>
      </c>
      <c r="D8">
        <v>255</v>
      </c>
      <c r="E8" t="s">
        <v>462</v>
      </c>
      <c r="F8" t="s">
        <v>462</v>
      </c>
      <c r="G8" t="s">
        <v>462</v>
      </c>
    </row>
    <row r="9" spans="1:7">
      <c r="A9" t="s">
        <v>444</v>
      </c>
      <c r="B9">
        <v>1</v>
      </c>
      <c r="D9">
        <v>255</v>
      </c>
      <c r="E9" t="s">
        <v>463</v>
      </c>
      <c r="F9" t="s">
        <v>463</v>
      </c>
      <c r="G9" t="s">
        <v>463</v>
      </c>
    </row>
    <row r="10" spans="1:7">
      <c r="A10" t="s">
        <v>445</v>
      </c>
      <c r="B10">
        <v>1</v>
      </c>
      <c r="D10">
        <v>255</v>
      </c>
      <c r="E10" t="s">
        <v>464</v>
      </c>
      <c r="F10" t="s">
        <v>464</v>
      </c>
      <c r="G10" t="s">
        <v>464</v>
      </c>
    </row>
    <row r="11" spans="1:7">
      <c r="A11" t="s">
        <v>446</v>
      </c>
      <c r="B11">
        <v>1</v>
      </c>
      <c r="D11">
        <v>255</v>
      </c>
      <c r="E11" t="s">
        <v>465</v>
      </c>
      <c r="F11" t="s">
        <v>465</v>
      </c>
      <c r="G11" t="s">
        <v>465</v>
      </c>
    </row>
    <row r="12" spans="1:7">
      <c r="A12" t="s">
        <v>447</v>
      </c>
      <c r="B12">
        <v>1</v>
      </c>
      <c r="D12">
        <v>255</v>
      </c>
      <c r="E12" t="s">
        <v>466</v>
      </c>
      <c r="F12" t="s">
        <v>466</v>
      </c>
      <c r="G12" t="s">
        <v>466</v>
      </c>
    </row>
    <row r="13" spans="1:7">
      <c r="A13" t="s">
        <v>448</v>
      </c>
      <c r="B13">
        <v>1</v>
      </c>
      <c r="D13">
        <v>255</v>
      </c>
      <c r="E13" t="s">
        <v>467</v>
      </c>
      <c r="F13" t="s">
        <v>467</v>
      </c>
      <c r="G13" t="s">
        <v>467</v>
      </c>
    </row>
    <row r="14" spans="1:7">
      <c r="A14" t="s">
        <v>449</v>
      </c>
      <c r="B14">
        <v>1</v>
      </c>
      <c r="D14">
        <v>255</v>
      </c>
      <c r="E14" t="s">
        <v>468</v>
      </c>
      <c r="F14" t="s">
        <v>468</v>
      </c>
      <c r="G14" t="s">
        <v>468</v>
      </c>
    </row>
    <row r="15" spans="1:7">
      <c r="A15" t="s">
        <v>450</v>
      </c>
      <c r="B15">
        <v>1</v>
      </c>
      <c r="D15">
        <v>255</v>
      </c>
      <c r="E15" t="s">
        <v>469</v>
      </c>
      <c r="F15" t="s">
        <v>469</v>
      </c>
      <c r="G15" t="s">
        <v>469</v>
      </c>
    </row>
    <row r="16" spans="1:7">
      <c r="A16" t="s">
        <v>451</v>
      </c>
      <c r="B16">
        <v>1</v>
      </c>
      <c r="D16">
        <v>255</v>
      </c>
      <c r="E16" t="s">
        <v>470</v>
      </c>
      <c r="F16" t="s">
        <v>470</v>
      </c>
      <c r="G16" t="s">
        <v>470</v>
      </c>
    </row>
    <row r="17" spans="1:7">
      <c r="A17" t="s">
        <v>452</v>
      </c>
      <c r="B17">
        <v>1</v>
      </c>
      <c r="D17">
        <v>255</v>
      </c>
      <c r="E17" t="s">
        <v>471</v>
      </c>
      <c r="F17" t="s">
        <v>471</v>
      </c>
      <c r="G17" t="s">
        <v>471</v>
      </c>
    </row>
    <row r="18" spans="1:7">
      <c r="A18" t="s">
        <v>472</v>
      </c>
      <c r="B18">
        <v>1</v>
      </c>
      <c r="D18">
        <v>1</v>
      </c>
      <c r="E18" t="s">
        <v>473</v>
      </c>
      <c r="F18" t="s">
        <v>473</v>
      </c>
      <c r="G18" t="s">
        <v>473</v>
      </c>
    </row>
    <row r="19" spans="1:7">
      <c r="A19" t="s">
        <v>42</v>
      </c>
      <c r="B19">
        <v>1</v>
      </c>
      <c r="D19">
        <v>1</v>
      </c>
      <c r="E19">
        <v>100</v>
      </c>
      <c r="F19">
        <v>100</v>
      </c>
      <c r="G19">
        <v>100</v>
      </c>
    </row>
    <row r="20" spans="1:7">
      <c r="A20" t="s">
        <v>453</v>
      </c>
      <c r="B20">
        <v>1</v>
      </c>
      <c r="D20">
        <v>255</v>
      </c>
      <c r="E20">
        <v>101</v>
      </c>
      <c r="F20">
        <v>101</v>
      </c>
      <c r="G20">
        <v>101</v>
      </c>
    </row>
    <row r="21" spans="1:7">
      <c r="A21" t="s">
        <v>454</v>
      </c>
      <c r="B21">
        <v>1</v>
      </c>
      <c r="D21">
        <v>255</v>
      </c>
      <c r="E21" t="s">
        <v>474</v>
      </c>
      <c r="F21" t="s">
        <v>474</v>
      </c>
      <c r="G21" t="s">
        <v>474</v>
      </c>
    </row>
    <row r="22" spans="1:7">
      <c r="A22" t="s">
        <v>455</v>
      </c>
      <c r="B22">
        <v>1</v>
      </c>
      <c r="D22">
        <v>255</v>
      </c>
      <c r="E22" t="s">
        <v>475</v>
      </c>
      <c r="F22" t="s">
        <v>475</v>
      </c>
      <c r="G22" t="s">
        <v>475</v>
      </c>
    </row>
    <row r="23" spans="1:7">
      <c r="A23" t="s">
        <v>456</v>
      </c>
      <c r="B23">
        <v>1</v>
      </c>
      <c r="D23">
        <v>255</v>
      </c>
      <c r="E23" t="s">
        <v>476</v>
      </c>
      <c r="F23" t="s">
        <v>476</v>
      </c>
      <c r="G23" t="s">
        <v>476</v>
      </c>
    </row>
    <row r="24" spans="1:7">
      <c r="A24" t="s">
        <v>477</v>
      </c>
      <c r="B24">
        <v>1</v>
      </c>
      <c r="D24">
        <v>1</v>
      </c>
      <c r="E24" t="s">
        <v>478</v>
      </c>
      <c r="F24" t="s">
        <v>478</v>
      </c>
      <c r="G24" t="s">
        <v>478</v>
      </c>
    </row>
    <row r="25" spans="1:7">
      <c r="A25" t="s">
        <v>43</v>
      </c>
      <c r="B25">
        <v>1</v>
      </c>
      <c r="D25">
        <v>1</v>
      </c>
      <c r="E25">
        <v>200</v>
      </c>
      <c r="F25">
        <v>200</v>
      </c>
      <c r="G25">
        <v>200</v>
      </c>
    </row>
    <row r="26" spans="1:7">
      <c r="A26" t="s">
        <v>94</v>
      </c>
      <c r="B26">
        <v>1</v>
      </c>
      <c r="D26">
        <v>0</v>
      </c>
      <c r="E26">
        <v>201</v>
      </c>
      <c r="F26">
        <v>201</v>
      </c>
      <c r="G26">
        <v>201</v>
      </c>
    </row>
    <row r="27" spans="1:7">
      <c r="A27" t="s">
        <v>1084</v>
      </c>
      <c r="B27">
        <v>1</v>
      </c>
      <c r="D27">
        <v>1</v>
      </c>
      <c r="E27" t="s">
        <v>396</v>
      </c>
      <c r="F27" t="s">
        <v>396</v>
      </c>
      <c r="G27" t="s">
        <v>396</v>
      </c>
    </row>
    <row r="28" spans="1:7">
      <c r="A28" t="s">
        <v>386</v>
      </c>
      <c r="B28">
        <v>1</v>
      </c>
      <c r="D28">
        <v>1</v>
      </c>
      <c r="E28" t="s">
        <v>387</v>
      </c>
      <c r="F28" t="s">
        <v>387</v>
      </c>
      <c r="G28" t="s">
        <v>387</v>
      </c>
    </row>
    <row r="29" spans="1:7">
      <c r="A29" t="s">
        <v>44</v>
      </c>
      <c r="B29">
        <v>1</v>
      </c>
      <c r="D29">
        <v>1</v>
      </c>
      <c r="E29">
        <v>300</v>
      </c>
      <c r="F29">
        <v>300</v>
      </c>
      <c r="G29">
        <v>300</v>
      </c>
    </row>
    <row r="30" spans="1:7">
      <c r="A30" t="s">
        <v>1267</v>
      </c>
      <c r="B30">
        <v>1</v>
      </c>
      <c r="D30">
        <v>32</v>
      </c>
      <c r="E30">
        <v>301</v>
      </c>
      <c r="F30">
        <v>301</v>
      </c>
      <c r="G30">
        <v>301</v>
      </c>
    </row>
    <row r="31" spans="1:7">
      <c r="A31" t="s">
        <v>1269</v>
      </c>
      <c r="B31">
        <v>1</v>
      </c>
      <c r="D31">
        <v>32</v>
      </c>
      <c r="E31" t="s">
        <v>2734</v>
      </c>
      <c r="F31" t="s">
        <v>2734</v>
      </c>
      <c r="G31" t="s">
        <v>2734</v>
      </c>
    </row>
    <row r="32" spans="1:7">
      <c r="A32" t="s">
        <v>1271</v>
      </c>
      <c r="B32">
        <v>1</v>
      </c>
      <c r="D32">
        <v>32</v>
      </c>
      <c r="E32" t="s">
        <v>2735</v>
      </c>
      <c r="F32" t="s">
        <v>2735</v>
      </c>
      <c r="G32" t="s">
        <v>2735</v>
      </c>
    </row>
    <row r="33" spans="1:7">
      <c r="A33" t="s">
        <v>1273</v>
      </c>
      <c r="B33">
        <v>1</v>
      </c>
      <c r="D33">
        <v>32</v>
      </c>
      <c r="E33" t="s">
        <v>2736</v>
      </c>
      <c r="F33" t="s">
        <v>2736</v>
      </c>
      <c r="G33" t="s">
        <v>2736</v>
      </c>
    </row>
    <row r="34" spans="1:7">
      <c r="A34" t="s">
        <v>1275</v>
      </c>
      <c r="B34">
        <v>1</v>
      </c>
      <c r="D34">
        <v>32</v>
      </c>
      <c r="E34" t="s">
        <v>2737</v>
      </c>
      <c r="F34" t="s">
        <v>2737</v>
      </c>
      <c r="G34" t="s">
        <v>2737</v>
      </c>
    </row>
    <row r="35" spans="1:7">
      <c r="A35" t="s">
        <v>1277</v>
      </c>
      <c r="B35">
        <v>1</v>
      </c>
      <c r="D35">
        <v>32</v>
      </c>
      <c r="E35" t="s">
        <v>2738</v>
      </c>
      <c r="F35" t="s">
        <v>2738</v>
      </c>
      <c r="G35" t="s">
        <v>2738</v>
      </c>
    </row>
    <row r="36" spans="1:7">
      <c r="A36" t="s">
        <v>1279</v>
      </c>
      <c r="B36">
        <v>1</v>
      </c>
      <c r="D36">
        <v>32</v>
      </c>
      <c r="E36" t="s">
        <v>2739</v>
      </c>
      <c r="F36" t="s">
        <v>2739</v>
      </c>
      <c r="G36" t="s">
        <v>2739</v>
      </c>
    </row>
    <row r="37" spans="1:7">
      <c r="A37" t="s">
        <v>1281</v>
      </c>
      <c r="B37">
        <v>1</v>
      </c>
      <c r="D37">
        <v>32</v>
      </c>
      <c r="E37" t="s">
        <v>2740</v>
      </c>
      <c r="F37" t="s">
        <v>2740</v>
      </c>
      <c r="G37" t="s">
        <v>2740</v>
      </c>
    </row>
    <row r="38" spans="1:7">
      <c r="A38" t="s">
        <v>1283</v>
      </c>
      <c r="B38">
        <v>1</v>
      </c>
      <c r="D38">
        <v>32</v>
      </c>
      <c r="E38" t="s">
        <v>2741</v>
      </c>
      <c r="F38" t="s">
        <v>2741</v>
      </c>
      <c r="G38" t="s">
        <v>2741</v>
      </c>
    </row>
    <row r="39" spans="1:7">
      <c r="A39" t="s">
        <v>1285</v>
      </c>
      <c r="B39">
        <v>1</v>
      </c>
      <c r="D39">
        <v>32</v>
      </c>
      <c r="E39" t="s">
        <v>2742</v>
      </c>
      <c r="F39" t="s">
        <v>2742</v>
      </c>
      <c r="G39" t="s">
        <v>2742</v>
      </c>
    </row>
    <row r="40" spans="1:7">
      <c r="A40" t="s">
        <v>1287</v>
      </c>
      <c r="B40">
        <v>1</v>
      </c>
      <c r="D40">
        <v>32</v>
      </c>
      <c r="E40" t="s">
        <v>2743</v>
      </c>
      <c r="F40" t="s">
        <v>2743</v>
      </c>
      <c r="G40" t="s">
        <v>2743</v>
      </c>
    </row>
    <row r="41" spans="1:7">
      <c r="A41" t="s">
        <v>1289</v>
      </c>
      <c r="B41">
        <v>1</v>
      </c>
      <c r="D41">
        <v>32</v>
      </c>
      <c r="E41" t="s">
        <v>2744</v>
      </c>
      <c r="F41" t="s">
        <v>2744</v>
      </c>
      <c r="G41" t="s">
        <v>2744</v>
      </c>
    </row>
    <row r="42" spans="1:7">
      <c r="A42" t="s">
        <v>1291</v>
      </c>
      <c r="B42">
        <v>1</v>
      </c>
      <c r="D42">
        <v>32</v>
      </c>
      <c r="E42" t="s">
        <v>2745</v>
      </c>
      <c r="F42" t="s">
        <v>2745</v>
      </c>
      <c r="G42" t="s">
        <v>2745</v>
      </c>
    </row>
    <row r="43" spans="1:7">
      <c r="A43" t="s">
        <v>1293</v>
      </c>
      <c r="B43">
        <v>1</v>
      </c>
      <c r="D43">
        <v>32</v>
      </c>
      <c r="E43" t="s">
        <v>2746</v>
      </c>
      <c r="F43" t="s">
        <v>2746</v>
      </c>
      <c r="G43" t="s">
        <v>2746</v>
      </c>
    </row>
    <row r="44" spans="1:7">
      <c r="A44" t="s">
        <v>1295</v>
      </c>
      <c r="B44">
        <v>1</v>
      </c>
      <c r="D44">
        <v>32</v>
      </c>
      <c r="E44" t="s">
        <v>2747</v>
      </c>
      <c r="F44" t="s">
        <v>2747</v>
      </c>
      <c r="G44" t="s">
        <v>2747</v>
      </c>
    </row>
    <row r="45" spans="1:7">
      <c r="A45" t="s">
        <v>1297</v>
      </c>
      <c r="B45">
        <v>1</v>
      </c>
      <c r="D45">
        <v>32</v>
      </c>
      <c r="E45" t="s">
        <v>2748</v>
      </c>
      <c r="F45" t="s">
        <v>2748</v>
      </c>
      <c r="G45" t="s">
        <v>2748</v>
      </c>
    </row>
    <row r="46" spans="1:7">
      <c r="A46" t="s">
        <v>1299</v>
      </c>
      <c r="B46">
        <v>1</v>
      </c>
      <c r="D46">
        <v>32</v>
      </c>
      <c r="E46" t="s">
        <v>2749</v>
      </c>
      <c r="F46" t="s">
        <v>2749</v>
      </c>
      <c r="G46" t="s">
        <v>2749</v>
      </c>
    </row>
    <row r="47" spans="1:7">
      <c r="A47" t="s">
        <v>2116</v>
      </c>
      <c r="B47">
        <v>1</v>
      </c>
      <c r="D47">
        <v>255</v>
      </c>
      <c r="E47" t="s">
        <v>2750</v>
      </c>
      <c r="F47" t="s">
        <v>2750</v>
      </c>
      <c r="G47" t="s">
        <v>2750</v>
      </c>
    </row>
    <row r="48" spans="1:7">
      <c r="A48" t="s">
        <v>2118</v>
      </c>
      <c r="B48">
        <v>1</v>
      </c>
      <c r="D48">
        <v>255</v>
      </c>
      <c r="E48" t="s">
        <v>2751</v>
      </c>
      <c r="F48" t="s">
        <v>2751</v>
      </c>
      <c r="G48" t="s">
        <v>2751</v>
      </c>
    </row>
    <row r="49" spans="1:7">
      <c r="A49" t="s">
        <v>2120</v>
      </c>
      <c r="B49">
        <v>1</v>
      </c>
      <c r="D49">
        <v>255</v>
      </c>
      <c r="E49" t="s">
        <v>2752</v>
      </c>
      <c r="F49" t="s">
        <v>2752</v>
      </c>
      <c r="G49" t="s">
        <v>2752</v>
      </c>
    </row>
    <row r="50" spans="1:7">
      <c r="A50" t="s">
        <v>2122</v>
      </c>
      <c r="B50">
        <v>1</v>
      </c>
      <c r="D50">
        <v>255</v>
      </c>
      <c r="E50" t="s">
        <v>2753</v>
      </c>
      <c r="F50" t="s">
        <v>2753</v>
      </c>
      <c r="G50" t="s">
        <v>2753</v>
      </c>
    </row>
    <row r="51" spans="1:7">
      <c r="A51" t="s">
        <v>2124</v>
      </c>
      <c r="B51">
        <v>1</v>
      </c>
      <c r="D51">
        <v>32</v>
      </c>
      <c r="E51" t="s">
        <v>2754</v>
      </c>
      <c r="F51" t="s">
        <v>2754</v>
      </c>
      <c r="G51" t="s">
        <v>2754</v>
      </c>
    </row>
    <row r="52" spans="1:7">
      <c r="A52" t="s">
        <v>2126</v>
      </c>
      <c r="B52">
        <v>1</v>
      </c>
      <c r="D52">
        <v>32</v>
      </c>
      <c r="E52" t="s">
        <v>2755</v>
      </c>
      <c r="F52" t="s">
        <v>2755</v>
      </c>
      <c r="G52" t="s">
        <v>2755</v>
      </c>
    </row>
    <row r="53" spans="1:7">
      <c r="A53" t="s">
        <v>2128</v>
      </c>
      <c r="B53">
        <v>1</v>
      </c>
      <c r="D53">
        <v>32</v>
      </c>
      <c r="E53" t="s">
        <v>2756</v>
      </c>
      <c r="F53" t="s">
        <v>2756</v>
      </c>
      <c r="G53" t="s">
        <v>2756</v>
      </c>
    </row>
    <row r="54" spans="1:7">
      <c r="A54" t="s">
        <v>2130</v>
      </c>
      <c r="B54">
        <v>1</v>
      </c>
      <c r="D54">
        <v>32</v>
      </c>
      <c r="E54" t="s">
        <v>2757</v>
      </c>
      <c r="F54" t="s">
        <v>2757</v>
      </c>
      <c r="G54" t="s">
        <v>2757</v>
      </c>
    </row>
    <row r="55" spans="1:7">
      <c r="A55" t="s">
        <v>2132</v>
      </c>
      <c r="B55">
        <v>1</v>
      </c>
      <c r="D55">
        <v>32</v>
      </c>
      <c r="E55" t="s">
        <v>2758</v>
      </c>
      <c r="F55" t="s">
        <v>2758</v>
      </c>
      <c r="G55" t="s">
        <v>2758</v>
      </c>
    </row>
    <row r="56" spans="1:7">
      <c r="A56" t="s">
        <v>2134</v>
      </c>
      <c r="B56">
        <v>1</v>
      </c>
      <c r="D56">
        <v>32</v>
      </c>
      <c r="E56" t="s">
        <v>2759</v>
      </c>
      <c r="F56" t="s">
        <v>2759</v>
      </c>
      <c r="G56" t="s">
        <v>2759</v>
      </c>
    </row>
    <row r="57" spans="1:7">
      <c r="A57" t="s">
        <v>2136</v>
      </c>
      <c r="B57">
        <v>1</v>
      </c>
      <c r="D57">
        <v>32</v>
      </c>
      <c r="E57" t="s">
        <v>2760</v>
      </c>
      <c r="F57" t="s">
        <v>2760</v>
      </c>
      <c r="G57" t="s">
        <v>2760</v>
      </c>
    </row>
    <row r="58" spans="1:7">
      <c r="A58" t="s">
        <v>2138</v>
      </c>
      <c r="B58">
        <v>1</v>
      </c>
      <c r="D58">
        <v>32</v>
      </c>
      <c r="E58" t="s">
        <v>2761</v>
      </c>
      <c r="F58" t="s">
        <v>2761</v>
      </c>
      <c r="G58" t="s">
        <v>2761</v>
      </c>
    </row>
    <row r="59" spans="1:7">
      <c r="A59" t="s">
        <v>1304</v>
      </c>
      <c r="B59">
        <v>1</v>
      </c>
      <c r="D59">
        <v>55</v>
      </c>
      <c r="E59" t="s">
        <v>2762</v>
      </c>
      <c r="F59" t="s">
        <v>2762</v>
      </c>
      <c r="G59" t="s">
        <v>2762</v>
      </c>
    </row>
    <row r="60" spans="1:7">
      <c r="A60" t="s">
        <v>1304</v>
      </c>
      <c r="B60">
        <v>1</v>
      </c>
      <c r="D60">
        <v>50</v>
      </c>
      <c r="E60" t="s">
        <v>2763</v>
      </c>
      <c r="F60" t="s">
        <v>2763</v>
      </c>
      <c r="G60" t="s">
        <v>2763</v>
      </c>
    </row>
    <row r="61" spans="1:7">
      <c r="A61" t="s">
        <v>1304</v>
      </c>
      <c r="B61">
        <v>1</v>
      </c>
      <c r="D61">
        <v>48</v>
      </c>
      <c r="E61" t="s">
        <v>2764</v>
      </c>
      <c r="F61" t="s">
        <v>2764</v>
      </c>
      <c r="G61" t="s">
        <v>2764</v>
      </c>
    </row>
    <row r="62" spans="1:7">
      <c r="A62" t="s">
        <v>1304</v>
      </c>
      <c r="B62">
        <v>1</v>
      </c>
      <c r="D62">
        <v>32</v>
      </c>
      <c r="E62" t="s">
        <v>2765</v>
      </c>
      <c r="F62" t="s">
        <v>2765</v>
      </c>
      <c r="G62" t="s">
        <v>2765</v>
      </c>
    </row>
    <row r="63" spans="1:7">
      <c r="A63" t="s">
        <v>1309</v>
      </c>
      <c r="B63">
        <v>1</v>
      </c>
      <c r="D63">
        <v>51</v>
      </c>
      <c r="E63" t="s">
        <v>2766</v>
      </c>
      <c r="F63" t="s">
        <v>2766</v>
      </c>
      <c r="G63" t="s">
        <v>2766</v>
      </c>
    </row>
    <row r="64" spans="1:7">
      <c r="A64" t="s">
        <v>1309</v>
      </c>
      <c r="B64">
        <v>1</v>
      </c>
      <c r="D64">
        <v>49</v>
      </c>
      <c r="E64" t="s">
        <v>2767</v>
      </c>
      <c r="F64" t="s">
        <v>2767</v>
      </c>
      <c r="G64" t="s">
        <v>2767</v>
      </c>
    </row>
    <row r="65" spans="1:7">
      <c r="A65" t="s">
        <v>1309</v>
      </c>
      <c r="B65">
        <v>1</v>
      </c>
      <c r="D65">
        <v>50</v>
      </c>
      <c r="E65" t="s">
        <v>2768</v>
      </c>
      <c r="F65" t="s">
        <v>2768</v>
      </c>
      <c r="G65" t="s">
        <v>2768</v>
      </c>
    </row>
    <row r="66" spans="1:7">
      <c r="A66" t="s">
        <v>1309</v>
      </c>
      <c r="B66">
        <v>1</v>
      </c>
      <c r="D66">
        <v>46</v>
      </c>
      <c r="E66" t="s">
        <v>2769</v>
      </c>
      <c r="F66" t="s">
        <v>2769</v>
      </c>
      <c r="G66" t="s">
        <v>2769</v>
      </c>
    </row>
    <row r="67" spans="1:7">
      <c r="A67" t="s">
        <v>1309</v>
      </c>
      <c r="B67">
        <v>1</v>
      </c>
      <c r="D67">
        <v>51</v>
      </c>
      <c r="E67" t="s">
        <v>2770</v>
      </c>
      <c r="F67" t="s">
        <v>2770</v>
      </c>
      <c r="G67" t="s">
        <v>2770</v>
      </c>
    </row>
    <row r="68" spans="1:7">
      <c r="A68" t="s">
        <v>1309</v>
      </c>
      <c r="B68">
        <v>1</v>
      </c>
      <c r="D68">
        <v>55</v>
      </c>
      <c r="E68" t="s">
        <v>2771</v>
      </c>
      <c r="F68" t="s">
        <v>2771</v>
      </c>
      <c r="G68" t="s">
        <v>2771</v>
      </c>
    </row>
    <row r="69" spans="1:7">
      <c r="A69" t="s">
        <v>1309</v>
      </c>
      <c r="B69">
        <v>1</v>
      </c>
      <c r="D69">
        <v>57</v>
      </c>
      <c r="E69" t="s">
        <v>2772</v>
      </c>
      <c r="F69" t="s">
        <v>2772</v>
      </c>
      <c r="G69" t="s">
        <v>2772</v>
      </c>
    </row>
    <row r="70" spans="1:7">
      <c r="A70" t="s">
        <v>1309</v>
      </c>
      <c r="B70">
        <v>1</v>
      </c>
      <c r="D70">
        <v>45</v>
      </c>
      <c r="E70" t="s">
        <v>2773</v>
      </c>
      <c r="F70" t="s">
        <v>2773</v>
      </c>
      <c r="G70" t="s">
        <v>2773</v>
      </c>
    </row>
    <row r="71" spans="1:7">
      <c r="A71" t="s">
        <v>1309</v>
      </c>
      <c r="B71">
        <v>1</v>
      </c>
      <c r="D71">
        <v>48</v>
      </c>
      <c r="E71" t="s">
        <v>2774</v>
      </c>
      <c r="F71" t="s">
        <v>2774</v>
      </c>
      <c r="G71" t="s">
        <v>2774</v>
      </c>
    </row>
    <row r="72" spans="1:7">
      <c r="A72" t="s">
        <v>1309</v>
      </c>
      <c r="B72">
        <v>1</v>
      </c>
      <c r="D72">
        <v>49</v>
      </c>
      <c r="E72" t="s">
        <v>2775</v>
      </c>
      <c r="F72" t="s">
        <v>2775</v>
      </c>
      <c r="G72" t="s">
        <v>2775</v>
      </c>
    </row>
    <row r="73" spans="1:7">
      <c r="A73" t="s">
        <v>1309</v>
      </c>
      <c r="B73">
        <v>1</v>
      </c>
      <c r="D73">
        <v>32</v>
      </c>
      <c r="E73" t="s">
        <v>2776</v>
      </c>
      <c r="F73" t="s">
        <v>2776</v>
      </c>
      <c r="G73" t="s">
        <v>2776</v>
      </c>
    </row>
    <row r="74" spans="1:7">
      <c r="A74" t="s">
        <v>1309</v>
      </c>
      <c r="B74">
        <v>1</v>
      </c>
      <c r="D74">
        <v>32</v>
      </c>
      <c r="E74" t="s">
        <v>2777</v>
      </c>
      <c r="F74" t="s">
        <v>2777</v>
      </c>
      <c r="G74" t="s">
        <v>2777</v>
      </c>
    </row>
    <row r="75" spans="1:7">
      <c r="A75" t="s">
        <v>1309</v>
      </c>
      <c r="B75">
        <v>1</v>
      </c>
      <c r="D75">
        <v>32</v>
      </c>
      <c r="E75" t="s">
        <v>2778</v>
      </c>
      <c r="F75" t="s">
        <v>2778</v>
      </c>
      <c r="G75" t="s">
        <v>2778</v>
      </c>
    </row>
    <row r="76" spans="1:7">
      <c r="A76" t="s">
        <v>1309</v>
      </c>
      <c r="B76">
        <v>1</v>
      </c>
      <c r="D76">
        <v>32</v>
      </c>
      <c r="E76" t="s">
        <v>2779</v>
      </c>
      <c r="F76" t="s">
        <v>2779</v>
      </c>
      <c r="G76" t="s">
        <v>2779</v>
      </c>
    </row>
    <row r="77" spans="1:7">
      <c r="A77" t="s">
        <v>1309</v>
      </c>
      <c r="B77">
        <v>1</v>
      </c>
      <c r="D77">
        <v>32</v>
      </c>
      <c r="E77" t="s">
        <v>2780</v>
      </c>
      <c r="F77" t="s">
        <v>2780</v>
      </c>
      <c r="G77" t="s">
        <v>2780</v>
      </c>
    </row>
    <row r="78" spans="1:7">
      <c r="A78" t="s">
        <v>1325</v>
      </c>
      <c r="B78">
        <v>1</v>
      </c>
      <c r="D78">
        <v>54</v>
      </c>
      <c r="E78" t="s">
        <v>2781</v>
      </c>
      <c r="F78" t="s">
        <v>2781</v>
      </c>
      <c r="G78" t="s">
        <v>2781</v>
      </c>
    </row>
    <row r="79" spans="1:7">
      <c r="A79" t="s">
        <v>1325</v>
      </c>
      <c r="B79">
        <v>1</v>
      </c>
      <c r="D79">
        <v>54</v>
      </c>
      <c r="E79" t="s">
        <v>2782</v>
      </c>
      <c r="F79" t="s">
        <v>2782</v>
      </c>
      <c r="G79" t="s">
        <v>2782</v>
      </c>
    </row>
    <row r="80" spans="1:7">
      <c r="A80" t="s">
        <v>1325</v>
      </c>
      <c r="B80">
        <v>1</v>
      </c>
      <c r="D80">
        <v>48</v>
      </c>
      <c r="E80" t="s">
        <v>2783</v>
      </c>
      <c r="F80" t="s">
        <v>2783</v>
      </c>
      <c r="G80" t="s">
        <v>2783</v>
      </c>
    </row>
    <row r="81" spans="1:7">
      <c r="A81" t="s">
        <v>1325</v>
      </c>
      <c r="B81">
        <v>1</v>
      </c>
      <c r="D81">
        <v>48</v>
      </c>
      <c r="E81" t="s">
        <v>2784</v>
      </c>
      <c r="F81" t="s">
        <v>2784</v>
      </c>
      <c r="G81" t="s">
        <v>2784</v>
      </c>
    </row>
    <row r="82" spans="1:7">
      <c r="A82" t="s">
        <v>1325</v>
      </c>
      <c r="B82">
        <v>1</v>
      </c>
      <c r="D82">
        <v>48</v>
      </c>
      <c r="E82" t="s">
        <v>2785</v>
      </c>
      <c r="F82" t="s">
        <v>2785</v>
      </c>
      <c r="G82" t="s">
        <v>2785</v>
      </c>
    </row>
    <row r="83" spans="1:7">
      <c r="A83" t="s">
        <v>1325</v>
      </c>
      <c r="B83">
        <v>1</v>
      </c>
      <c r="D83">
        <v>49</v>
      </c>
      <c r="E83" t="s">
        <v>2786</v>
      </c>
      <c r="F83" t="s">
        <v>2786</v>
      </c>
      <c r="G83" t="s">
        <v>2786</v>
      </c>
    </row>
    <row r="84" spans="1:7">
      <c r="A84" t="s">
        <v>1325</v>
      </c>
      <c r="B84">
        <v>1</v>
      </c>
      <c r="D84">
        <v>52</v>
      </c>
      <c r="E84" t="s">
        <v>2787</v>
      </c>
      <c r="F84" t="s">
        <v>2787</v>
      </c>
      <c r="G84" t="s">
        <v>2787</v>
      </c>
    </row>
    <row r="85" spans="1:7">
      <c r="A85" t="s">
        <v>1325</v>
      </c>
      <c r="B85">
        <v>1</v>
      </c>
      <c r="D85">
        <v>55</v>
      </c>
      <c r="E85" t="s">
        <v>2788</v>
      </c>
      <c r="F85" t="s">
        <v>2788</v>
      </c>
      <c r="G85" t="s">
        <v>2788</v>
      </c>
    </row>
    <row r="86" spans="1:7">
      <c r="A86" t="s">
        <v>1325</v>
      </c>
      <c r="B86">
        <v>1</v>
      </c>
      <c r="D86">
        <v>51</v>
      </c>
      <c r="E86" t="s">
        <v>2789</v>
      </c>
      <c r="F86" t="s">
        <v>2789</v>
      </c>
      <c r="G86" t="s">
        <v>2789</v>
      </c>
    </row>
    <row r="87" spans="1:7">
      <c r="A87" t="s">
        <v>1325</v>
      </c>
      <c r="B87">
        <v>1</v>
      </c>
      <c r="D87">
        <v>52</v>
      </c>
      <c r="E87" t="s">
        <v>2790</v>
      </c>
      <c r="F87" t="s">
        <v>2790</v>
      </c>
      <c r="G87" t="s">
        <v>2790</v>
      </c>
    </row>
    <row r="88" spans="1:7">
      <c r="A88" t="s">
        <v>1335</v>
      </c>
      <c r="B88">
        <v>1</v>
      </c>
      <c r="D88">
        <v>48</v>
      </c>
      <c r="E88" t="s">
        <v>2791</v>
      </c>
      <c r="F88" t="s">
        <v>2791</v>
      </c>
      <c r="G88" t="s">
        <v>2791</v>
      </c>
    </row>
    <row r="89" spans="1:7">
      <c r="A89" t="s">
        <v>2543</v>
      </c>
      <c r="B89">
        <v>1</v>
      </c>
      <c r="D89">
        <v>54</v>
      </c>
      <c r="E89" t="s">
        <v>2792</v>
      </c>
      <c r="F89" t="s">
        <v>2792</v>
      </c>
      <c r="G89" t="s">
        <v>2792</v>
      </c>
    </row>
    <row r="90" spans="1:7">
      <c r="A90" t="s">
        <v>2545</v>
      </c>
      <c r="B90">
        <v>1</v>
      </c>
      <c r="D90">
        <v>54</v>
      </c>
      <c r="E90" t="s">
        <v>2793</v>
      </c>
      <c r="F90" t="s">
        <v>2793</v>
      </c>
      <c r="G90" t="s">
        <v>2793</v>
      </c>
    </row>
    <row r="91" spans="1:7">
      <c r="A91" t="s">
        <v>2547</v>
      </c>
      <c r="B91">
        <v>1</v>
      </c>
      <c r="D91">
        <v>48</v>
      </c>
      <c r="E91" t="s">
        <v>2794</v>
      </c>
      <c r="F91" t="s">
        <v>2794</v>
      </c>
      <c r="G91" t="s">
        <v>2794</v>
      </c>
    </row>
    <row r="92" spans="1:7">
      <c r="A92" t="s">
        <v>2549</v>
      </c>
      <c r="B92">
        <v>1</v>
      </c>
      <c r="D92">
        <v>48</v>
      </c>
      <c r="E92" t="s">
        <v>2795</v>
      </c>
      <c r="F92" t="s">
        <v>2795</v>
      </c>
      <c r="G92" t="s">
        <v>2795</v>
      </c>
    </row>
    <row r="93" spans="1:7">
      <c r="A93" t="s">
        <v>2551</v>
      </c>
      <c r="B93">
        <v>1</v>
      </c>
      <c r="D93">
        <v>48</v>
      </c>
      <c r="E93" t="s">
        <v>2796</v>
      </c>
      <c r="F93" t="s">
        <v>2796</v>
      </c>
      <c r="G93" t="s">
        <v>2796</v>
      </c>
    </row>
    <row r="94" spans="1:7">
      <c r="A94" t="s">
        <v>2553</v>
      </c>
      <c r="B94">
        <v>1</v>
      </c>
      <c r="D94">
        <v>49</v>
      </c>
      <c r="E94" t="s">
        <v>2797</v>
      </c>
      <c r="F94" t="s">
        <v>2797</v>
      </c>
      <c r="G94" t="s">
        <v>2797</v>
      </c>
    </row>
    <row r="95" spans="1:7">
      <c r="A95" t="s">
        <v>2555</v>
      </c>
      <c r="B95">
        <v>1</v>
      </c>
      <c r="D95">
        <v>52</v>
      </c>
      <c r="E95" t="s">
        <v>2798</v>
      </c>
      <c r="F95" t="s">
        <v>2798</v>
      </c>
      <c r="G95" t="s">
        <v>2798</v>
      </c>
    </row>
    <row r="96" spans="1:7">
      <c r="A96" t="s">
        <v>2557</v>
      </c>
      <c r="B96">
        <v>1</v>
      </c>
      <c r="D96">
        <v>55</v>
      </c>
      <c r="E96" t="s">
        <v>2799</v>
      </c>
      <c r="F96" t="s">
        <v>2799</v>
      </c>
      <c r="G96" t="s">
        <v>2799</v>
      </c>
    </row>
    <row r="97" spans="1:7">
      <c r="A97" t="s">
        <v>2559</v>
      </c>
      <c r="B97">
        <v>1</v>
      </c>
      <c r="D97">
        <v>51</v>
      </c>
      <c r="E97" t="s">
        <v>2800</v>
      </c>
      <c r="F97" t="s">
        <v>2800</v>
      </c>
      <c r="G97" t="s">
        <v>2800</v>
      </c>
    </row>
    <row r="98" spans="1:7">
      <c r="A98" t="s">
        <v>2561</v>
      </c>
      <c r="B98">
        <v>1</v>
      </c>
      <c r="D98">
        <v>52</v>
      </c>
      <c r="E98" t="s">
        <v>2801</v>
      </c>
      <c r="F98" t="s">
        <v>2801</v>
      </c>
      <c r="G98" t="s">
        <v>2801</v>
      </c>
    </row>
    <row r="99" spans="1:7">
      <c r="A99" t="s">
        <v>2802</v>
      </c>
      <c r="B99">
        <v>1</v>
      </c>
      <c r="D99">
        <v>1</v>
      </c>
      <c r="E99" t="s">
        <v>2803</v>
      </c>
      <c r="F99" t="s">
        <v>2803</v>
      </c>
      <c r="G99" t="s">
        <v>2803</v>
      </c>
    </row>
    <row r="100" spans="1:7">
      <c r="A100" t="s">
        <v>45</v>
      </c>
      <c r="B100">
        <v>1</v>
      </c>
      <c r="D100">
        <v>1</v>
      </c>
      <c r="E100">
        <v>400</v>
      </c>
      <c r="F100">
        <v>400</v>
      </c>
      <c r="G100">
        <v>400</v>
      </c>
    </row>
    <row r="101" spans="1:7">
      <c r="A101" t="s">
        <v>417</v>
      </c>
      <c r="B101">
        <v>1</v>
      </c>
      <c r="D101">
        <v>255</v>
      </c>
      <c r="E101">
        <v>401</v>
      </c>
      <c r="F101">
        <v>401</v>
      </c>
      <c r="G101">
        <v>401</v>
      </c>
    </row>
    <row r="102" spans="1:7">
      <c r="A102" t="s">
        <v>418</v>
      </c>
      <c r="B102">
        <v>1</v>
      </c>
      <c r="D102">
        <v>255</v>
      </c>
      <c r="E102" t="s">
        <v>479</v>
      </c>
      <c r="F102" t="s">
        <v>479</v>
      </c>
      <c r="G102" t="s">
        <v>479</v>
      </c>
    </row>
    <row r="103" spans="1:7">
      <c r="A103" t="s">
        <v>419</v>
      </c>
      <c r="B103">
        <v>1</v>
      </c>
      <c r="D103">
        <v>255</v>
      </c>
      <c r="E103" t="s">
        <v>480</v>
      </c>
      <c r="F103" t="s">
        <v>480</v>
      </c>
      <c r="G103" t="s">
        <v>480</v>
      </c>
    </row>
    <row r="104" spans="1:7">
      <c r="A104" t="s">
        <v>420</v>
      </c>
      <c r="B104">
        <v>1</v>
      </c>
      <c r="D104">
        <v>255</v>
      </c>
      <c r="E104" t="s">
        <v>481</v>
      </c>
      <c r="F104" t="s">
        <v>481</v>
      </c>
      <c r="G104" t="s">
        <v>481</v>
      </c>
    </row>
    <row r="105" spans="1:7">
      <c r="A105" t="s">
        <v>421</v>
      </c>
      <c r="B105">
        <v>1</v>
      </c>
      <c r="D105">
        <v>255</v>
      </c>
      <c r="E105" t="s">
        <v>482</v>
      </c>
      <c r="F105" t="s">
        <v>482</v>
      </c>
      <c r="G105" t="s">
        <v>482</v>
      </c>
    </row>
    <row r="106" spans="1:7">
      <c r="A106" t="s">
        <v>422</v>
      </c>
      <c r="B106">
        <v>1</v>
      </c>
      <c r="D106">
        <v>255</v>
      </c>
      <c r="E106" t="s">
        <v>483</v>
      </c>
      <c r="F106" t="s">
        <v>483</v>
      </c>
      <c r="G106" t="s">
        <v>483</v>
      </c>
    </row>
    <row r="107" spans="1:7">
      <c r="A107" t="s">
        <v>423</v>
      </c>
      <c r="B107">
        <v>1</v>
      </c>
      <c r="D107">
        <v>255</v>
      </c>
      <c r="E107" t="s">
        <v>484</v>
      </c>
      <c r="F107" t="s">
        <v>484</v>
      </c>
      <c r="G107" t="s">
        <v>484</v>
      </c>
    </row>
    <row r="108" spans="1:7">
      <c r="A108" t="s">
        <v>424</v>
      </c>
      <c r="B108">
        <v>1</v>
      </c>
      <c r="D108">
        <v>255</v>
      </c>
      <c r="E108" t="s">
        <v>485</v>
      </c>
      <c r="F108" t="s">
        <v>485</v>
      </c>
      <c r="G108" t="s">
        <v>485</v>
      </c>
    </row>
    <row r="109" spans="1:7">
      <c r="A109" t="s">
        <v>425</v>
      </c>
      <c r="B109">
        <v>1</v>
      </c>
      <c r="D109">
        <v>255</v>
      </c>
      <c r="E109" t="s">
        <v>486</v>
      </c>
      <c r="F109" t="s">
        <v>486</v>
      </c>
      <c r="G109" t="s">
        <v>486</v>
      </c>
    </row>
    <row r="110" spans="1:7">
      <c r="A110" t="s">
        <v>426</v>
      </c>
      <c r="B110">
        <v>1</v>
      </c>
      <c r="D110">
        <v>255</v>
      </c>
      <c r="E110" t="s">
        <v>487</v>
      </c>
      <c r="F110" t="s">
        <v>487</v>
      </c>
      <c r="G110" t="s">
        <v>487</v>
      </c>
    </row>
    <row r="111" spans="1:7">
      <c r="A111" t="s">
        <v>427</v>
      </c>
      <c r="B111">
        <v>1</v>
      </c>
      <c r="D111">
        <v>255</v>
      </c>
      <c r="E111" t="s">
        <v>488</v>
      </c>
      <c r="F111" t="s">
        <v>488</v>
      </c>
      <c r="G111" t="s">
        <v>488</v>
      </c>
    </row>
    <row r="112" spans="1:7">
      <c r="A112" t="s">
        <v>428</v>
      </c>
      <c r="B112">
        <v>1</v>
      </c>
      <c r="D112">
        <v>255</v>
      </c>
      <c r="E112" t="s">
        <v>489</v>
      </c>
      <c r="F112" t="s">
        <v>489</v>
      </c>
      <c r="G112" t="s">
        <v>489</v>
      </c>
    </row>
    <row r="113" spans="1:7">
      <c r="A113" t="s">
        <v>429</v>
      </c>
      <c r="B113">
        <v>1</v>
      </c>
      <c r="D113">
        <v>255</v>
      </c>
      <c r="E113" t="s">
        <v>490</v>
      </c>
      <c r="F113" t="s">
        <v>490</v>
      </c>
      <c r="G113" t="s">
        <v>490</v>
      </c>
    </row>
    <row r="114" spans="1:7">
      <c r="A114" t="s">
        <v>430</v>
      </c>
      <c r="B114">
        <v>1</v>
      </c>
      <c r="D114">
        <v>255</v>
      </c>
      <c r="E114" t="s">
        <v>491</v>
      </c>
      <c r="F114" t="s">
        <v>491</v>
      </c>
      <c r="G114" t="s">
        <v>491</v>
      </c>
    </row>
    <row r="115" spans="1:7">
      <c r="A115" t="s">
        <v>431</v>
      </c>
      <c r="B115">
        <v>1</v>
      </c>
      <c r="D115">
        <v>255</v>
      </c>
      <c r="E115" t="s">
        <v>492</v>
      </c>
      <c r="F115" t="s">
        <v>492</v>
      </c>
      <c r="G115" t="s">
        <v>492</v>
      </c>
    </row>
    <row r="116" spans="1:7">
      <c r="A116" t="s">
        <v>432</v>
      </c>
      <c r="B116">
        <v>1</v>
      </c>
      <c r="D116">
        <v>255</v>
      </c>
      <c r="E116" t="s">
        <v>493</v>
      </c>
      <c r="F116" t="s">
        <v>493</v>
      </c>
      <c r="G116" t="s">
        <v>493</v>
      </c>
    </row>
    <row r="117" spans="1:7">
      <c r="A117" t="s">
        <v>433</v>
      </c>
      <c r="B117">
        <v>1</v>
      </c>
      <c r="D117">
        <v>255</v>
      </c>
      <c r="E117" t="s">
        <v>494</v>
      </c>
      <c r="F117" t="s">
        <v>494</v>
      </c>
      <c r="G117" t="s">
        <v>494</v>
      </c>
    </row>
    <row r="118" spans="1:7">
      <c r="A118" t="s">
        <v>434</v>
      </c>
      <c r="B118">
        <v>1</v>
      </c>
      <c r="D118">
        <v>255</v>
      </c>
      <c r="E118" t="s">
        <v>495</v>
      </c>
      <c r="F118" t="s">
        <v>495</v>
      </c>
      <c r="G118" t="s">
        <v>495</v>
      </c>
    </row>
    <row r="119" spans="1:7">
      <c r="A119" t="s">
        <v>435</v>
      </c>
      <c r="B119">
        <v>1</v>
      </c>
      <c r="D119">
        <v>255</v>
      </c>
      <c r="E119" t="s">
        <v>496</v>
      </c>
      <c r="F119" t="s">
        <v>496</v>
      </c>
      <c r="G119" t="s">
        <v>496</v>
      </c>
    </row>
    <row r="120" spans="1:7">
      <c r="A120" t="s">
        <v>436</v>
      </c>
      <c r="B120">
        <v>1</v>
      </c>
      <c r="D120">
        <v>255</v>
      </c>
      <c r="E120" t="s">
        <v>497</v>
      </c>
      <c r="F120" t="s">
        <v>497</v>
      </c>
      <c r="G120" t="s">
        <v>497</v>
      </c>
    </row>
    <row r="121" spans="1:7">
      <c r="A121" t="s">
        <v>498</v>
      </c>
      <c r="B121">
        <v>1</v>
      </c>
      <c r="D121">
        <v>1</v>
      </c>
      <c r="E121" t="s">
        <v>499</v>
      </c>
      <c r="F121" t="s">
        <v>499</v>
      </c>
      <c r="G121" t="s">
        <v>499</v>
      </c>
    </row>
    <row r="122" spans="1:7">
      <c r="A122" t="s">
        <v>69</v>
      </c>
      <c r="B122">
        <v>1</v>
      </c>
      <c r="D122">
        <v>1</v>
      </c>
      <c r="E122" t="s">
        <v>1564</v>
      </c>
      <c r="F122" t="s">
        <v>1564</v>
      </c>
      <c r="G122" t="s">
        <v>1564</v>
      </c>
    </row>
    <row r="123" spans="1:7">
      <c r="A123" t="s">
        <v>524</v>
      </c>
      <c r="B123">
        <v>10</v>
      </c>
      <c r="C123" t="s">
        <v>107</v>
      </c>
      <c r="D123">
        <v>25</v>
      </c>
      <c r="E123" t="s">
        <v>714</v>
      </c>
      <c r="F123" t="s">
        <v>714</v>
      </c>
      <c r="G123" t="s">
        <v>714</v>
      </c>
    </row>
    <row r="124" spans="1:7">
      <c r="A124" t="s">
        <v>111</v>
      </c>
      <c r="B124">
        <v>10</v>
      </c>
      <c r="C124" t="s">
        <v>107</v>
      </c>
      <c r="D124">
        <v>5</v>
      </c>
      <c r="E124" t="s">
        <v>1737</v>
      </c>
      <c r="F124" t="s">
        <v>1737</v>
      </c>
      <c r="G124" t="s">
        <v>1737</v>
      </c>
    </row>
    <row r="125" spans="1:7">
      <c r="A125" t="s">
        <v>112</v>
      </c>
      <c r="B125">
        <v>10</v>
      </c>
      <c r="C125" t="s">
        <v>107</v>
      </c>
      <c r="D125">
        <v>5</v>
      </c>
      <c r="E125" t="s">
        <v>1738</v>
      </c>
      <c r="F125" t="s">
        <v>1738</v>
      </c>
      <c r="G125" t="s">
        <v>1738</v>
      </c>
    </row>
    <row r="126" spans="1:7">
      <c r="A126" t="s">
        <v>113</v>
      </c>
      <c r="B126">
        <v>1</v>
      </c>
      <c r="C126" t="s">
        <v>107</v>
      </c>
      <c r="D126">
        <v>2</v>
      </c>
      <c r="E126" t="s">
        <v>1739</v>
      </c>
      <c r="F126" t="s">
        <v>1739</v>
      </c>
      <c r="G126" t="s">
        <v>1739</v>
      </c>
    </row>
    <row r="127" spans="1:7">
      <c r="A127" t="s">
        <v>114</v>
      </c>
      <c r="B127">
        <v>1</v>
      </c>
      <c r="C127" t="s">
        <v>107</v>
      </c>
      <c r="D127">
        <v>2</v>
      </c>
      <c r="E127" t="s">
        <v>1740</v>
      </c>
      <c r="F127" t="s">
        <v>1740</v>
      </c>
      <c r="G127" t="s">
        <v>1740</v>
      </c>
    </row>
    <row r="128" spans="1:7">
      <c r="A128" t="s">
        <v>652</v>
      </c>
      <c r="B128">
        <v>1</v>
      </c>
      <c r="C128" t="s">
        <v>108</v>
      </c>
      <c r="D128">
        <v>3</v>
      </c>
      <c r="E128" t="s">
        <v>1741</v>
      </c>
      <c r="F128" t="s">
        <v>1741</v>
      </c>
      <c r="G128" t="s">
        <v>1741</v>
      </c>
    </row>
    <row r="129" spans="1:7">
      <c r="A129" t="s">
        <v>110</v>
      </c>
      <c r="B129">
        <v>0.5</v>
      </c>
      <c r="C129" t="s">
        <v>106</v>
      </c>
      <c r="D129">
        <v>0</v>
      </c>
      <c r="E129" t="s">
        <v>1742</v>
      </c>
      <c r="F129" t="s">
        <v>1742</v>
      </c>
      <c r="G129" t="s">
        <v>1742</v>
      </c>
    </row>
    <row r="130" spans="1:7">
      <c r="A130" t="s">
        <v>653</v>
      </c>
      <c r="B130">
        <v>1</v>
      </c>
      <c r="C130" t="s">
        <v>106</v>
      </c>
      <c r="D130">
        <v>3</v>
      </c>
      <c r="E130" t="s">
        <v>1743</v>
      </c>
      <c r="F130" t="s">
        <v>1743</v>
      </c>
      <c r="G130" t="s">
        <v>1743</v>
      </c>
    </row>
    <row r="131" spans="1:7">
      <c r="A131" t="s">
        <v>654</v>
      </c>
      <c r="B131">
        <v>1</v>
      </c>
      <c r="C131" t="s">
        <v>108</v>
      </c>
      <c r="D131">
        <v>1</v>
      </c>
      <c r="E131" t="s">
        <v>1744</v>
      </c>
      <c r="F131" t="s">
        <v>1744</v>
      </c>
      <c r="G131" t="s">
        <v>1744</v>
      </c>
    </row>
    <row r="132" spans="1:7">
      <c r="A132" t="s">
        <v>115</v>
      </c>
      <c r="B132">
        <v>10</v>
      </c>
      <c r="C132" t="s">
        <v>107</v>
      </c>
      <c r="D132">
        <v>10</v>
      </c>
      <c r="E132" t="s">
        <v>1745</v>
      </c>
      <c r="F132" t="s">
        <v>1745</v>
      </c>
      <c r="G132" t="s">
        <v>1745</v>
      </c>
    </row>
    <row r="133" spans="1:7">
      <c r="A133" t="s">
        <v>116</v>
      </c>
      <c r="B133">
        <v>5</v>
      </c>
      <c r="C133" t="s">
        <v>107</v>
      </c>
      <c r="D133">
        <v>80</v>
      </c>
      <c r="E133" t="s">
        <v>1746</v>
      </c>
      <c r="F133" t="s">
        <v>1746</v>
      </c>
      <c r="G133" t="s">
        <v>1746</v>
      </c>
    </row>
    <row r="134" spans="1:7">
      <c r="A134" t="s">
        <v>117</v>
      </c>
      <c r="B134">
        <v>5</v>
      </c>
      <c r="C134" t="s">
        <v>107</v>
      </c>
      <c r="D134">
        <v>80</v>
      </c>
      <c r="E134" t="s">
        <v>1747</v>
      </c>
      <c r="F134" t="s">
        <v>1747</v>
      </c>
      <c r="G134" t="s">
        <v>1747</v>
      </c>
    </row>
    <row r="135" spans="1:7">
      <c r="A135" t="s">
        <v>118</v>
      </c>
      <c r="B135">
        <v>10</v>
      </c>
      <c r="C135" t="s">
        <v>107</v>
      </c>
      <c r="D135">
        <v>10</v>
      </c>
      <c r="E135" t="s">
        <v>1748</v>
      </c>
      <c r="F135" t="s">
        <v>1748</v>
      </c>
      <c r="G135" t="s">
        <v>1748</v>
      </c>
    </row>
    <row r="136" spans="1:7">
      <c r="A136" t="s">
        <v>515</v>
      </c>
      <c r="B136">
        <v>0.1</v>
      </c>
      <c r="C136" t="s">
        <v>106</v>
      </c>
      <c r="D136">
        <v>150</v>
      </c>
      <c r="E136" t="s">
        <v>1749</v>
      </c>
      <c r="F136" t="s">
        <v>1749</v>
      </c>
      <c r="G136" t="s">
        <v>1749</v>
      </c>
    </row>
    <row r="137" spans="1:7">
      <c r="A137" t="s">
        <v>516</v>
      </c>
      <c r="B137">
        <v>1</v>
      </c>
      <c r="C137" t="s">
        <v>107</v>
      </c>
      <c r="D137">
        <v>2</v>
      </c>
      <c r="E137" t="s">
        <v>1750</v>
      </c>
      <c r="F137" t="s">
        <v>1750</v>
      </c>
      <c r="G137" t="s">
        <v>1750</v>
      </c>
    </row>
    <row r="138" spans="1:7">
      <c r="A138" t="s">
        <v>705</v>
      </c>
      <c r="B138">
        <v>2</v>
      </c>
      <c r="C138" t="s">
        <v>107</v>
      </c>
      <c r="D138">
        <v>4</v>
      </c>
      <c r="E138" t="s">
        <v>1751</v>
      </c>
      <c r="F138" t="s">
        <v>1751</v>
      </c>
      <c r="G138" t="s">
        <v>1751</v>
      </c>
    </row>
    <row r="139" spans="1:7">
      <c r="A139" t="s">
        <v>706</v>
      </c>
      <c r="B139">
        <v>10</v>
      </c>
      <c r="C139" t="s">
        <v>107</v>
      </c>
      <c r="D139">
        <v>60</v>
      </c>
      <c r="E139" t="s">
        <v>1752</v>
      </c>
      <c r="F139" t="s">
        <v>1752</v>
      </c>
      <c r="G139" t="s">
        <v>1752</v>
      </c>
    </row>
    <row r="140" spans="1:7">
      <c r="A140" t="s">
        <v>1014</v>
      </c>
      <c r="B140">
        <v>4</v>
      </c>
      <c r="C140" t="s">
        <v>108</v>
      </c>
      <c r="D140">
        <v>200</v>
      </c>
      <c r="E140" t="s">
        <v>2516</v>
      </c>
      <c r="F140" t="s">
        <v>2516</v>
      </c>
      <c r="G140" t="s">
        <v>2516</v>
      </c>
    </row>
    <row r="141" spans="1:7">
      <c r="A141" t="s">
        <v>1015</v>
      </c>
      <c r="B141">
        <v>4</v>
      </c>
      <c r="C141" t="s">
        <v>108</v>
      </c>
      <c r="D141">
        <v>100</v>
      </c>
      <c r="E141" t="s">
        <v>2517</v>
      </c>
      <c r="F141" t="s">
        <v>2517</v>
      </c>
      <c r="G141" t="s">
        <v>2517</v>
      </c>
    </row>
    <row r="142" spans="1:7">
      <c r="A142" t="s">
        <v>1016</v>
      </c>
      <c r="B142">
        <v>3</v>
      </c>
      <c r="C142" t="s">
        <v>108</v>
      </c>
      <c r="D142">
        <v>152</v>
      </c>
      <c r="E142" t="s">
        <v>2518</v>
      </c>
      <c r="F142" t="s">
        <v>2518</v>
      </c>
      <c r="G142" t="s">
        <v>2518</v>
      </c>
    </row>
    <row r="143" spans="1:7">
      <c r="A143" t="s">
        <v>1017</v>
      </c>
      <c r="B143">
        <v>4</v>
      </c>
      <c r="C143" t="s">
        <v>108</v>
      </c>
      <c r="D143">
        <v>71</v>
      </c>
      <c r="E143" t="s">
        <v>2519</v>
      </c>
      <c r="F143" t="s">
        <v>2519</v>
      </c>
      <c r="G143" t="s">
        <v>2519</v>
      </c>
    </row>
    <row r="144" spans="1:7">
      <c r="A144" t="s">
        <v>1018</v>
      </c>
      <c r="B144">
        <v>1</v>
      </c>
      <c r="C144" t="s">
        <v>108</v>
      </c>
      <c r="D144">
        <v>132</v>
      </c>
      <c r="E144" t="s">
        <v>2520</v>
      </c>
      <c r="F144" t="s">
        <v>2520</v>
      </c>
      <c r="G144" t="s">
        <v>2520</v>
      </c>
    </row>
    <row r="145" spans="1:7">
      <c r="A145" t="s">
        <v>1021</v>
      </c>
      <c r="B145">
        <v>4</v>
      </c>
      <c r="C145" t="s">
        <v>108</v>
      </c>
      <c r="D145">
        <v>200</v>
      </c>
      <c r="E145" t="s">
        <v>2521</v>
      </c>
      <c r="F145" t="s">
        <v>2521</v>
      </c>
      <c r="G145" t="s">
        <v>2521</v>
      </c>
    </row>
    <row r="146" spans="1:7">
      <c r="A146" t="s">
        <v>1022</v>
      </c>
      <c r="B146">
        <v>4</v>
      </c>
      <c r="C146" t="s">
        <v>108</v>
      </c>
      <c r="D146">
        <v>100</v>
      </c>
      <c r="E146" t="s">
        <v>2522</v>
      </c>
      <c r="F146" t="s">
        <v>2522</v>
      </c>
      <c r="G146" t="s">
        <v>2522</v>
      </c>
    </row>
    <row r="147" spans="1:7">
      <c r="A147" t="s">
        <v>1023</v>
      </c>
      <c r="B147">
        <v>3</v>
      </c>
      <c r="C147" t="s">
        <v>108</v>
      </c>
      <c r="D147">
        <v>152</v>
      </c>
      <c r="E147" t="s">
        <v>2523</v>
      </c>
      <c r="F147" t="s">
        <v>2523</v>
      </c>
      <c r="G147" t="s">
        <v>2523</v>
      </c>
    </row>
    <row r="148" spans="1:7">
      <c r="A148" t="s">
        <v>1024</v>
      </c>
      <c r="B148">
        <v>4</v>
      </c>
      <c r="C148" t="s">
        <v>108</v>
      </c>
      <c r="D148">
        <v>71</v>
      </c>
      <c r="E148" t="s">
        <v>2524</v>
      </c>
      <c r="F148" t="s">
        <v>2524</v>
      </c>
      <c r="G148" t="s">
        <v>2524</v>
      </c>
    </row>
    <row r="149" spans="1:7">
      <c r="A149" t="s">
        <v>1025</v>
      </c>
      <c r="B149">
        <v>1</v>
      </c>
      <c r="C149" t="s">
        <v>108</v>
      </c>
      <c r="D149">
        <v>132</v>
      </c>
      <c r="E149" t="s">
        <v>2525</v>
      </c>
      <c r="F149" t="s">
        <v>2525</v>
      </c>
      <c r="G149" t="s">
        <v>2525</v>
      </c>
    </row>
    <row r="150" spans="1:7">
      <c r="A150" t="s">
        <v>1043</v>
      </c>
      <c r="B150">
        <v>4</v>
      </c>
      <c r="C150" t="s">
        <v>108</v>
      </c>
      <c r="D150">
        <v>165</v>
      </c>
      <c r="E150" t="s">
        <v>2526</v>
      </c>
      <c r="F150" t="s">
        <v>2526</v>
      </c>
      <c r="G150" t="s">
        <v>2526</v>
      </c>
    </row>
    <row r="151" spans="1:7">
      <c r="A151" t="s">
        <v>1044</v>
      </c>
      <c r="B151">
        <v>4</v>
      </c>
      <c r="C151" t="s">
        <v>108</v>
      </c>
      <c r="D151">
        <v>10</v>
      </c>
      <c r="E151" t="s">
        <v>2527</v>
      </c>
      <c r="F151" t="s">
        <v>2527</v>
      </c>
      <c r="G151" t="s">
        <v>2527</v>
      </c>
    </row>
    <row r="152" spans="1:7">
      <c r="A152" t="s">
        <v>1045</v>
      </c>
      <c r="B152">
        <v>4</v>
      </c>
      <c r="C152" t="s">
        <v>108</v>
      </c>
      <c r="D152">
        <v>48</v>
      </c>
      <c r="E152" t="s">
        <v>2528</v>
      </c>
      <c r="F152" t="s">
        <v>2528</v>
      </c>
      <c r="G152" t="s">
        <v>2528</v>
      </c>
    </row>
    <row r="153" spans="1:7">
      <c r="A153" t="s">
        <v>1070</v>
      </c>
      <c r="B153">
        <v>4</v>
      </c>
      <c r="C153" t="s">
        <v>108</v>
      </c>
      <c r="D153">
        <v>217</v>
      </c>
      <c r="E153" t="s">
        <v>2529</v>
      </c>
      <c r="F153" t="s">
        <v>2529</v>
      </c>
      <c r="G153" t="s">
        <v>2529</v>
      </c>
    </row>
    <row r="154" spans="1:7">
      <c r="A154" t="s">
        <v>1071</v>
      </c>
      <c r="B154">
        <v>4</v>
      </c>
      <c r="C154" t="s">
        <v>108</v>
      </c>
      <c r="D154">
        <v>80</v>
      </c>
      <c r="E154" t="s">
        <v>2530</v>
      </c>
      <c r="F154" t="s">
        <v>2530</v>
      </c>
      <c r="G154" t="s">
        <v>2530</v>
      </c>
    </row>
    <row r="155" spans="1:7">
      <c r="A155" t="s">
        <v>3010</v>
      </c>
      <c r="B155">
        <v>10</v>
      </c>
      <c r="C155" t="s">
        <v>107</v>
      </c>
      <c r="D155">
        <v>30</v>
      </c>
      <c r="E155" t="s">
        <v>3006</v>
      </c>
      <c r="F155" t="s">
        <v>3006</v>
      </c>
      <c r="G155" t="s">
        <v>3006</v>
      </c>
    </row>
    <row r="156" spans="1:7">
      <c r="A156" t="s">
        <v>3009</v>
      </c>
      <c r="B156">
        <v>10</v>
      </c>
      <c r="C156" t="s">
        <v>107</v>
      </c>
      <c r="D156">
        <v>30</v>
      </c>
      <c r="E156" t="s">
        <v>3007</v>
      </c>
      <c r="F156" t="s">
        <v>3007</v>
      </c>
      <c r="G156" t="s">
        <v>3007</v>
      </c>
    </row>
    <row r="157" spans="1:7">
      <c r="A157" t="s">
        <v>3011</v>
      </c>
      <c r="B157">
        <v>10</v>
      </c>
      <c r="C157" t="s">
        <v>107</v>
      </c>
      <c r="D157">
        <v>30</v>
      </c>
      <c r="E157" t="s">
        <v>3008</v>
      </c>
      <c r="F157" t="s">
        <v>3008</v>
      </c>
      <c r="G157" t="s">
        <v>3008</v>
      </c>
    </row>
    <row r="158" spans="1:7">
      <c r="A158" t="s">
        <v>388</v>
      </c>
      <c r="B158">
        <v>1</v>
      </c>
      <c r="D158">
        <v>1</v>
      </c>
      <c r="E158" t="s">
        <v>1565</v>
      </c>
      <c r="F158" t="s">
        <v>1565</v>
      </c>
      <c r="G158" t="s">
        <v>1565</v>
      </c>
    </row>
    <row r="159" spans="1:7">
      <c r="A159" t="s">
        <v>70</v>
      </c>
      <c r="B159">
        <v>1</v>
      </c>
      <c r="D159">
        <v>1</v>
      </c>
      <c r="E159" t="s">
        <v>1566</v>
      </c>
      <c r="F159" t="s">
        <v>1566</v>
      </c>
      <c r="G159" t="s">
        <v>1566</v>
      </c>
    </row>
    <row r="160" spans="1:7">
      <c r="A160" t="s">
        <v>519</v>
      </c>
      <c r="B160" t="s">
        <v>763</v>
      </c>
      <c r="C160" t="s">
        <v>138</v>
      </c>
      <c r="D160">
        <v>90</v>
      </c>
      <c r="E160" t="s">
        <v>66</v>
      </c>
      <c r="F160" t="s">
        <v>66</v>
      </c>
      <c r="G160" t="s">
        <v>66</v>
      </c>
    </row>
    <row r="161" spans="1:7">
      <c r="A161" t="s">
        <v>520</v>
      </c>
      <c r="B161" t="s">
        <v>763</v>
      </c>
      <c r="C161" t="s">
        <v>138</v>
      </c>
      <c r="D161">
        <v>160</v>
      </c>
      <c r="E161" t="s">
        <v>1753</v>
      </c>
      <c r="F161" t="s">
        <v>1753</v>
      </c>
      <c r="G161" t="s">
        <v>1753</v>
      </c>
    </row>
    <row r="162" spans="1:7">
      <c r="A162" t="s">
        <v>521</v>
      </c>
      <c r="B162" t="s">
        <v>763</v>
      </c>
      <c r="C162" t="s">
        <v>138</v>
      </c>
      <c r="D162">
        <v>180</v>
      </c>
      <c r="E162" t="s">
        <v>1754</v>
      </c>
      <c r="F162" t="s">
        <v>1754</v>
      </c>
      <c r="G162" t="s">
        <v>1754</v>
      </c>
    </row>
    <row r="163" spans="1:7">
      <c r="A163" t="s">
        <v>389</v>
      </c>
      <c r="B163" t="s">
        <v>763</v>
      </c>
      <c r="C163" t="s">
        <v>138</v>
      </c>
      <c r="D163">
        <v>90</v>
      </c>
      <c r="E163" t="s">
        <v>1755</v>
      </c>
      <c r="F163" t="s">
        <v>1755</v>
      </c>
      <c r="G163" t="s">
        <v>1755</v>
      </c>
    </row>
    <row r="164" spans="1:7">
      <c r="A164" t="s">
        <v>390</v>
      </c>
      <c r="B164" t="s">
        <v>763</v>
      </c>
      <c r="C164" t="s">
        <v>138</v>
      </c>
      <c r="D164">
        <v>160</v>
      </c>
      <c r="E164" t="s">
        <v>1756</v>
      </c>
      <c r="F164" t="s">
        <v>1756</v>
      </c>
      <c r="G164" t="s">
        <v>1756</v>
      </c>
    </row>
    <row r="165" spans="1:7">
      <c r="A165" t="s">
        <v>391</v>
      </c>
      <c r="B165" t="s">
        <v>764</v>
      </c>
      <c r="C165" t="s">
        <v>107</v>
      </c>
      <c r="D165">
        <v>100</v>
      </c>
      <c r="E165" t="s">
        <v>1757</v>
      </c>
      <c r="F165" t="s">
        <v>1757</v>
      </c>
      <c r="G165" t="s">
        <v>1757</v>
      </c>
    </row>
    <row r="166" spans="1:7">
      <c r="A166" t="s">
        <v>392</v>
      </c>
      <c r="B166" t="s">
        <v>764</v>
      </c>
      <c r="C166" t="s">
        <v>107</v>
      </c>
      <c r="D166">
        <v>100</v>
      </c>
      <c r="E166" t="s">
        <v>1758</v>
      </c>
      <c r="F166" t="s">
        <v>1758</v>
      </c>
      <c r="G166" t="s">
        <v>1758</v>
      </c>
    </row>
    <row r="167" spans="1:7">
      <c r="A167" t="s">
        <v>394</v>
      </c>
      <c r="B167" t="s">
        <v>764</v>
      </c>
      <c r="C167" t="s">
        <v>107</v>
      </c>
      <c r="D167">
        <v>10</v>
      </c>
      <c r="E167" t="s">
        <v>1759</v>
      </c>
      <c r="F167" t="s">
        <v>1759</v>
      </c>
      <c r="G167" t="s">
        <v>1759</v>
      </c>
    </row>
    <row r="168" spans="1:7">
      <c r="A168" t="s">
        <v>393</v>
      </c>
      <c r="B168" t="s">
        <v>764</v>
      </c>
      <c r="C168" t="s">
        <v>107</v>
      </c>
      <c r="D168">
        <v>10</v>
      </c>
      <c r="E168" t="s">
        <v>1760</v>
      </c>
      <c r="F168" t="s">
        <v>1760</v>
      </c>
      <c r="G168" t="s">
        <v>1760</v>
      </c>
    </row>
    <row r="169" spans="1:7">
      <c r="A169" t="s">
        <v>648</v>
      </c>
      <c r="B169" t="s">
        <v>765</v>
      </c>
      <c r="C169" t="s">
        <v>106</v>
      </c>
      <c r="D169">
        <v>25</v>
      </c>
      <c r="E169" t="s">
        <v>1761</v>
      </c>
      <c r="F169" t="s">
        <v>1761</v>
      </c>
      <c r="G169" t="s">
        <v>1761</v>
      </c>
    </row>
    <row r="170" spans="1:7">
      <c r="A170" t="s">
        <v>395</v>
      </c>
      <c r="B170" t="s">
        <v>764</v>
      </c>
      <c r="C170" t="s">
        <v>107</v>
      </c>
      <c r="D170">
        <v>10</v>
      </c>
      <c r="E170" t="s">
        <v>1762</v>
      </c>
      <c r="F170" t="s">
        <v>1762</v>
      </c>
      <c r="G170" t="s">
        <v>1762</v>
      </c>
    </row>
    <row r="171" spans="1:7">
      <c r="A171" t="s">
        <v>522</v>
      </c>
      <c r="B171" t="s">
        <v>765</v>
      </c>
      <c r="C171" t="s">
        <v>139</v>
      </c>
      <c r="D171">
        <v>5</v>
      </c>
      <c r="E171" t="s">
        <v>1763</v>
      </c>
      <c r="F171" t="s">
        <v>1763</v>
      </c>
      <c r="G171" t="s">
        <v>1763</v>
      </c>
    </row>
    <row r="172" spans="1:7">
      <c r="A172" t="s">
        <v>523</v>
      </c>
      <c r="B172" t="s">
        <v>765</v>
      </c>
      <c r="C172" t="s">
        <v>139</v>
      </c>
      <c r="D172">
        <v>15</v>
      </c>
      <c r="E172" t="s">
        <v>1764</v>
      </c>
      <c r="F172" t="s">
        <v>1764</v>
      </c>
      <c r="G172" t="s">
        <v>1764</v>
      </c>
    </row>
    <row r="173" spans="1:7">
      <c r="A173" t="s">
        <v>2419</v>
      </c>
      <c r="B173">
        <v>0.1</v>
      </c>
      <c r="C173" t="s">
        <v>138</v>
      </c>
      <c r="D173">
        <v>95</v>
      </c>
      <c r="E173" t="s">
        <v>2458</v>
      </c>
      <c r="F173" t="s">
        <v>2458</v>
      </c>
      <c r="G173" t="s">
        <v>2458</v>
      </c>
    </row>
    <row r="174" spans="1:7">
      <c r="A174" t="s">
        <v>2421</v>
      </c>
      <c r="B174">
        <v>0.1</v>
      </c>
      <c r="C174" t="s">
        <v>138</v>
      </c>
      <c r="D174">
        <v>155</v>
      </c>
      <c r="E174" t="s">
        <v>2459</v>
      </c>
      <c r="F174" t="s">
        <v>2459</v>
      </c>
      <c r="G174" t="s">
        <v>2459</v>
      </c>
    </row>
    <row r="175" spans="1:7">
      <c r="A175" t="s">
        <v>2951</v>
      </c>
      <c r="B175">
        <v>10</v>
      </c>
      <c r="C175" t="s">
        <v>107</v>
      </c>
      <c r="D175">
        <v>30</v>
      </c>
      <c r="E175" t="s">
        <v>2957</v>
      </c>
      <c r="F175" t="s">
        <v>2957</v>
      </c>
      <c r="G175" t="s">
        <v>2957</v>
      </c>
    </row>
    <row r="176" spans="1:7">
      <c r="A176" t="s">
        <v>2953</v>
      </c>
      <c r="B176">
        <v>10</v>
      </c>
      <c r="C176" t="s">
        <v>107</v>
      </c>
      <c r="D176">
        <v>30</v>
      </c>
      <c r="E176" t="s">
        <v>2958</v>
      </c>
      <c r="F176" t="s">
        <v>2958</v>
      </c>
      <c r="G176" t="s">
        <v>2958</v>
      </c>
    </row>
    <row r="177" spans="1:7">
      <c r="A177" t="s">
        <v>2955</v>
      </c>
      <c r="B177">
        <v>10</v>
      </c>
      <c r="C177" t="s">
        <v>107</v>
      </c>
      <c r="D177">
        <v>30</v>
      </c>
      <c r="E177" t="s">
        <v>2959</v>
      </c>
      <c r="F177" t="s">
        <v>2959</v>
      </c>
      <c r="G177" t="s">
        <v>2959</v>
      </c>
    </row>
    <row r="178" spans="1:7">
      <c r="A178" t="s">
        <v>2993</v>
      </c>
      <c r="B178">
        <v>5</v>
      </c>
      <c r="C178" t="s">
        <v>107</v>
      </c>
      <c r="D178">
        <v>16</v>
      </c>
      <c r="E178" t="s">
        <v>2998</v>
      </c>
      <c r="F178" t="s">
        <v>2998</v>
      </c>
      <c r="G178" t="s">
        <v>2998</v>
      </c>
    </row>
    <row r="179" spans="1:7">
      <c r="A179" t="s">
        <v>2995</v>
      </c>
      <c r="B179">
        <v>5</v>
      </c>
      <c r="C179" t="s">
        <v>107</v>
      </c>
      <c r="D179">
        <v>20</v>
      </c>
      <c r="E179" t="s">
        <v>2999</v>
      </c>
      <c r="F179" t="s">
        <v>2999</v>
      </c>
      <c r="G179" t="s">
        <v>2999</v>
      </c>
    </row>
    <row r="180" spans="1:7">
      <c r="A180" t="s">
        <v>2997</v>
      </c>
      <c r="B180">
        <v>5</v>
      </c>
      <c r="C180" t="s">
        <v>107</v>
      </c>
      <c r="D180">
        <v>12</v>
      </c>
      <c r="E180" t="s">
        <v>3000</v>
      </c>
      <c r="F180" t="s">
        <v>3000</v>
      </c>
      <c r="G180" t="s">
        <v>3000</v>
      </c>
    </row>
    <row r="181" spans="1:7">
      <c r="A181" t="s">
        <v>3020</v>
      </c>
      <c r="B181">
        <v>1</v>
      </c>
      <c r="C181" t="s">
        <v>139</v>
      </c>
      <c r="D181">
        <v>4</v>
      </c>
      <c r="E181" t="s">
        <v>3328</v>
      </c>
      <c r="F181" t="s">
        <v>3328</v>
      </c>
      <c r="G181" t="s">
        <v>3328</v>
      </c>
    </row>
    <row r="182" spans="1:7">
      <c r="A182" t="s">
        <v>500</v>
      </c>
      <c r="B182">
        <v>1</v>
      </c>
      <c r="D182">
        <v>1</v>
      </c>
      <c r="E182" t="s">
        <v>1567</v>
      </c>
      <c r="F182" t="s">
        <v>1567</v>
      </c>
      <c r="G182" t="s">
        <v>1567</v>
      </c>
    </row>
    <row r="183" spans="1:7">
      <c r="A183" t="s">
        <v>510</v>
      </c>
      <c r="B183">
        <v>1</v>
      </c>
      <c r="D183">
        <v>1</v>
      </c>
      <c r="E183" t="s">
        <v>1568</v>
      </c>
      <c r="F183" t="s">
        <v>1568</v>
      </c>
      <c r="G183" t="s">
        <v>1568</v>
      </c>
    </row>
    <row r="184" spans="1:7">
      <c r="A184" t="s">
        <v>525</v>
      </c>
      <c r="B184" t="s">
        <v>768</v>
      </c>
      <c r="C184" t="s">
        <v>107</v>
      </c>
      <c r="D184">
        <v>1</v>
      </c>
      <c r="E184" t="s">
        <v>353</v>
      </c>
      <c r="F184" t="s">
        <v>353</v>
      </c>
      <c r="G184" t="s">
        <v>353</v>
      </c>
    </row>
    <row r="185" spans="1:7">
      <c r="A185" t="s">
        <v>526</v>
      </c>
      <c r="B185" t="s">
        <v>764</v>
      </c>
      <c r="C185" t="s">
        <v>107</v>
      </c>
      <c r="D185">
        <v>10</v>
      </c>
      <c r="E185" t="s">
        <v>1765</v>
      </c>
      <c r="F185" t="s">
        <v>1765</v>
      </c>
      <c r="G185" t="s">
        <v>1765</v>
      </c>
    </row>
    <row r="186" spans="1:7">
      <c r="A186" t="s">
        <v>270</v>
      </c>
      <c r="B186" t="s">
        <v>765</v>
      </c>
      <c r="C186" t="s">
        <v>106</v>
      </c>
      <c r="D186">
        <v>3</v>
      </c>
      <c r="E186" t="s">
        <v>1766</v>
      </c>
      <c r="F186" t="s">
        <v>1766</v>
      </c>
      <c r="G186" t="s">
        <v>1766</v>
      </c>
    </row>
    <row r="187" spans="1:7">
      <c r="A187" t="s">
        <v>271</v>
      </c>
      <c r="B187" t="s">
        <v>769</v>
      </c>
      <c r="C187" t="s">
        <v>107</v>
      </c>
      <c r="D187">
        <v>75</v>
      </c>
      <c r="E187" t="s">
        <v>1767</v>
      </c>
      <c r="F187" t="s">
        <v>1767</v>
      </c>
      <c r="G187" t="s">
        <v>1767</v>
      </c>
    </row>
    <row r="188" spans="1:7">
      <c r="A188" t="s">
        <v>272</v>
      </c>
      <c r="B188" t="s">
        <v>770</v>
      </c>
      <c r="C188" t="s">
        <v>106</v>
      </c>
      <c r="D188">
        <v>150</v>
      </c>
      <c r="E188" t="s">
        <v>1768</v>
      </c>
      <c r="F188" t="s">
        <v>1768</v>
      </c>
      <c r="G188" t="s">
        <v>1768</v>
      </c>
    </row>
    <row r="189" spans="1:7">
      <c r="A189" t="s">
        <v>273</v>
      </c>
      <c r="B189" t="s">
        <v>765</v>
      </c>
      <c r="C189" t="s">
        <v>106</v>
      </c>
      <c r="D189">
        <v>30</v>
      </c>
      <c r="E189" t="s">
        <v>1769</v>
      </c>
      <c r="F189" t="s">
        <v>1769</v>
      </c>
      <c r="G189" t="s">
        <v>1769</v>
      </c>
    </row>
    <row r="190" spans="1:7">
      <c r="A190" t="s">
        <v>3002</v>
      </c>
      <c r="B190">
        <v>10</v>
      </c>
      <c r="C190" t="s">
        <v>107</v>
      </c>
      <c r="D190">
        <v>20</v>
      </c>
      <c r="E190" t="s">
        <v>3003</v>
      </c>
      <c r="F190" t="s">
        <v>3003</v>
      </c>
      <c r="G190" t="s">
        <v>3003</v>
      </c>
    </row>
    <row r="191" spans="1:7">
      <c r="A191" t="s">
        <v>669</v>
      </c>
      <c r="B191" t="s">
        <v>764</v>
      </c>
      <c r="C191" t="s">
        <v>107</v>
      </c>
      <c r="D191">
        <v>50</v>
      </c>
      <c r="E191" t="s">
        <v>1770</v>
      </c>
      <c r="F191" t="s">
        <v>1770</v>
      </c>
      <c r="G191" t="s">
        <v>1770</v>
      </c>
    </row>
    <row r="192" spans="1:7">
      <c r="A192" t="s">
        <v>670</v>
      </c>
      <c r="B192" t="s">
        <v>764</v>
      </c>
      <c r="C192" t="s">
        <v>107</v>
      </c>
      <c r="D192">
        <v>50</v>
      </c>
      <c r="E192" t="s">
        <v>1771</v>
      </c>
      <c r="F192" t="s">
        <v>1771</v>
      </c>
      <c r="G192" t="s">
        <v>1771</v>
      </c>
    </row>
    <row r="193" spans="1:7">
      <c r="A193" t="s">
        <v>274</v>
      </c>
      <c r="B193" t="s">
        <v>769</v>
      </c>
      <c r="C193" t="s">
        <v>107</v>
      </c>
      <c r="D193">
        <v>8</v>
      </c>
      <c r="E193" t="s">
        <v>1772</v>
      </c>
      <c r="F193" t="s">
        <v>1772</v>
      </c>
      <c r="G193" t="s">
        <v>1772</v>
      </c>
    </row>
    <row r="194" spans="1:7">
      <c r="A194" t="s">
        <v>671</v>
      </c>
      <c r="B194" t="s">
        <v>769</v>
      </c>
      <c r="C194" t="s">
        <v>107</v>
      </c>
      <c r="D194">
        <v>8</v>
      </c>
      <c r="E194" t="s">
        <v>1773</v>
      </c>
      <c r="F194" t="s">
        <v>1773</v>
      </c>
      <c r="G194" t="s">
        <v>1773</v>
      </c>
    </row>
    <row r="195" spans="1:7">
      <c r="A195" t="s">
        <v>275</v>
      </c>
      <c r="B195" t="s">
        <v>771</v>
      </c>
      <c r="C195" t="s">
        <v>107</v>
      </c>
      <c r="D195">
        <v>2</v>
      </c>
      <c r="E195" t="s">
        <v>1774</v>
      </c>
      <c r="F195" t="s">
        <v>1774</v>
      </c>
      <c r="G195" t="s">
        <v>1774</v>
      </c>
    </row>
    <row r="196" spans="1:7">
      <c r="A196" t="s">
        <v>672</v>
      </c>
      <c r="B196" t="s">
        <v>771</v>
      </c>
      <c r="C196" t="s">
        <v>107</v>
      </c>
      <c r="D196">
        <v>78</v>
      </c>
      <c r="E196" t="s">
        <v>1775</v>
      </c>
      <c r="F196" t="s">
        <v>1775</v>
      </c>
      <c r="G196" t="s">
        <v>1775</v>
      </c>
    </row>
    <row r="197" spans="1:7">
      <c r="A197" t="s">
        <v>212</v>
      </c>
      <c r="B197" t="s">
        <v>764</v>
      </c>
      <c r="C197" t="s">
        <v>107</v>
      </c>
      <c r="D197">
        <v>10</v>
      </c>
      <c r="E197" t="s">
        <v>1776</v>
      </c>
      <c r="F197" t="s">
        <v>1776</v>
      </c>
      <c r="G197" t="s">
        <v>1776</v>
      </c>
    </row>
    <row r="198" spans="1:7">
      <c r="A198" t="s">
        <v>213</v>
      </c>
      <c r="B198" t="s">
        <v>768</v>
      </c>
      <c r="C198" t="s">
        <v>107</v>
      </c>
      <c r="D198">
        <v>1</v>
      </c>
      <c r="E198" t="s">
        <v>1777</v>
      </c>
      <c r="F198" t="s">
        <v>1777</v>
      </c>
      <c r="G198" t="s">
        <v>1777</v>
      </c>
    </row>
    <row r="199" spans="1:7">
      <c r="A199" t="s">
        <v>214</v>
      </c>
      <c r="B199" t="s">
        <v>772</v>
      </c>
      <c r="C199" t="s">
        <v>210</v>
      </c>
      <c r="D199">
        <v>20</v>
      </c>
      <c r="E199" t="s">
        <v>1778</v>
      </c>
      <c r="F199" t="s">
        <v>1778</v>
      </c>
      <c r="G199" t="s">
        <v>1778</v>
      </c>
    </row>
    <row r="200" spans="1:7">
      <c r="A200" t="s">
        <v>3026</v>
      </c>
      <c r="B200">
        <v>10</v>
      </c>
      <c r="C200" t="s">
        <v>107</v>
      </c>
      <c r="D200">
        <v>8</v>
      </c>
      <c r="E200" t="s">
        <v>3300</v>
      </c>
      <c r="F200" t="s">
        <v>3300</v>
      </c>
      <c r="G200" t="s">
        <v>3300</v>
      </c>
    </row>
    <row r="201" spans="1:7">
      <c r="A201" t="s">
        <v>673</v>
      </c>
      <c r="B201" t="s">
        <v>765</v>
      </c>
      <c r="C201" t="s">
        <v>106</v>
      </c>
      <c r="D201">
        <v>0</v>
      </c>
      <c r="E201" t="s">
        <v>1779</v>
      </c>
      <c r="F201" t="s">
        <v>1779</v>
      </c>
      <c r="G201" t="s">
        <v>1779</v>
      </c>
    </row>
    <row r="202" spans="1:7">
      <c r="A202" t="s">
        <v>215</v>
      </c>
      <c r="B202" t="s">
        <v>764</v>
      </c>
      <c r="C202" t="s">
        <v>107</v>
      </c>
      <c r="D202">
        <v>30</v>
      </c>
      <c r="E202" t="s">
        <v>1780</v>
      </c>
      <c r="F202" t="s">
        <v>1780</v>
      </c>
      <c r="G202" t="s">
        <v>1780</v>
      </c>
    </row>
    <row r="203" spans="1:7">
      <c r="A203" t="s">
        <v>216</v>
      </c>
      <c r="B203" t="s">
        <v>764</v>
      </c>
      <c r="C203" t="s">
        <v>107</v>
      </c>
      <c r="D203">
        <v>30</v>
      </c>
      <c r="E203" t="s">
        <v>1781</v>
      </c>
      <c r="F203" t="s">
        <v>1781</v>
      </c>
      <c r="G203" t="s">
        <v>1781</v>
      </c>
    </row>
    <row r="204" spans="1:7">
      <c r="A204" t="s">
        <v>217</v>
      </c>
      <c r="B204" t="s">
        <v>764</v>
      </c>
      <c r="C204" t="s">
        <v>107</v>
      </c>
      <c r="D204">
        <v>30</v>
      </c>
      <c r="E204" t="s">
        <v>1782</v>
      </c>
      <c r="F204" t="s">
        <v>1782</v>
      </c>
      <c r="G204" t="s">
        <v>1782</v>
      </c>
    </row>
    <row r="205" spans="1:7">
      <c r="A205" t="s">
        <v>218</v>
      </c>
      <c r="B205" t="s">
        <v>764</v>
      </c>
      <c r="C205" t="s">
        <v>107</v>
      </c>
      <c r="D205">
        <v>10</v>
      </c>
      <c r="E205" t="s">
        <v>1783</v>
      </c>
      <c r="F205" t="s">
        <v>1783</v>
      </c>
      <c r="G205" t="s">
        <v>1783</v>
      </c>
    </row>
    <row r="206" spans="1:7">
      <c r="A206" t="s">
        <v>219</v>
      </c>
      <c r="B206" t="s">
        <v>764</v>
      </c>
      <c r="C206" t="s">
        <v>107</v>
      </c>
      <c r="D206">
        <v>150</v>
      </c>
      <c r="E206" t="s">
        <v>1784</v>
      </c>
      <c r="F206" t="s">
        <v>1784</v>
      </c>
      <c r="G206" t="s">
        <v>1784</v>
      </c>
    </row>
    <row r="207" spans="1:7">
      <c r="A207" t="s">
        <v>220</v>
      </c>
      <c r="B207" t="s">
        <v>765</v>
      </c>
      <c r="C207" t="s">
        <v>139</v>
      </c>
      <c r="D207">
        <v>6</v>
      </c>
      <c r="E207" t="s">
        <v>1785</v>
      </c>
      <c r="F207" t="s">
        <v>1785</v>
      </c>
      <c r="G207" t="s">
        <v>1785</v>
      </c>
    </row>
    <row r="208" spans="1:7">
      <c r="A208" t="s">
        <v>221</v>
      </c>
      <c r="B208" t="s">
        <v>764</v>
      </c>
      <c r="C208" t="s">
        <v>107</v>
      </c>
      <c r="D208">
        <v>8</v>
      </c>
      <c r="E208" t="s">
        <v>1786</v>
      </c>
      <c r="F208" t="s">
        <v>1786</v>
      </c>
      <c r="G208" t="s">
        <v>1786</v>
      </c>
    </row>
    <row r="209" spans="1:7">
      <c r="A209" t="s">
        <v>222</v>
      </c>
      <c r="B209" t="s">
        <v>765</v>
      </c>
      <c r="C209" t="s">
        <v>108</v>
      </c>
      <c r="D209">
        <v>6</v>
      </c>
      <c r="E209" t="s">
        <v>1787</v>
      </c>
      <c r="F209" t="s">
        <v>1787</v>
      </c>
      <c r="G209" t="s">
        <v>1787</v>
      </c>
    </row>
    <row r="210" spans="1:7">
      <c r="A210" t="s">
        <v>674</v>
      </c>
      <c r="B210" t="s">
        <v>768</v>
      </c>
      <c r="C210" t="s">
        <v>107</v>
      </c>
      <c r="D210">
        <v>0</v>
      </c>
      <c r="E210" t="s">
        <v>1788</v>
      </c>
      <c r="F210" t="s">
        <v>1788</v>
      </c>
      <c r="G210" t="s">
        <v>1788</v>
      </c>
    </row>
    <row r="211" spans="1:7">
      <c r="A211" t="s">
        <v>675</v>
      </c>
      <c r="B211" t="s">
        <v>765</v>
      </c>
      <c r="C211" t="s">
        <v>106</v>
      </c>
      <c r="D211">
        <v>30</v>
      </c>
      <c r="E211" t="s">
        <v>1789</v>
      </c>
      <c r="F211" t="s">
        <v>1789</v>
      </c>
      <c r="G211" t="s">
        <v>1789</v>
      </c>
    </row>
    <row r="212" spans="1:7">
      <c r="A212" t="s">
        <v>676</v>
      </c>
      <c r="B212" t="s">
        <v>764</v>
      </c>
      <c r="C212" t="s">
        <v>107</v>
      </c>
      <c r="D212">
        <v>20</v>
      </c>
      <c r="E212" t="s">
        <v>1790</v>
      </c>
      <c r="F212" t="s">
        <v>1790</v>
      </c>
      <c r="G212" t="s">
        <v>1790</v>
      </c>
    </row>
    <row r="213" spans="1:7">
      <c r="A213" t="s">
        <v>677</v>
      </c>
      <c r="B213" t="s">
        <v>764</v>
      </c>
      <c r="C213" t="s">
        <v>107</v>
      </c>
      <c r="D213">
        <v>20</v>
      </c>
      <c r="E213" t="s">
        <v>1791</v>
      </c>
      <c r="F213" t="s">
        <v>1791</v>
      </c>
      <c r="G213" t="s">
        <v>1791</v>
      </c>
    </row>
    <row r="214" spans="1:7">
      <c r="A214" t="s">
        <v>678</v>
      </c>
      <c r="B214" t="s">
        <v>764</v>
      </c>
      <c r="C214" t="s">
        <v>107</v>
      </c>
      <c r="D214">
        <v>20</v>
      </c>
      <c r="E214" t="s">
        <v>1792</v>
      </c>
      <c r="F214" t="s">
        <v>1792</v>
      </c>
      <c r="G214" t="s">
        <v>1792</v>
      </c>
    </row>
    <row r="215" spans="1:7">
      <c r="A215" t="s">
        <v>223</v>
      </c>
      <c r="B215" t="s">
        <v>769</v>
      </c>
      <c r="C215" t="s">
        <v>107</v>
      </c>
      <c r="D215">
        <v>1</v>
      </c>
      <c r="E215" t="s">
        <v>1793</v>
      </c>
      <c r="F215" t="s">
        <v>1793</v>
      </c>
      <c r="G215" t="s">
        <v>1793</v>
      </c>
    </row>
    <row r="216" spans="1:7">
      <c r="A216" t="s">
        <v>679</v>
      </c>
      <c r="B216" t="s">
        <v>765</v>
      </c>
      <c r="C216" t="s">
        <v>139</v>
      </c>
      <c r="D216">
        <v>6</v>
      </c>
      <c r="E216" t="s">
        <v>1794</v>
      </c>
      <c r="F216" t="s">
        <v>1794</v>
      </c>
      <c r="G216" t="s">
        <v>1794</v>
      </c>
    </row>
    <row r="217" spans="1:7">
      <c r="A217" t="s">
        <v>224</v>
      </c>
      <c r="B217" t="s">
        <v>768</v>
      </c>
      <c r="C217" t="s">
        <v>107</v>
      </c>
      <c r="D217">
        <v>0</v>
      </c>
      <c r="E217" t="s">
        <v>1795</v>
      </c>
      <c r="F217" t="s">
        <v>1795</v>
      </c>
      <c r="G217" t="s">
        <v>1795</v>
      </c>
    </row>
    <row r="218" spans="1:7">
      <c r="A218" t="s">
        <v>680</v>
      </c>
      <c r="B218" t="s">
        <v>765</v>
      </c>
      <c r="C218" t="s">
        <v>106</v>
      </c>
      <c r="D218">
        <v>10</v>
      </c>
      <c r="E218" t="s">
        <v>1796</v>
      </c>
      <c r="F218" t="s">
        <v>1796</v>
      </c>
      <c r="G218" t="s">
        <v>1796</v>
      </c>
    </row>
    <row r="219" spans="1:7">
      <c r="A219" t="s">
        <v>681</v>
      </c>
      <c r="B219" t="s">
        <v>765</v>
      </c>
      <c r="C219" t="s">
        <v>106</v>
      </c>
      <c r="D219">
        <v>30</v>
      </c>
      <c r="E219" t="s">
        <v>1797</v>
      </c>
      <c r="F219" t="s">
        <v>1797</v>
      </c>
      <c r="G219" t="s">
        <v>1797</v>
      </c>
    </row>
    <row r="220" spans="1:7">
      <c r="A220" t="s">
        <v>682</v>
      </c>
      <c r="B220" t="s">
        <v>765</v>
      </c>
      <c r="C220" t="s">
        <v>139</v>
      </c>
      <c r="D220">
        <v>20</v>
      </c>
      <c r="E220" t="s">
        <v>1798</v>
      </c>
      <c r="F220" t="s">
        <v>1798</v>
      </c>
      <c r="G220" t="s">
        <v>1798</v>
      </c>
    </row>
    <row r="221" spans="1:7">
      <c r="A221" t="s">
        <v>683</v>
      </c>
      <c r="B221" t="s">
        <v>770</v>
      </c>
      <c r="C221" t="s">
        <v>106</v>
      </c>
      <c r="D221">
        <v>30</v>
      </c>
      <c r="E221" t="s">
        <v>1799</v>
      </c>
      <c r="F221" t="s">
        <v>1799</v>
      </c>
      <c r="G221" t="s">
        <v>1799</v>
      </c>
    </row>
    <row r="222" spans="1:7">
      <c r="A222" t="s">
        <v>684</v>
      </c>
      <c r="B222" t="s">
        <v>765</v>
      </c>
      <c r="C222" t="s">
        <v>106</v>
      </c>
      <c r="D222">
        <v>4</v>
      </c>
      <c r="E222" t="s">
        <v>1800</v>
      </c>
      <c r="F222" t="s">
        <v>1800</v>
      </c>
      <c r="G222" t="s">
        <v>1800</v>
      </c>
    </row>
    <row r="223" spans="1:7">
      <c r="A223" t="s">
        <v>225</v>
      </c>
      <c r="B223" t="s">
        <v>773</v>
      </c>
      <c r="C223" t="s">
        <v>107</v>
      </c>
      <c r="D223">
        <v>20</v>
      </c>
      <c r="E223" t="s">
        <v>1801</v>
      </c>
      <c r="F223" t="s">
        <v>1801</v>
      </c>
      <c r="G223" t="s">
        <v>1801</v>
      </c>
    </row>
    <row r="224" spans="1:7">
      <c r="A224" t="s">
        <v>226</v>
      </c>
      <c r="B224" t="s">
        <v>765</v>
      </c>
      <c r="C224" t="s">
        <v>108</v>
      </c>
      <c r="D224">
        <v>3</v>
      </c>
      <c r="E224" t="s">
        <v>1802</v>
      </c>
      <c r="F224" t="s">
        <v>1802</v>
      </c>
      <c r="G224" t="s">
        <v>1802</v>
      </c>
    </row>
    <row r="225" spans="1:7">
      <c r="A225" t="s">
        <v>227</v>
      </c>
      <c r="B225" t="s">
        <v>773</v>
      </c>
      <c r="C225" t="s">
        <v>107</v>
      </c>
      <c r="D225">
        <v>140</v>
      </c>
      <c r="E225" t="s">
        <v>1803</v>
      </c>
      <c r="F225" t="s">
        <v>1803</v>
      </c>
      <c r="G225" t="s">
        <v>1803</v>
      </c>
    </row>
    <row r="226" spans="1:7">
      <c r="A226" t="s">
        <v>228</v>
      </c>
      <c r="B226" t="s">
        <v>773</v>
      </c>
      <c r="C226" t="s">
        <v>107</v>
      </c>
      <c r="D226">
        <v>80</v>
      </c>
      <c r="E226" t="s">
        <v>1804</v>
      </c>
      <c r="F226" t="s">
        <v>1804</v>
      </c>
      <c r="G226" t="s">
        <v>1804</v>
      </c>
    </row>
    <row r="227" spans="1:7">
      <c r="A227" t="s">
        <v>229</v>
      </c>
      <c r="B227" t="s">
        <v>773</v>
      </c>
      <c r="C227" t="s">
        <v>107</v>
      </c>
      <c r="D227">
        <v>80</v>
      </c>
      <c r="E227" t="s">
        <v>1805</v>
      </c>
      <c r="F227" t="s">
        <v>1805</v>
      </c>
      <c r="G227" t="s">
        <v>1805</v>
      </c>
    </row>
    <row r="228" spans="1:7">
      <c r="A228" t="s">
        <v>230</v>
      </c>
      <c r="B228" t="s">
        <v>773</v>
      </c>
      <c r="C228" t="s">
        <v>107</v>
      </c>
      <c r="D228">
        <v>80</v>
      </c>
      <c r="E228" t="s">
        <v>1806</v>
      </c>
      <c r="F228" t="s">
        <v>1806</v>
      </c>
      <c r="G228" t="s">
        <v>1806</v>
      </c>
    </row>
    <row r="229" spans="1:7">
      <c r="A229" t="s">
        <v>231</v>
      </c>
      <c r="B229" t="s">
        <v>773</v>
      </c>
      <c r="C229" t="s">
        <v>107</v>
      </c>
      <c r="D229">
        <v>80</v>
      </c>
      <c r="E229" t="s">
        <v>1807</v>
      </c>
      <c r="F229" t="s">
        <v>1807</v>
      </c>
      <c r="G229" t="s">
        <v>1807</v>
      </c>
    </row>
    <row r="230" spans="1:7">
      <c r="A230" t="s">
        <v>232</v>
      </c>
      <c r="B230" t="s">
        <v>773</v>
      </c>
      <c r="C230" t="s">
        <v>107</v>
      </c>
      <c r="D230">
        <v>80</v>
      </c>
      <c r="E230" t="s">
        <v>1808</v>
      </c>
      <c r="F230" t="s">
        <v>1808</v>
      </c>
      <c r="G230" t="s">
        <v>1808</v>
      </c>
    </row>
    <row r="231" spans="1:7">
      <c r="A231" t="s">
        <v>233</v>
      </c>
      <c r="B231" t="s">
        <v>773</v>
      </c>
      <c r="C231" t="s">
        <v>107</v>
      </c>
      <c r="D231">
        <v>80</v>
      </c>
      <c r="E231" t="s">
        <v>1809</v>
      </c>
      <c r="F231" t="s">
        <v>1809</v>
      </c>
      <c r="G231" t="s">
        <v>1809</v>
      </c>
    </row>
    <row r="232" spans="1:7">
      <c r="A232" t="s">
        <v>234</v>
      </c>
      <c r="B232" t="s">
        <v>773</v>
      </c>
      <c r="C232" t="s">
        <v>107</v>
      </c>
      <c r="D232">
        <v>80</v>
      </c>
      <c r="E232" t="s">
        <v>1810</v>
      </c>
      <c r="F232" t="s">
        <v>1810</v>
      </c>
      <c r="G232" t="s">
        <v>1810</v>
      </c>
    </row>
    <row r="233" spans="1:7">
      <c r="A233" t="s">
        <v>235</v>
      </c>
      <c r="B233" t="s">
        <v>773</v>
      </c>
      <c r="C233" t="s">
        <v>107</v>
      </c>
      <c r="D233">
        <v>80</v>
      </c>
      <c r="E233" t="s">
        <v>1811</v>
      </c>
      <c r="F233" t="s">
        <v>1811</v>
      </c>
      <c r="G233" t="s">
        <v>1811</v>
      </c>
    </row>
    <row r="234" spans="1:7">
      <c r="A234" t="s">
        <v>236</v>
      </c>
      <c r="B234" t="s">
        <v>773</v>
      </c>
      <c r="C234" t="s">
        <v>107</v>
      </c>
      <c r="D234">
        <v>80</v>
      </c>
      <c r="E234" t="s">
        <v>1812</v>
      </c>
      <c r="F234" t="s">
        <v>1812</v>
      </c>
      <c r="G234" t="s">
        <v>1812</v>
      </c>
    </row>
    <row r="235" spans="1:7">
      <c r="A235" t="s">
        <v>685</v>
      </c>
      <c r="B235" t="s">
        <v>773</v>
      </c>
      <c r="C235" t="s">
        <v>107</v>
      </c>
      <c r="D235">
        <v>80</v>
      </c>
      <c r="E235" t="s">
        <v>1813</v>
      </c>
      <c r="F235" t="s">
        <v>1813</v>
      </c>
      <c r="G235" t="s">
        <v>1813</v>
      </c>
    </row>
    <row r="236" spans="1:7">
      <c r="A236" t="s">
        <v>527</v>
      </c>
      <c r="B236" t="s">
        <v>773</v>
      </c>
      <c r="C236" t="s">
        <v>107</v>
      </c>
      <c r="D236">
        <v>50</v>
      </c>
      <c r="E236" t="s">
        <v>1814</v>
      </c>
      <c r="F236" t="s">
        <v>1814</v>
      </c>
      <c r="G236" t="s">
        <v>1814</v>
      </c>
    </row>
    <row r="237" spans="1:7">
      <c r="A237" t="s">
        <v>528</v>
      </c>
      <c r="B237" t="s">
        <v>773</v>
      </c>
      <c r="C237" t="s">
        <v>107</v>
      </c>
      <c r="D237">
        <v>50</v>
      </c>
      <c r="E237" t="s">
        <v>1815</v>
      </c>
      <c r="F237" t="s">
        <v>1815</v>
      </c>
      <c r="G237" t="s">
        <v>1815</v>
      </c>
    </row>
    <row r="238" spans="1:7">
      <c r="A238" t="s">
        <v>529</v>
      </c>
      <c r="B238" t="s">
        <v>764</v>
      </c>
      <c r="C238" t="s">
        <v>107</v>
      </c>
      <c r="D238">
        <v>176</v>
      </c>
      <c r="E238" t="s">
        <v>1816</v>
      </c>
      <c r="F238" t="s">
        <v>1816</v>
      </c>
      <c r="G238" t="s">
        <v>1816</v>
      </c>
    </row>
    <row r="239" spans="1:7">
      <c r="A239" t="s">
        <v>530</v>
      </c>
      <c r="B239" t="s">
        <v>764</v>
      </c>
      <c r="C239" t="s">
        <v>107</v>
      </c>
      <c r="D239">
        <v>2</v>
      </c>
      <c r="E239" t="s">
        <v>1817</v>
      </c>
      <c r="F239" t="s">
        <v>1817</v>
      </c>
      <c r="G239" t="s">
        <v>1817</v>
      </c>
    </row>
    <row r="240" spans="1:7">
      <c r="A240" t="s">
        <v>237</v>
      </c>
      <c r="B240" t="s">
        <v>773</v>
      </c>
      <c r="C240" t="s">
        <v>107</v>
      </c>
      <c r="D240">
        <v>28</v>
      </c>
      <c r="E240" t="s">
        <v>1818</v>
      </c>
      <c r="F240" t="s">
        <v>1818</v>
      </c>
      <c r="G240" t="s">
        <v>1818</v>
      </c>
    </row>
    <row r="241" spans="1:7">
      <c r="A241" t="s">
        <v>686</v>
      </c>
      <c r="B241" t="s">
        <v>773</v>
      </c>
      <c r="C241" t="s">
        <v>107</v>
      </c>
      <c r="D241">
        <v>28</v>
      </c>
      <c r="E241" t="s">
        <v>1819</v>
      </c>
      <c r="F241" t="s">
        <v>1819</v>
      </c>
      <c r="G241" t="s">
        <v>1819</v>
      </c>
    </row>
    <row r="242" spans="1:7">
      <c r="A242" t="s">
        <v>238</v>
      </c>
      <c r="B242" t="s">
        <v>765</v>
      </c>
      <c r="C242" t="s">
        <v>108</v>
      </c>
      <c r="D242">
        <v>1</v>
      </c>
      <c r="E242" t="s">
        <v>1820</v>
      </c>
      <c r="F242" t="s">
        <v>1820</v>
      </c>
      <c r="G242" t="s">
        <v>1820</v>
      </c>
    </row>
    <row r="243" spans="1:7">
      <c r="A243" t="s">
        <v>239</v>
      </c>
      <c r="B243" t="s">
        <v>765</v>
      </c>
      <c r="C243" t="s">
        <v>108</v>
      </c>
      <c r="D243">
        <v>3</v>
      </c>
      <c r="E243" t="s">
        <v>1821</v>
      </c>
      <c r="F243" t="s">
        <v>1821</v>
      </c>
      <c r="G243" t="s">
        <v>1821</v>
      </c>
    </row>
    <row r="244" spans="1:7">
      <c r="A244" t="s">
        <v>687</v>
      </c>
      <c r="B244" t="s">
        <v>765</v>
      </c>
      <c r="C244" t="s">
        <v>108</v>
      </c>
      <c r="D244">
        <v>3</v>
      </c>
      <c r="E244" t="s">
        <v>1822</v>
      </c>
      <c r="F244" t="s">
        <v>1822</v>
      </c>
      <c r="G244" t="s">
        <v>1822</v>
      </c>
    </row>
    <row r="245" spans="1:7">
      <c r="A245" t="s">
        <v>688</v>
      </c>
      <c r="B245" t="s">
        <v>773</v>
      </c>
      <c r="C245" t="s">
        <v>107</v>
      </c>
      <c r="D245">
        <v>50</v>
      </c>
      <c r="E245" t="s">
        <v>1823</v>
      </c>
      <c r="F245" t="s">
        <v>1823</v>
      </c>
      <c r="G245" t="s">
        <v>1823</v>
      </c>
    </row>
    <row r="246" spans="1:7">
      <c r="A246" t="s">
        <v>689</v>
      </c>
      <c r="B246" t="s">
        <v>773</v>
      </c>
      <c r="C246" t="s">
        <v>107</v>
      </c>
      <c r="D246">
        <v>50</v>
      </c>
      <c r="E246" t="s">
        <v>1824</v>
      </c>
      <c r="F246" t="s">
        <v>1824</v>
      </c>
      <c r="G246" t="s">
        <v>1824</v>
      </c>
    </row>
    <row r="247" spans="1:7">
      <c r="A247" t="s">
        <v>690</v>
      </c>
      <c r="B247" t="s">
        <v>764</v>
      </c>
      <c r="C247" t="s">
        <v>107</v>
      </c>
      <c r="D247">
        <v>25</v>
      </c>
      <c r="E247" t="s">
        <v>1825</v>
      </c>
      <c r="F247" t="s">
        <v>1825</v>
      </c>
      <c r="G247" t="s">
        <v>1825</v>
      </c>
    </row>
    <row r="248" spans="1:7">
      <c r="A248" t="s">
        <v>691</v>
      </c>
      <c r="B248" t="s">
        <v>764</v>
      </c>
      <c r="C248" t="s">
        <v>107</v>
      </c>
      <c r="D248">
        <v>25</v>
      </c>
      <c r="E248" t="s">
        <v>1826</v>
      </c>
      <c r="F248" t="s">
        <v>1826</v>
      </c>
      <c r="G248" t="s">
        <v>1826</v>
      </c>
    </row>
    <row r="249" spans="1:7">
      <c r="A249" t="s">
        <v>692</v>
      </c>
      <c r="B249" t="s">
        <v>765</v>
      </c>
      <c r="C249" t="s">
        <v>108</v>
      </c>
      <c r="D249">
        <v>2</v>
      </c>
      <c r="E249" t="s">
        <v>1827</v>
      </c>
      <c r="F249" t="s">
        <v>1827</v>
      </c>
      <c r="G249" t="s">
        <v>1827</v>
      </c>
    </row>
    <row r="250" spans="1:7">
      <c r="A250" t="s">
        <v>693</v>
      </c>
      <c r="B250" t="s">
        <v>764</v>
      </c>
      <c r="C250" t="s">
        <v>107</v>
      </c>
      <c r="D250">
        <v>25</v>
      </c>
      <c r="E250" t="s">
        <v>1828</v>
      </c>
      <c r="F250" t="s">
        <v>1828</v>
      </c>
      <c r="G250" t="s">
        <v>1828</v>
      </c>
    </row>
    <row r="251" spans="1:7">
      <c r="A251" t="s">
        <v>694</v>
      </c>
      <c r="B251" t="s">
        <v>764</v>
      </c>
      <c r="C251" t="s">
        <v>107</v>
      </c>
      <c r="D251">
        <v>25</v>
      </c>
      <c r="E251" t="s">
        <v>1829</v>
      </c>
      <c r="F251" t="s">
        <v>1829</v>
      </c>
      <c r="G251" t="s">
        <v>1829</v>
      </c>
    </row>
    <row r="252" spans="1:7">
      <c r="A252" t="s">
        <v>695</v>
      </c>
      <c r="B252" t="s">
        <v>765</v>
      </c>
      <c r="C252" t="s">
        <v>108</v>
      </c>
      <c r="D252">
        <v>3</v>
      </c>
      <c r="E252" t="s">
        <v>1830</v>
      </c>
      <c r="F252" t="s">
        <v>1830</v>
      </c>
      <c r="G252" t="s">
        <v>1830</v>
      </c>
    </row>
    <row r="253" spans="1:7">
      <c r="A253" t="s">
        <v>696</v>
      </c>
      <c r="B253" t="s">
        <v>765</v>
      </c>
      <c r="C253" t="s">
        <v>108</v>
      </c>
      <c r="D253">
        <v>1</v>
      </c>
      <c r="E253" t="s">
        <v>1831</v>
      </c>
      <c r="F253" t="s">
        <v>1831</v>
      </c>
      <c r="G253" t="s">
        <v>1831</v>
      </c>
    </row>
    <row r="254" spans="1:7">
      <c r="A254" t="s">
        <v>697</v>
      </c>
      <c r="B254" t="s">
        <v>773</v>
      </c>
      <c r="C254" t="s">
        <v>107</v>
      </c>
      <c r="D254">
        <v>100</v>
      </c>
      <c r="E254" t="s">
        <v>1832</v>
      </c>
      <c r="F254" t="s">
        <v>1832</v>
      </c>
      <c r="G254" t="s">
        <v>1832</v>
      </c>
    </row>
    <row r="255" spans="1:7">
      <c r="A255" t="s">
        <v>698</v>
      </c>
      <c r="B255" t="s">
        <v>773</v>
      </c>
      <c r="C255" t="s">
        <v>107</v>
      </c>
      <c r="D255">
        <v>100</v>
      </c>
      <c r="E255" t="s">
        <v>1833</v>
      </c>
      <c r="F255" t="s">
        <v>1833</v>
      </c>
      <c r="G255" t="s">
        <v>1833</v>
      </c>
    </row>
    <row r="256" spans="1:7">
      <c r="A256" t="s">
        <v>699</v>
      </c>
      <c r="B256" t="s">
        <v>765</v>
      </c>
      <c r="C256" t="s">
        <v>106</v>
      </c>
      <c r="D256">
        <v>25</v>
      </c>
      <c r="E256" t="s">
        <v>1834</v>
      </c>
      <c r="F256" t="s">
        <v>1834</v>
      </c>
      <c r="G256" t="s">
        <v>1834</v>
      </c>
    </row>
    <row r="257" spans="1:7">
      <c r="A257" t="s">
        <v>700</v>
      </c>
      <c r="B257" t="s">
        <v>765</v>
      </c>
      <c r="C257" t="s">
        <v>106</v>
      </c>
      <c r="D257">
        <v>5</v>
      </c>
      <c r="E257" t="s">
        <v>1835</v>
      </c>
      <c r="F257" t="s">
        <v>1835</v>
      </c>
      <c r="G257" t="s">
        <v>1835</v>
      </c>
    </row>
    <row r="258" spans="1:7">
      <c r="A258" t="s">
        <v>701</v>
      </c>
      <c r="B258" t="s">
        <v>765</v>
      </c>
      <c r="C258" t="s">
        <v>106</v>
      </c>
      <c r="D258">
        <v>25</v>
      </c>
      <c r="E258" t="s">
        <v>1836</v>
      </c>
      <c r="F258" t="s">
        <v>1836</v>
      </c>
      <c r="G258" t="s">
        <v>1836</v>
      </c>
    </row>
    <row r="259" spans="1:7">
      <c r="A259" t="s">
        <v>240</v>
      </c>
      <c r="B259" t="s">
        <v>764</v>
      </c>
      <c r="C259" t="s">
        <v>107</v>
      </c>
      <c r="D259">
        <v>10</v>
      </c>
      <c r="E259" t="s">
        <v>1837</v>
      </c>
      <c r="F259" t="s">
        <v>1837</v>
      </c>
      <c r="G259" t="s">
        <v>1837</v>
      </c>
    </row>
    <row r="260" spans="1:7">
      <c r="A260" t="s">
        <v>241</v>
      </c>
      <c r="B260" t="s">
        <v>765</v>
      </c>
      <c r="C260" t="s">
        <v>106</v>
      </c>
      <c r="D260">
        <v>180</v>
      </c>
      <c r="E260" t="s">
        <v>1838</v>
      </c>
      <c r="F260" t="s">
        <v>1838</v>
      </c>
      <c r="G260" t="s">
        <v>1838</v>
      </c>
    </row>
    <row r="261" spans="1:7">
      <c r="A261" t="s">
        <v>242</v>
      </c>
      <c r="B261" t="s">
        <v>765</v>
      </c>
      <c r="C261" t="s">
        <v>106</v>
      </c>
      <c r="D261">
        <v>30</v>
      </c>
      <c r="E261" t="s">
        <v>1839</v>
      </c>
      <c r="F261" t="s">
        <v>1839</v>
      </c>
      <c r="G261" t="s">
        <v>1839</v>
      </c>
    </row>
    <row r="262" spans="1:7">
      <c r="A262" t="s">
        <v>243</v>
      </c>
      <c r="B262" t="s">
        <v>765</v>
      </c>
      <c r="C262" t="s">
        <v>106</v>
      </c>
      <c r="D262">
        <v>30</v>
      </c>
      <c r="E262" t="s">
        <v>1840</v>
      </c>
      <c r="F262" t="s">
        <v>1840</v>
      </c>
      <c r="G262" t="s">
        <v>1840</v>
      </c>
    </row>
    <row r="263" spans="1:7">
      <c r="A263" t="s">
        <v>531</v>
      </c>
      <c r="B263" t="s">
        <v>764</v>
      </c>
      <c r="C263" t="s">
        <v>106</v>
      </c>
      <c r="D263">
        <v>60</v>
      </c>
      <c r="E263" t="s">
        <v>1841</v>
      </c>
      <c r="F263" t="s">
        <v>1841</v>
      </c>
      <c r="G263" t="s">
        <v>1841</v>
      </c>
    </row>
    <row r="264" spans="1:7">
      <c r="A264" t="s">
        <v>532</v>
      </c>
      <c r="B264" t="s">
        <v>764</v>
      </c>
      <c r="C264" t="s">
        <v>106</v>
      </c>
      <c r="D264">
        <v>0</v>
      </c>
      <c r="E264" t="s">
        <v>1842</v>
      </c>
      <c r="F264" t="s">
        <v>1842</v>
      </c>
      <c r="G264" t="s">
        <v>1842</v>
      </c>
    </row>
    <row r="265" spans="1:7">
      <c r="A265" t="s">
        <v>533</v>
      </c>
      <c r="B265" t="s">
        <v>774</v>
      </c>
      <c r="C265" t="s">
        <v>107</v>
      </c>
      <c r="D265">
        <v>14</v>
      </c>
      <c r="E265" t="s">
        <v>1843</v>
      </c>
      <c r="F265" t="s">
        <v>1843</v>
      </c>
      <c r="G265" t="s">
        <v>1843</v>
      </c>
    </row>
    <row r="266" spans="1:7">
      <c r="A266" t="s">
        <v>534</v>
      </c>
      <c r="B266" t="s">
        <v>774</v>
      </c>
      <c r="C266" t="s">
        <v>107</v>
      </c>
      <c r="D266">
        <v>34</v>
      </c>
      <c r="E266" t="s">
        <v>1844</v>
      </c>
      <c r="F266" t="s">
        <v>1844</v>
      </c>
      <c r="G266" t="s">
        <v>1844</v>
      </c>
    </row>
    <row r="267" spans="1:7">
      <c r="A267" t="s">
        <v>249</v>
      </c>
      <c r="B267" t="s">
        <v>765</v>
      </c>
      <c r="C267" t="s">
        <v>106</v>
      </c>
      <c r="D267">
        <v>15</v>
      </c>
      <c r="E267" t="s">
        <v>1845</v>
      </c>
      <c r="F267" t="s">
        <v>1845</v>
      </c>
      <c r="G267" t="s">
        <v>1845</v>
      </c>
    </row>
    <row r="268" spans="1:7">
      <c r="A268" t="s">
        <v>250</v>
      </c>
      <c r="B268" t="s">
        <v>764</v>
      </c>
      <c r="C268" t="s">
        <v>106</v>
      </c>
      <c r="D268">
        <v>60</v>
      </c>
      <c r="E268" t="s">
        <v>1846</v>
      </c>
      <c r="F268" t="s">
        <v>1846</v>
      </c>
      <c r="G268" t="s">
        <v>1846</v>
      </c>
    </row>
    <row r="269" spans="1:7">
      <c r="A269" t="s">
        <v>251</v>
      </c>
      <c r="B269" t="s">
        <v>764</v>
      </c>
      <c r="C269" t="s">
        <v>106</v>
      </c>
      <c r="D269">
        <v>120</v>
      </c>
      <c r="E269" t="s">
        <v>1847</v>
      </c>
      <c r="F269" t="s">
        <v>1847</v>
      </c>
      <c r="G269" t="s">
        <v>1847</v>
      </c>
    </row>
    <row r="270" spans="1:7">
      <c r="A270" t="s">
        <v>252</v>
      </c>
      <c r="B270" t="s">
        <v>775</v>
      </c>
      <c r="C270" t="s">
        <v>211</v>
      </c>
      <c r="D270">
        <v>8</v>
      </c>
      <c r="E270" t="s">
        <v>1848</v>
      </c>
      <c r="F270" t="s">
        <v>1848</v>
      </c>
      <c r="G270" t="s">
        <v>1848</v>
      </c>
    </row>
    <row r="271" spans="1:7">
      <c r="A271" t="s">
        <v>535</v>
      </c>
      <c r="B271" t="s">
        <v>765</v>
      </c>
      <c r="C271" t="s">
        <v>139</v>
      </c>
      <c r="D271">
        <v>15</v>
      </c>
      <c r="E271" t="s">
        <v>1849</v>
      </c>
      <c r="F271" t="s">
        <v>1849</v>
      </c>
      <c r="G271" t="s">
        <v>1849</v>
      </c>
    </row>
    <row r="272" spans="1:7">
      <c r="A272" t="s">
        <v>3028</v>
      </c>
      <c r="B272">
        <v>2</v>
      </c>
      <c r="C272" t="s">
        <v>106</v>
      </c>
      <c r="D272">
        <v>30</v>
      </c>
      <c r="E272" t="s">
        <v>3301</v>
      </c>
      <c r="F272" t="s">
        <v>3301</v>
      </c>
      <c r="G272" t="s">
        <v>3301</v>
      </c>
    </row>
    <row r="273" spans="1:7">
      <c r="A273" t="s">
        <v>536</v>
      </c>
      <c r="B273" t="s">
        <v>772</v>
      </c>
      <c r="C273" t="s">
        <v>106</v>
      </c>
      <c r="D273">
        <v>6</v>
      </c>
      <c r="E273" t="s">
        <v>1850</v>
      </c>
      <c r="F273" t="s">
        <v>1850</v>
      </c>
      <c r="G273" t="s">
        <v>1850</v>
      </c>
    </row>
    <row r="274" spans="1:7">
      <c r="A274" t="s">
        <v>537</v>
      </c>
      <c r="B274">
        <v>20</v>
      </c>
      <c r="C274" t="s">
        <v>107</v>
      </c>
      <c r="D274">
        <v>14</v>
      </c>
      <c r="E274" t="s">
        <v>1851</v>
      </c>
      <c r="F274" t="s">
        <v>1851</v>
      </c>
      <c r="G274" t="s">
        <v>1851</v>
      </c>
    </row>
    <row r="275" spans="1:7">
      <c r="A275" t="s">
        <v>538</v>
      </c>
      <c r="B275" t="s">
        <v>765</v>
      </c>
      <c r="C275" t="s">
        <v>108</v>
      </c>
      <c r="D275">
        <v>3</v>
      </c>
      <c r="E275" t="s">
        <v>1852</v>
      </c>
      <c r="F275" t="s">
        <v>1852</v>
      </c>
      <c r="G275" t="s">
        <v>1852</v>
      </c>
    </row>
    <row r="276" spans="1:7">
      <c r="A276" t="s">
        <v>539</v>
      </c>
      <c r="B276" t="s">
        <v>765</v>
      </c>
      <c r="C276" t="s">
        <v>106</v>
      </c>
      <c r="D276">
        <v>12</v>
      </c>
      <c r="E276" t="s">
        <v>1853</v>
      </c>
      <c r="F276" t="s">
        <v>1853</v>
      </c>
      <c r="G276" t="s">
        <v>1853</v>
      </c>
    </row>
    <row r="277" spans="1:7">
      <c r="A277" t="s">
        <v>540</v>
      </c>
      <c r="B277" t="s">
        <v>764</v>
      </c>
      <c r="C277" t="s">
        <v>107</v>
      </c>
      <c r="D277">
        <v>80</v>
      </c>
      <c r="E277" t="s">
        <v>1854</v>
      </c>
      <c r="F277" t="s">
        <v>1854</v>
      </c>
      <c r="G277" t="s">
        <v>1854</v>
      </c>
    </row>
    <row r="278" spans="1:7">
      <c r="A278" t="s">
        <v>702</v>
      </c>
      <c r="B278" t="s">
        <v>772</v>
      </c>
      <c r="C278" t="s">
        <v>106</v>
      </c>
      <c r="D278">
        <v>24</v>
      </c>
      <c r="E278" t="s">
        <v>1855</v>
      </c>
      <c r="F278" t="s">
        <v>1855</v>
      </c>
      <c r="G278" t="s">
        <v>1855</v>
      </c>
    </row>
    <row r="279" spans="1:7">
      <c r="A279" t="s">
        <v>703</v>
      </c>
      <c r="B279" t="s">
        <v>772</v>
      </c>
      <c r="C279" t="s">
        <v>106</v>
      </c>
      <c r="D279">
        <v>24</v>
      </c>
      <c r="E279" t="s">
        <v>1856</v>
      </c>
      <c r="F279" t="s">
        <v>1856</v>
      </c>
      <c r="G279" t="s">
        <v>1856</v>
      </c>
    </row>
    <row r="280" spans="1:7">
      <c r="A280" t="s">
        <v>541</v>
      </c>
      <c r="B280" t="s">
        <v>774</v>
      </c>
      <c r="C280" t="s">
        <v>107</v>
      </c>
      <c r="D280">
        <v>72</v>
      </c>
      <c r="E280" t="s">
        <v>1857</v>
      </c>
      <c r="F280" t="s">
        <v>1857</v>
      </c>
      <c r="G280" t="s">
        <v>1857</v>
      </c>
    </row>
    <row r="281" spans="1:7">
      <c r="A281" t="s">
        <v>704</v>
      </c>
      <c r="B281" t="s">
        <v>764</v>
      </c>
      <c r="C281" t="s">
        <v>107</v>
      </c>
      <c r="D281">
        <v>60</v>
      </c>
      <c r="E281" t="s">
        <v>1858</v>
      </c>
      <c r="F281" t="s">
        <v>1858</v>
      </c>
      <c r="G281" t="s">
        <v>1858</v>
      </c>
    </row>
    <row r="282" spans="1:7">
      <c r="A282" t="s">
        <v>542</v>
      </c>
      <c r="B282" t="s">
        <v>763</v>
      </c>
      <c r="C282" t="s">
        <v>106</v>
      </c>
      <c r="D282">
        <v>100</v>
      </c>
      <c r="E282" t="s">
        <v>1859</v>
      </c>
      <c r="F282" t="s">
        <v>1859</v>
      </c>
      <c r="G282" t="s">
        <v>1859</v>
      </c>
    </row>
    <row r="283" spans="1:7">
      <c r="A283" t="s">
        <v>543</v>
      </c>
      <c r="B283" t="s">
        <v>763</v>
      </c>
      <c r="C283" t="s">
        <v>106</v>
      </c>
      <c r="D283">
        <v>80</v>
      </c>
      <c r="E283" t="s">
        <v>1860</v>
      </c>
      <c r="F283" t="s">
        <v>1860</v>
      </c>
      <c r="G283" t="s">
        <v>1860</v>
      </c>
    </row>
    <row r="284" spans="1:7">
      <c r="A284" t="s">
        <v>544</v>
      </c>
      <c r="B284" t="s">
        <v>763</v>
      </c>
      <c r="C284" t="s">
        <v>106</v>
      </c>
      <c r="D284">
        <v>50</v>
      </c>
      <c r="E284" t="s">
        <v>1861</v>
      </c>
      <c r="F284" t="s">
        <v>1861</v>
      </c>
      <c r="G284" t="s">
        <v>1861</v>
      </c>
    </row>
    <row r="285" spans="1:7">
      <c r="A285" t="s">
        <v>545</v>
      </c>
      <c r="B285" t="s">
        <v>765</v>
      </c>
      <c r="C285" t="s">
        <v>210</v>
      </c>
      <c r="D285">
        <v>12</v>
      </c>
      <c r="E285" t="s">
        <v>1862</v>
      </c>
      <c r="F285" t="s">
        <v>1862</v>
      </c>
      <c r="G285" t="s">
        <v>1862</v>
      </c>
    </row>
    <row r="286" spans="1:7">
      <c r="A286" t="s">
        <v>546</v>
      </c>
      <c r="B286" t="s">
        <v>765</v>
      </c>
      <c r="C286" t="s">
        <v>106</v>
      </c>
      <c r="D286">
        <v>15</v>
      </c>
      <c r="E286" t="s">
        <v>1863</v>
      </c>
      <c r="F286" t="s">
        <v>1863</v>
      </c>
      <c r="G286" t="s">
        <v>1863</v>
      </c>
    </row>
    <row r="287" spans="1:7">
      <c r="A287" t="s">
        <v>547</v>
      </c>
      <c r="B287" t="s">
        <v>763</v>
      </c>
      <c r="C287" t="s">
        <v>138</v>
      </c>
      <c r="D287">
        <v>90</v>
      </c>
      <c r="E287" t="s">
        <v>1864</v>
      </c>
      <c r="F287" t="s">
        <v>1864</v>
      </c>
      <c r="G287" t="s">
        <v>1864</v>
      </c>
    </row>
    <row r="288" spans="1:7">
      <c r="A288" t="s">
        <v>548</v>
      </c>
      <c r="B288" t="s">
        <v>763</v>
      </c>
      <c r="C288" t="s">
        <v>138</v>
      </c>
      <c r="D288">
        <v>160</v>
      </c>
      <c r="E288" t="s">
        <v>1865</v>
      </c>
      <c r="F288" t="s">
        <v>1865</v>
      </c>
      <c r="G288" t="s">
        <v>1865</v>
      </c>
    </row>
    <row r="289" spans="1:7">
      <c r="A289" t="s">
        <v>2450</v>
      </c>
      <c r="B289">
        <v>0.1</v>
      </c>
      <c r="C289" t="s">
        <v>210</v>
      </c>
      <c r="D289">
        <v>10</v>
      </c>
      <c r="E289" t="s">
        <v>1866</v>
      </c>
      <c r="F289" t="s">
        <v>1866</v>
      </c>
      <c r="G289" t="s">
        <v>1866</v>
      </c>
    </row>
    <row r="290" spans="1:7">
      <c r="A290" t="s">
        <v>2451</v>
      </c>
      <c r="B290">
        <v>0.1</v>
      </c>
      <c r="C290" t="s">
        <v>210</v>
      </c>
      <c r="D290">
        <v>0</v>
      </c>
      <c r="E290" t="s">
        <v>1867</v>
      </c>
      <c r="F290" t="s">
        <v>1867</v>
      </c>
      <c r="G290" t="s">
        <v>1867</v>
      </c>
    </row>
    <row r="291" spans="1:7">
      <c r="A291" t="s">
        <v>549</v>
      </c>
      <c r="B291" t="s">
        <v>763</v>
      </c>
      <c r="C291" t="s">
        <v>106</v>
      </c>
      <c r="D291">
        <v>150</v>
      </c>
      <c r="E291" t="s">
        <v>1868</v>
      </c>
      <c r="F291" t="s">
        <v>1868</v>
      </c>
      <c r="G291" t="s">
        <v>1868</v>
      </c>
    </row>
    <row r="292" spans="1:7">
      <c r="A292" t="s">
        <v>550</v>
      </c>
      <c r="B292" t="s">
        <v>763</v>
      </c>
      <c r="C292" t="s">
        <v>106</v>
      </c>
      <c r="D292">
        <v>150</v>
      </c>
      <c r="E292" t="s">
        <v>1869</v>
      </c>
      <c r="F292" t="s">
        <v>1869</v>
      </c>
      <c r="G292" t="s">
        <v>1869</v>
      </c>
    </row>
    <row r="293" spans="1:7">
      <c r="A293" t="s">
        <v>551</v>
      </c>
      <c r="B293" t="s">
        <v>763</v>
      </c>
      <c r="C293" t="s">
        <v>106</v>
      </c>
      <c r="D293">
        <v>0</v>
      </c>
      <c r="E293" t="s">
        <v>1870</v>
      </c>
      <c r="F293" t="s">
        <v>1870</v>
      </c>
      <c r="G293" t="s">
        <v>1870</v>
      </c>
    </row>
    <row r="294" spans="1:7">
      <c r="A294" t="s">
        <v>552</v>
      </c>
      <c r="B294" t="s">
        <v>765</v>
      </c>
      <c r="C294" t="s">
        <v>106</v>
      </c>
      <c r="D294">
        <v>5</v>
      </c>
      <c r="E294" t="s">
        <v>1871</v>
      </c>
      <c r="F294" t="s">
        <v>1871</v>
      </c>
      <c r="G294" t="s">
        <v>1871</v>
      </c>
    </row>
    <row r="295" spans="1:7">
      <c r="A295" t="s">
        <v>553</v>
      </c>
      <c r="B295" t="s">
        <v>765</v>
      </c>
      <c r="C295" t="s">
        <v>108</v>
      </c>
      <c r="D295">
        <v>0</v>
      </c>
      <c r="E295" t="s">
        <v>1872</v>
      </c>
      <c r="F295" t="s">
        <v>1872</v>
      </c>
      <c r="G295" t="s">
        <v>1872</v>
      </c>
    </row>
    <row r="296" spans="1:7">
      <c r="A296" t="s">
        <v>554</v>
      </c>
      <c r="B296" t="s">
        <v>764</v>
      </c>
      <c r="C296" t="s">
        <v>107</v>
      </c>
      <c r="D296">
        <v>50</v>
      </c>
      <c r="E296" t="s">
        <v>1873</v>
      </c>
      <c r="F296" t="s">
        <v>1873</v>
      </c>
      <c r="G296" t="s">
        <v>1873</v>
      </c>
    </row>
    <row r="297" spans="1:7">
      <c r="A297" t="s">
        <v>707</v>
      </c>
      <c r="B297" t="s">
        <v>764</v>
      </c>
      <c r="C297" t="s">
        <v>107</v>
      </c>
      <c r="D297">
        <v>100</v>
      </c>
      <c r="E297" t="s">
        <v>1874</v>
      </c>
      <c r="F297" t="s">
        <v>1874</v>
      </c>
      <c r="G297" t="s">
        <v>1874</v>
      </c>
    </row>
    <row r="298" spans="1:7">
      <c r="A298" t="s">
        <v>708</v>
      </c>
      <c r="B298" t="s">
        <v>765</v>
      </c>
      <c r="C298" t="s">
        <v>106</v>
      </c>
      <c r="D298">
        <v>10</v>
      </c>
      <c r="E298" t="s">
        <v>1875</v>
      </c>
      <c r="F298" t="s">
        <v>1875</v>
      </c>
      <c r="G298" t="s">
        <v>1875</v>
      </c>
    </row>
    <row r="299" spans="1:7">
      <c r="A299" t="s">
        <v>709</v>
      </c>
      <c r="B299" t="s">
        <v>765</v>
      </c>
      <c r="C299" t="s">
        <v>108</v>
      </c>
      <c r="D299">
        <v>0</v>
      </c>
      <c r="E299" t="s">
        <v>1876</v>
      </c>
      <c r="F299" t="s">
        <v>1876</v>
      </c>
      <c r="G299" t="s">
        <v>1876</v>
      </c>
    </row>
    <row r="300" spans="1:7">
      <c r="A300" t="s">
        <v>555</v>
      </c>
      <c r="B300" t="s">
        <v>764</v>
      </c>
      <c r="C300" t="s">
        <v>107</v>
      </c>
      <c r="D300">
        <v>200</v>
      </c>
      <c r="E300" t="s">
        <v>1877</v>
      </c>
      <c r="F300" t="s">
        <v>1877</v>
      </c>
      <c r="G300" t="s">
        <v>1877</v>
      </c>
    </row>
    <row r="301" spans="1:7">
      <c r="A301" t="s">
        <v>556</v>
      </c>
      <c r="B301" t="s">
        <v>765</v>
      </c>
      <c r="C301" t="s">
        <v>108</v>
      </c>
      <c r="D301">
        <v>3</v>
      </c>
      <c r="E301" t="s">
        <v>1878</v>
      </c>
      <c r="F301" t="s">
        <v>1878</v>
      </c>
      <c r="G301" t="s">
        <v>1878</v>
      </c>
    </row>
    <row r="302" spans="1:7">
      <c r="A302" t="s">
        <v>244</v>
      </c>
      <c r="B302" t="s">
        <v>769</v>
      </c>
      <c r="C302" t="s">
        <v>107</v>
      </c>
      <c r="D302">
        <v>4</v>
      </c>
      <c r="E302" t="s">
        <v>1879</v>
      </c>
      <c r="F302" t="s">
        <v>1879</v>
      </c>
      <c r="G302" t="s">
        <v>1879</v>
      </c>
    </row>
    <row r="303" spans="1:7">
      <c r="A303" t="s">
        <v>245</v>
      </c>
      <c r="B303" t="s">
        <v>769</v>
      </c>
      <c r="C303" t="s">
        <v>107</v>
      </c>
      <c r="D303">
        <v>12</v>
      </c>
      <c r="E303" t="s">
        <v>1880</v>
      </c>
      <c r="F303" t="s">
        <v>1880</v>
      </c>
      <c r="G303" t="s">
        <v>1880</v>
      </c>
    </row>
    <row r="304" spans="1:7">
      <c r="A304" t="s">
        <v>710</v>
      </c>
      <c r="B304" t="s">
        <v>765</v>
      </c>
      <c r="C304" t="s">
        <v>108</v>
      </c>
      <c r="D304">
        <v>2</v>
      </c>
      <c r="E304" t="s">
        <v>1881</v>
      </c>
      <c r="F304" t="s">
        <v>1881</v>
      </c>
      <c r="G304" t="s">
        <v>1881</v>
      </c>
    </row>
    <row r="305" spans="1:7">
      <c r="A305" t="s">
        <v>276</v>
      </c>
      <c r="B305" t="s">
        <v>769</v>
      </c>
      <c r="C305" t="s">
        <v>107</v>
      </c>
      <c r="D305">
        <v>100</v>
      </c>
      <c r="E305" t="s">
        <v>1882</v>
      </c>
      <c r="F305" t="s">
        <v>1882</v>
      </c>
      <c r="G305" t="s">
        <v>1882</v>
      </c>
    </row>
    <row r="306" spans="1:7">
      <c r="A306" t="s">
        <v>246</v>
      </c>
      <c r="B306" t="s">
        <v>769</v>
      </c>
      <c r="C306" t="s">
        <v>107</v>
      </c>
      <c r="D306">
        <v>4</v>
      </c>
      <c r="E306" t="s">
        <v>1883</v>
      </c>
      <c r="F306" t="s">
        <v>1883</v>
      </c>
      <c r="G306" t="s">
        <v>1883</v>
      </c>
    </row>
    <row r="307" spans="1:7">
      <c r="A307" t="s">
        <v>247</v>
      </c>
      <c r="B307" t="s">
        <v>769</v>
      </c>
      <c r="C307" t="s">
        <v>107</v>
      </c>
      <c r="D307">
        <v>12</v>
      </c>
      <c r="E307" t="s">
        <v>1884</v>
      </c>
      <c r="F307" t="s">
        <v>1884</v>
      </c>
      <c r="G307" t="s">
        <v>1884</v>
      </c>
    </row>
    <row r="308" spans="1:7">
      <c r="A308" t="s">
        <v>248</v>
      </c>
      <c r="B308" t="s">
        <v>765</v>
      </c>
      <c r="C308" t="s">
        <v>108</v>
      </c>
      <c r="D308">
        <v>3</v>
      </c>
      <c r="E308" t="s">
        <v>1885</v>
      </c>
      <c r="F308" t="s">
        <v>1885</v>
      </c>
      <c r="G308" t="s">
        <v>1885</v>
      </c>
    </row>
    <row r="309" spans="1:7">
      <c r="A309" t="s">
        <v>711</v>
      </c>
      <c r="B309" t="s">
        <v>765</v>
      </c>
      <c r="C309" t="s">
        <v>108</v>
      </c>
      <c r="D309">
        <v>2</v>
      </c>
      <c r="E309" t="s">
        <v>1886</v>
      </c>
      <c r="F309" t="s">
        <v>1886</v>
      </c>
      <c r="G309" t="s">
        <v>1886</v>
      </c>
    </row>
    <row r="310" spans="1:7">
      <c r="A310" t="s">
        <v>557</v>
      </c>
      <c r="B310" t="s">
        <v>769</v>
      </c>
      <c r="C310" t="s">
        <v>107</v>
      </c>
      <c r="D310">
        <v>100</v>
      </c>
      <c r="E310" t="s">
        <v>1887</v>
      </c>
      <c r="F310" t="s">
        <v>1887</v>
      </c>
      <c r="G310" t="s">
        <v>1887</v>
      </c>
    </row>
    <row r="311" spans="1:7">
      <c r="A311" t="s">
        <v>558</v>
      </c>
      <c r="B311" t="s">
        <v>769</v>
      </c>
      <c r="C311" t="s">
        <v>107</v>
      </c>
      <c r="D311">
        <v>4</v>
      </c>
      <c r="E311" t="s">
        <v>1888</v>
      </c>
      <c r="F311" t="s">
        <v>1888</v>
      </c>
      <c r="G311" t="s">
        <v>1888</v>
      </c>
    </row>
    <row r="312" spans="1:7">
      <c r="A312" t="s">
        <v>559</v>
      </c>
      <c r="B312" t="s">
        <v>769</v>
      </c>
      <c r="C312" t="s">
        <v>107</v>
      </c>
      <c r="D312">
        <v>12</v>
      </c>
      <c r="E312" t="s">
        <v>1889</v>
      </c>
      <c r="F312" t="s">
        <v>1889</v>
      </c>
      <c r="G312" t="s">
        <v>1889</v>
      </c>
    </row>
    <row r="313" spans="1:7">
      <c r="A313" t="s">
        <v>1215</v>
      </c>
      <c r="B313">
        <v>20</v>
      </c>
      <c r="C313" t="s">
        <v>107</v>
      </c>
      <c r="D313">
        <v>14</v>
      </c>
      <c r="E313" t="s">
        <v>1890</v>
      </c>
      <c r="F313" t="s">
        <v>1890</v>
      </c>
      <c r="G313" t="s">
        <v>1890</v>
      </c>
    </row>
    <row r="314" spans="1:7">
      <c r="A314" t="s">
        <v>1892</v>
      </c>
      <c r="B314">
        <v>1</v>
      </c>
      <c r="C314" t="s">
        <v>1074</v>
      </c>
      <c r="D314">
        <v>6</v>
      </c>
      <c r="E314" t="s">
        <v>1895</v>
      </c>
      <c r="F314" t="s">
        <v>1895</v>
      </c>
      <c r="G314" t="s">
        <v>1895</v>
      </c>
    </row>
    <row r="315" spans="1:7">
      <c r="A315" t="s">
        <v>1894</v>
      </c>
      <c r="B315">
        <v>1</v>
      </c>
      <c r="C315" t="s">
        <v>211</v>
      </c>
      <c r="D315">
        <v>192</v>
      </c>
      <c r="E315" t="s">
        <v>1896</v>
      </c>
      <c r="F315" t="s">
        <v>1896</v>
      </c>
      <c r="G315" t="s">
        <v>1896</v>
      </c>
    </row>
    <row r="316" spans="1:7">
      <c r="A316" t="s">
        <v>1899</v>
      </c>
      <c r="B316">
        <v>0.2</v>
      </c>
      <c r="C316" t="s">
        <v>106</v>
      </c>
      <c r="D316">
        <v>150</v>
      </c>
      <c r="E316" t="s">
        <v>1898</v>
      </c>
      <c r="F316" t="s">
        <v>1898</v>
      </c>
      <c r="G316" t="s">
        <v>1898</v>
      </c>
    </row>
    <row r="317" spans="1:7">
      <c r="A317" t="s">
        <v>2457</v>
      </c>
      <c r="B317">
        <v>1</v>
      </c>
      <c r="C317" t="s">
        <v>108</v>
      </c>
      <c r="D317">
        <v>3</v>
      </c>
      <c r="E317" t="s">
        <v>2020</v>
      </c>
      <c r="F317" t="s">
        <v>2020</v>
      </c>
      <c r="G317" t="s">
        <v>2020</v>
      </c>
    </row>
    <row r="318" spans="1:7">
      <c r="A318" t="s">
        <v>1909</v>
      </c>
      <c r="B318">
        <v>10</v>
      </c>
      <c r="C318" t="s">
        <v>106</v>
      </c>
      <c r="D318">
        <v>18</v>
      </c>
      <c r="E318" t="s">
        <v>2021</v>
      </c>
      <c r="F318" t="s">
        <v>2021</v>
      </c>
      <c r="G318" t="s">
        <v>2021</v>
      </c>
    </row>
    <row r="319" spans="1:7">
      <c r="A319" t="s">
        <v>1911</v>
      </c>
      <c r="B319">
        <v>0.1</v>
      </c>
      <c r="C319" t="s">
        <v>138</v>
      </c>
      <c r="D319">
        <v>105</v>
      </c>
      <c r="E319" t="s">
        <v>2022</v>
      </c>
      <c r="F319" t="s">
        <v>2022</v>
      </c>
      <c r="G319" t="s">
        <v>2022</v>
      </c>
    </row>
    <row r="320" spans="1:7">
      <c r="A320" t="s">
        <v>1923</v>
      </c>
      <c r="B320">
        <v>25</v>
      </c>
      <c r="C320" t="s">
        <v>211</v>
      </c>
      <c r="D320">
        <v>8</v>
      </c>
      <c r="E320" t="s">
        <v>2023</v>
      </c>
      <c r="F320" t="s">
        <v>2023</v>
      </c>
      <c r="G320" t="s">
        <v>2023</v>
      </c>
    </row>
    <row r="321" spans="1:7">
      <c r="A321" t="s">
        <v>1924</v>
      </c>
      <c r="B321">
        <v>1</v>
      </c>
      <c r="C321" t="s">
        <v>1074</v>
      </c>
      <c r="D321">
        <v>7</v>
      </c>
      <c r="E321" t="s">
        <v>2024</v>
      </c>
      <c r="F321" t="s">
        <v>2024</v>
      </c>
      <c r="G321" t="s">
        <v>2024</v>
      </c>
    </row>
    <row r="322" spans="1:7">
      <c r="A322" t="s">
        <v>1925</v>
      </c>
      <c r="B322">
        <v>1</v>
      </c>
      <c r="C322" t="s">
        <v>1074</v>
      </c>
      <c r="D322">
        <v>17</v>
      </c>
      <c r="E322" t="s">
        <v>2025</v>
      </c>
      <c r="F322" t="s">
        <v>2025</v>
      </c>
      <c r="G322" t="s">
        <v>2025</v>
      </c>
    </row>
    <row r="323" spans="1:7">
      <c r="A323" t="s">
        <v>1926</v>
      </c>
      <c r="B323">
        <v>1</v>
      </c>
      <c r="C323" t="s">
        <v>1074</v>
      </c>
      <c r="D323">
        <v>27</v>
      </c>
      <c r="E323" t="s">
        <v>2026</v>
      </c>
      <c r="F323" t="s">
        <v>2026</v>
      </c>
      <c r="G323" t="s">
        <v>2026</v>
      </c>
    </row>
    <row r="324" spans="1:7">
      <c r="A324" t="s">
        <v>1927</v>
      </c>
      <c r="B324">
        <v>1</v>
      </c>
      <c r="C324" t="s">
        <v>1074</v>
      </c>
      <c r="D324">
        <v>37</v>
      </c>
      <c r="E324" t="s">
        <v>2027</v>
      </c>
      <c r="F324" t="s">
        <v>2027</v>
      </c>
      <c r="G324" t="s">
        <v>2027</v>
      </c>
    </row>
    <row r="325" spans="1:7">
      <c r="A325" t="s">
        <v>1928</v>
      </c>
      <c r="B325">
        <v>1</v>
      </c>
      <c r="C325" t="s">
        <v>1074</v>
      </c>
      <c r="D325">
        <v>47</v>
      </c>
      <c r="E325" t="s">
        <v>2028</v>
      </c>
      <c r="F325" t="s">
        <v>2028</v>
      </c>
      <c r="G325" t="s">
        <v>2028</v>
      </c>
    </row>
    <row r="326" spans="1:7">
      <c r="A326" t="s">
        <v>1929</v>
      </c>
      <c r="B326">
        <v>1</v>
      </c>
      <c r="C326" t="s">
        <v>1074</v>
      </c>
      <c r="D326">
        <v>57</v>
      </c>
      <c r="E326" t="s">
        <v>2029</v>
      </c>
      <c r="F326" t="s">
        <v>2029</v>
      </c>
      <c r="G326" t="s">
        <v>2029</v>
      </c>
    </row>
    <row r="327" spans="1:7">
      <c r="A327" t="s">
        <v>1930</v>
      </c>
      <c r="B327">
        <v>1</v>
      </c>
      <c r="C327" t="s">
        <v>1074</v>
      </c>
      <c r="D327">
        <v>67</v>
      </c>
      <c r="E327" t="s">
        <v>2030</v>
      </c>
      <c r="F327" t="s">
        <v>2030</v>
      </c>
      <c r="G327" t="s">
        <v>2030</v>
      </c>
    </row>
    <row r="328" spans="1:7">
      <c r="A328" t="s">
        <v>1931</v>
      </c>
      <c r="B328">
        <v>1</v>
      </c>
      <c r="C328" t="s">
        <v>1074</v>
      </c>
      <c r="D328">
        <v>77</v>
      </c>
      <c r="E328" t="s">
        <v>2031</v>
      </c>
      <c r="F328" t="s">
        <v>2031</v>
      </c>
      <c r="G328" t="s">
        <v>2031</v>
      </c>
    </row>
    <row r="329" spans="1:7">
      <c r="A329" t="s">
        <v>1932</v>
      </c>
      <c r="B329">
        <v>1</v>
      </c>
      <c r="C329" t="s">
        <v>1074</v>
      </c>
      <c r="D329">
        <v>87</v>
      </c>
      <c r="E329" t="s">
        <v>2032</v>
      </c>
      <c r="F329" t="s">
        <v>2032</v>
      </c>
      <c r="G329" t="s">
        <v>2032</v>
      </c>
    </row>
    <row r="330" spans="1:7">
      <c r="A330" t="s">
        <v>1933</v>
      </c>
      <c r="B330">
        <v>1</v>
      </c>
      <c r="C330" t="s">
        <v>1074</v>
      </c>
      <c r="D330">
        <v>100</v>
      </c>
      <c r="E330" t="s">
        <v>2033</v>
      </c>
      <c r="F330" t="s">
        <v>2033</v>
      </c>
      <c r="G330" t="s">
        <v>2033</v>
      </c>
    </row>
    <row r="331" spans="1:7">
      <c r="A331" t="s">
        <v>1935</v>
      </c>
      <c r="B331">
        <v>1</v>
      </c>
      <c r="C331" t="s">
        <v>108</v>
      </c>
      <c r="D331">
        <v>5</v>
      </c>
      <c r="E331" t="s">
        <v>2034</v>
      </c>
      <c r="F331" t="s">
        <v>2034</v>
      </c>
      <c r="G331" t="s">
        <v>2034</v>
      </c>
    </row>
    <row r="332" spans="1:7">
      <c r="A332" t="s">
        <v>1938</v>
      </c>
      <c r="B332">
        <v>10</v>
      </c>
      <c r="C332" t="s">
        <v>107</v>
      </c>
      <c r="D332">
        <v>100</v>
      </c>
      <c r="E332" t="s">
        <v>2035</v>
      </c>
      <c r="F332" t="s">
        <v>2035</v>
      </c>
      <c r="G332" t="s">
        <v>2035</v>
      </c>
    </row>
    <row r="333" spans="1:7">
      <c r="A333" t="s">
        <v>1940</v>
      </c>
      <c r="B333">
        <v>10</v>
      </c>
      <c r="C333" t="s">
        <v>107</v>
      </c>
      <c r="D333">
        <v>0</v>
      </c>
      <c r="E333" t="s">
        <v>2036</v>
      </c>
      <c r="F333" t="s">
        <v>2036</v>
      </c>
      <c r="G333" t="s">
        <v>2036</v>
      </c>
    </row>
    <row r="334" spans="1:7">
      <c r="A334" t="s">
        <v>1974</v>
      </c>
      <c r="B334">
        <v>1</v>
      </c>
      <c r="C334" t="s">
        <v>1074</v>
      </c>
      <c r="D334">
        <v>7</v>
      </c>
      <c r="E334" t="s">
        <v>2037</v>
      </c>
      <c r="F334" t="s">
        <v>2037</v>
      </c>
      <c r="G334" t="s">
        <v>2037</v>
      </c>
    </row>
    <row r="335" spans="1:7">
      <c r="A335" t="s">
        <v>1976</v>
      </c>
      <c r="B335">
        <v>1</v>
      </c>
      <c r="C335" t="s">
        <v>1074</v>
      </c>
      <c r="D335">
        <v>17</v>
      </c>
      <c r="E335" t="s">
        <v>2038</v>
      </c>
      <c r="F335" t="s">
        <v>2038</v>
      </c>
      <c r="G335" t="s">
        <v>2038</v>
      </c>
    </row>
    <row r="336" spans="1:7">
      <c r="A336" t="s">
        <v>1978</v>
      </c>
      <c r="B336">
        <v>1</v>
      </c>
      <c r="C336" t="s">
        <v>1074</v>
      </c>
      <c r="D336">
        <v>27</v>
      </c>
      <c r="E336" t="s">
        <v>2039</v>
      </c>
      <c r="F336" t="s">
        <v>2039</v>
      </c>
      <c r="G336" t="s">
        <v>2039</v>
      </c>
    </row>
    <row r="337" spans="1:7">
      <c r="A337" t="s">
        <v>1980</v>
      </c>
      <c r="B337">
        <v>1</v>
      </c>
      <c r="C337" t="s">
        <v>1074</v>
      </c>
      <c r="D337">
        <v>37</v>
      </c>
      <c r="E337" t="s">
        <v>2040</v>
      </c>
      <c r="F337" t="s">
        <v>2040</v>
      </c>
      <c r="G337" t="s">
        <v>2040</v>
      </c>
    </row>
    <row r="338" spans="1:7">
      <c r="A338" t="s">
        <v>1982</v>
      </c>
      <c r="B338">
        <v>1</v>
      </c>
      <c r="C338" t="s">
        <v>1074</v>
      </c>
      <c r="D338">
        <v>47</v>
      </c>
      <c r="E338" t="s">
        <v>2041</v>
      </c>
      <c r="F338" t="s">
        <v>2041</v>
      </c>
      <c r="G338" t="s">
        <v>2041</v>
      </c>
    </row>
    <row r="339" spans="1:7">
      <c r="A339" t="s">
        <v>1984</v>
      </c>
      <c r="B339">
        <v>1</v>
      </c>
      <c r="C339" t="s">
        <v>1074</v>
      </c>
      <c r="D339">
        <v>57</v>
      </c>
      <c r="E339" t="s">
        <v>2042</v>
      </c>
      <c r="F339" t="s">
        <v>2042</v>
      </c>
      <c r="G339" t="s">
        <v>2042</v>
      </c>
    </row>
    <row r="340" spans="1:7">
      <c r="A340" t="s">
        <v>1986</v>
      </c>
      <c r="B340">
        <v>1</v>
      </c>
      <c r="C340" t="s">
        <v>1074</v>
      </c>
      <c r="D340">
        <v>67</v>
      </c>
      <c r="E340" t="s">
        <v>2043</v>
      </c>
      <c r="F340" t="s">
        <v>2043</v>
      </c>
      <c r="G340" t="s">
        <v>2043</v>
      </c>
    </row>
    <row r="341" spans="1:7">
      <c r="A341" t="s">
        <v>1988</v>
      </c>
      <c r="B341">
        <v>1</v>
      </c>
      <c r="C341" t="s">
        <v>1074</v>
      </c>
      <c r="D341">
        <v>77</v>
      </c>
      <c r="E341" t="s">
        <v>2044</v>
      </c>
      <c r="F341" t="s">
        <v>2044</v>
      </c>
      <c r="G341" t="s">
        <v>2044</v>
      </c>
    </row>
    <row r="342" spans="1:7">
      <c r="A342" t="s">
        <v>1990</v>
      </c>
      <c r="B342">
        <v>1</v>
      </c>
      <c r="C342" t="s">
        <v>1074</v>
      </c>
      <c r="D342">
        <v>87</v>
      </c>
      <c r="E342" t="s">
        <v>2045</v>
      </c>
      <c r="F342" t="s">
        <v>2045</v>
      </c>
      <c r="G342" t="s">
        <v>2045</v>
      </c>
    </row>
    <row r="343" spans="1:7">
      <c r="A343" t="s">
        <v>1992</v>
      </c>
      <c r="B343">
        <v>1</v>
      </c>
      <c r="C343" t="s">
        <v>1074</v>
      </c>
      <c r="D343">
        <v>100</v>
      </c>
      <c r="E343" t="s">
        <v>2046</v>
      </c>
      <c r="F343" t="s">
        <v>2046</v>
      </c>
      <c r="G343" t="s">
        <v>2046</v>
      </c>
    </row>
    <row r="344" spans="1:7">
      <c r="A344" t="s">
        <v>2068</v>
      </c>
      <c r="B344">
        <v>10</v>
      </c>
      <c r="C344" t="s">
        <v>107</v>
      </c>
      <c r="D344">
        <v>28</v>
      </c>
      <c r="E344" t="s">
        <v>2047</v>
      </c>
      <c r="F344" t="s">
        <v>2047</v>
      </c>
      <c r="G344" t="s">
        <v>2047</v>
      </c>
    </row>
    <row r="345" spans="1:7">
      <c r="A345" t="s">
        <v>1936</v>
      </c>
      <c r="B345">
        <v>10</v>
      </c>
      <c r="C345" t="s">
        <v>107</v>
      </c>
      <c r="D345">
        <v>2</v>
      </c>
      <c r="E345" t="s">
        <v>2048</v>
      </c>
      <c r="F345" t="s">
        <v>2048</v>
      </c>
      <c r="G345" t="s">
        <v>2048</v>
      </c>
    </row>
    <row r="346" spans="1:7">
      <c r="A346" t="s">
        <v>1966</v>
      </c>
      <c r="B346">
        <v>10</v>
      </c>
      <c r="C346" t="s">
        <v>107</v>
      </c>
      <c r="D346">
        <v>80</v>
      </c>
      <c r="E346" t="s">
        <v>2049</v>
      </c>
      <c r="F346" t="s">
        <v>2049</v>
      </c>
      <c r="G346" t="s">
        <v>2049</v>
      </c>
    </row>
    <row r="347" spans="1:7">
      <c r="A347" t="s">
        <v>1968</v>
      </c>
      <c r="B347">
        <v>5</v>
      </c>
      <c r="C347" t="s">
        <v>107</v>
      </c>
      <c r="D347">
        <v>32</v>
      </c>
      <c r="E347" t="s">
        <v>2050</v>
      </c>
      <c r="F347" t="s">
        <v>2050</v>
      </c>
      <c r="G347" t="s">
        <v>2050</v>
      </c>
    </row>
    <row r="348" spans="1:7">
      <c r="A348" t="s">
        <v>1970</v>
      </c>
      <c r="B348">
        <v>5</v>
      </c>
      <c r="C348" t="s">
        <v>107</v>
      </c>
      <c r="D348">
        <v>20</v>
      </c>
      <c r="E348" t="s">
        <v>2051</v>
      </c>
      <c r="F348" t="s">
        <v>2051</v>
      </c>
      <c r="G348" t="s">
        <v>2051</v>
      </c>
    </row>
    <row r="349" spans="1:7">
      <c r="A349" t="s">
        <v>1972</v>
      </c>
      <c r="B349">
        <v>5</v>
      </c>
      <c r="C349" t="s">
        <v>107</v>
      </c>
      <c r="D349">
        <v>10</v>
      </c>
      <c r="E349" t="s">
        <v>2052</v>
      </c>
      <c r="F349" t="s">
        <v>2052</v>
      </c>
      <c r="G349" t="s">
        <v>2052</v>
      </c>
    </row>
    <row r="350" spans="1:7">
      <c r="A350" t="s">
        <v>2070</v>
      </c>
      <c r="B350">
        <v>0.1</v>
      </c>
      <c r="C350" t="s">
        <v>106</v>
      </c>
      <c r="D350">
        <v>2</v>
      </c>
      <c r="E350" t="s">
        <v>2053</v>
      </c>
      <c r="F350" t="s">
        <v>2053</v>
      </c>
      <c r="G350" t="s">
        <v>2053</v>
      </c>
    </row>
    <row r="351" spans="1:7">
      <c r="A351" t="s">
        <v>1942</v>
      </c>
      <c r="B351">
        <v>1</v>
      </c>
      <c r="C351" t="s">
        <v>108</v>
      </c>
      <c r="D351">
        <v>1</v>
      </c>
      <c r="E351" t="s">
        <v>2054</v>
      </c>
      <c r="F351" t="s">
        <v>2054</v>
      </c>
      <c r="G351" t="s">
        <v>2054</v>
      </c>
    </row>
    <row r="352" spans="1:7">
      <c r="A352" t="s">
        <v>1952</v>
      </c>
      <c r="B352">
        <v>0.5</v>
      </c>
      <c r="C352" t="s">
        <v>106</v>
      </c>
      <c r="D352">
        <v>6</v>
      </c>
      <c r="E352" t="s">
        <v>2055</v>
      </c>
      <c r="F352" t="s">
        <v>2055</v>
      </c>
      <c r="G352" t="s">
        <v>2055</v>
      </c>
    </row>
    <row r="353" spans="1:7">
      <c r="A353" t="s">
        <v>1954</v>
      </c>
      <c r="B353">
        <v>0.5</v>
      </c>
      <c r="C353" t="s">
        <v>106</v>
      </c>
      <c r="D353">
        <v>12</v>
      </c>
      <c r="E353" t="s">
        <v>2056</v>
      </c>
      <c r="F353" t="s">
        <v>2056</v>
      </c>
      <c r="G353" t="s">
        <v>2056</v>
      </c>
    </row>
    <row r="354" spans="1:7">
      <c r="A354" t="s">
        <v>1956</v>
      </c>
      <c r="B354">
        <v>0.5</v>
      </c>
      <c r="C354" t="s">
        <v>106</v>
      </c>
      <c r="D354">
        <v>18</v>
      </c>
      <c r="E354" t="s">
        <v>2057</v>
      </c>
      <c r="F354" t="s">
        <v>2057</v>
      </c>
      <c r="G354" t="s">
        <v>2057</v>
      </c>
    </row>
    <row r="355" spans="1:7">
      <c r="A355" t="s">
        <v>1958</v>
      </c>
      <c r="B355">
        <v>0.5</v>
      </c>
      <c r="C355" t="s">
        <v>106</v>
      </c>
      <c r="D355">
        <v>24</v>
      </c>
      <c r="E355" t="s">
        <v>2058</v>
      </c>
      <c r="F355" t="s">
        <v>2058</v>
      </c>
      <c r="G355" t="s">
        <v>2058</v>
      </c>
    </row>
    <row r="356" spans="1:7">
      <c r="A356" t="s">
        <v>1960</v>
      </c>
      <c r="B356">
        <v>0.5</v>
      </c>
      <c r="C356" t="s">
        <v>106</v>
      </c>
      <c r="D356">
        <v>30</v>
      </c>
      <c r="E356" t="s">
        <v>2059</v>
      </c>
      <c r="F356" t="s">
        <v>2059</v>
      </c>
      <c r="G356" t="s">
        <v>2059</v>
      </c>
    </row>
    <row r="357" spans="1:7">
      <c r="A357" t="s">
        <v>1994</v>
      </c>
      <c r="B357">
        <v>0.5</v>
      </c>
      <c r="C357" t="s">
        <v>106</v>
      </c>
      <c r="D357">
        <v>4</v>
      </c>
      <c r="E357" t="s">
        <v>2191</v>
      </c>
      <c r="F357" t="s">
        <v>2191</v>
      </c>
      <c r="G357" t="s">
        <v>2191</v>
      </c>
    </row>
    <row r="358" spans="1:7">
      <c r="A358" t="s">
        <v>1996</v>
      </c>
      <c r="B358">
        <v>0.5</v>
      </c>
      <c r="C358" t="s">
        <v>106</v>
      </c>
      <c r="D358">
        <v>8</v>
      </c>
      <c r="E358" t="s">
        <v>2192</v>
      </c>
      <c r="F358" t="s">
        <v>2192</v>
      </c>
      <c r="G358" t="s">
        <v>2192</v>
      </c>
    </row>
    <row r="359" spans="1:7">
      <c r="A359" t="s">
        <v>1998</v>
      </c>
      <c r="B359">
        <v>0.5</v>
      </c>
      <c r="C359" t="s">
        <v>106</v>
      </c>
      <c r="D359">
        <v>12</v>
      </c>
      <c r="E359" t="s">
        <v>2193</v>
      </c>
      <c r="F359" t="s">
        <v>2193</v>
      </c>
      <c r="G359" t="s">
        <v>2193</v>
      </c>
    </row>
    <row r="360" spans="1:7">
      <c r="A360" t="s">
        <v>2000</v>
      </c>
      <c r="B360">
        <v>0.5</v>
      </c>
      <c r="C360" t="s">
        <v>106</v>
      </c>
      <c r="D360">
        <v>16</v>
      </c>
      <c r="E360" t="s">
        <v>2194</v>
      </c>
      <c r="F360" t="s">
        <v>2194</v>
      </c>
      <c r="G360" t="s">
        <v>2194</v>
      </c>
    </row>
    <row r="361" spans="1:7">
      <c r="A361" t="s">
        <v>2002</v>
      </c>
      <c r="B361">
        <v>0.5</v>
      </c>
      <c r="C361" t="s">
        <v>106</v>
      </c>
      <c r="D361">
        <v>26</v>
      </c>
      <c r="E361" t="s">
        <v>2195</v>
      </c>
      <c r="F361" t="s">
        <v>2195</v>
      </c>
      <c r="G361" t="s">
        <v>2195</v>
      </c>
    </row>
    <row r="362" spans="1:7">
      <c r="A362" t="s">
        <v>2004</v>
      </c>
      <c r="B362">
        <v>0.5</v>
      </c>
      <c r="C362" t="s">
        <v>139</v>
      </c>
      <c r="D362">
        <v>8</v>
      </c>
      <c r="E362" t="s">
        <v>2196</v>
      </c>
      <c r="F362" t="s">
        <v>2196</v>
      </c>
      <c r="G362" t="s">
        <v>2196</v>
      </c>
    </row>
    <row r="363" spans="1:7">
      <c r="A363" t="s">
        <v>2006</v>
      </c>
      <c r="B363">
        <v>0.5</v>
      </c>
      <c r="C363" t="s">
        <v>139</v>
      </c>
      <c r="D363">
        <v>16</v>
      </c>
      <c r="E363" t="s">
        <v>2197</v>
      </c>
      <c r="F363" t="s">
        <v>2197</v>
      </c>
      <c r="G363" t="s">
        <v>2197</v>
      </c>
    </row>
    <row r="364" spans="1:7">
      <c r="A364" t="s">
        <v>1962</v>
      </c>
      <c r="B364">
        <v>1</v>
      </c>
      <c r="C364" t="s">
        <v>106</v>
      </c>
      <c r="D364">
        <v>15</v>
      </c>
      <c r="E364" t="s">
        <v>2198</v>
      </c>
      <c r="F364" t="s">
        <v>2198</v>
      </c>
      <c r="G364" t="s">
        <v>2198</v>
      </c>
    </row>
    <row r="365" spans="1:7">
      <c r="A365" t="s">
        <v>1964</v>
      </c>
      <c r="B365">
        <v>0.01</v>
      </c>
      <c r="C365" t="s">
        <v>108</v>
      </c>
      <c r="D365">
        <v>96</v>
      </c>
      <c r="E365" t="s">
        <v>2199</v>
      </c>
      <c r="F365" t="s">
        <v>2199</v>
      </c>
      <c r="G365" t="s">
        <v>2199</v>
      </c>
    </row>
    <row r="366" spans="1:7">
      <c r="A366" t="s">
        <v>2060</v>
      </c>
      <c r="B366">
        <v>0.1</v>
      </c>
      <c r="C366" t="s">
        <v>109</v>
      </c>
      <c r="D366">
        <v>250</v>
      </c>
      <c r="E366" t="s">
        <v>2200</v>
      </c>
      <c r="F366" t="s">
        <v>2200</v>
      </c>
      <c r="G366" t="s">
        <v>2200</v>
      </c>
    </row>
    <row r="367" spans="1:7">
      <c r="A367" t="s">
        <v>2008</v>
      </c>
      <c r="B367">
        <v>1</v>
      </c>
      <c r="C367" t="s">
        <v>108</v>
      </c>
      <c r="D367">
        <v>10</v>
      </c>
      <c r="E367" t="s">
        <v>2201</v>
      </c>
      <c r="F367" t="s">
        <v>2201</v>
      </c>
      <c r="G367" t="s">
        <v>2201</v>
      </c>
    </row>
    <row r="368" spans="1:7">
      <c r="A368" t="s">
        <v>2018</v>
      </c>
      <c r="B368">
        <v>10</v>
      </c>
      <c r="C368" t="s">
        <v>107</v>
      </c>
      <c r="D368">
        <v>20</v>
      </c>
      <c r="E368" t="s">
        <v>2202</v>
      </c>
      <c r="F368" t="s">
        <v>2202</v>
      </c>
      <c r="G368" t="s">
        <v>2202</v>
      </c>
    </row>
    <row r="369" spans="1:7">
      <c r="A369" t="s">
        <v>2075</v>
      </c>
      <c r="B369">
        <v>0.5</v>
      </c>
      <c r="C369" t="s">
        <v>1074</v>
      </c>
      <c r="D369">
        <v>10</v>
      </c>
      <c r="E369" t="s">
        <v>2203</v>
      </c>
      <c r="F369" t="s">
        <v>2203</v>
      </c>
      <c r="G369" t="s">
        <v>2203</v>
      </c>
    </row>
    <row r="370" spans="1:7">
      <c r="A370" t="s">
        <v>2076</v>
      </c>
      <c r="B370">
        <v>0.5</v>
      </c>
      <c r="C370" t="s">
        <v>1074</v>
      </c>
      <c r="D370">
        <v>160</v>
      </c>
      <c r="E370" t="s">
        <v>2204</v>
      </c>
      <c r="F370" t="s">
        <v>2204</v>
      </c>
      <c r="G370" t="s">
        <v>2204</v>
      </c>
    </row>
    <row r="371" spans="1:7">
      <c r="A371" t="s">
        <v>2077</v>
      </c>
      <c r="B371">
        <v>0.5</v>
      </c>
      <c r="C371" t="s">
        <v>1074</v>
      </c>
      <c r="D371">
        <v>70</v>
      </c>
      <c r="E371" t="s">
        <v>2205</v>
      </c>
      <c r="F371" t="s">
        <v>2205</v>
      </c>
      <c r="G371" t="s">
        <v>2205</v>
      </c>
    </row>
    <row r="372" spans="1:7">
      <c r="A372" t="s">
        <v>2078</v>
      </c>
      <c r="B372">
        <v>0.5</v>
      </c>
      <c r="C372" t="s">
        <v>1074</v>
      </c>
      <c r="D372">
        <v>90</v>
      </c>
      <c r="E372" t="s">
        <v>2206</v>
      </c>
      <c r="F372" t="s">
        <v>2206</v>
      </c>
      <c r="G372" t="s">
        <v>2206</v>
      </c>
    </row>
    <row r="373" spans="1:7">
      <c r="A373" t="s">
        <v>2080</v>
      </c>
      <c r="B373">
        <v>5</v>
      </c>
      <c r="C373" t="s">
        <v>107</v>
      </c>
      <c r="D373">
        <v>6</v>
      </c>
      <c r="E373" t="s">
        <v>2207</v>
      </c>
      <c r="F373" t="s">
        <v>2207</v>
      </c>
      <c r="G373" t="s">
        <v>2207</v>
      </c>
    </row>
    <row r="374" spans="1:7">
      <c r="A374" t="s">
        <v>2082</v>
      </c>
      <c r="B374">
        <v>5</v>
      </c>
      <c r="C374" t="s">
        <v>107</v>
      </c>
      <c r="D374">
        <v>20</v>
      </c>
      <c r="E374" t="s">
        <v>2208</v>
      </c>
      <c r="F374" t="s">
        <v>2208</v>
      </c>
      <c r="G374" t="s">
        <v>2208</v>
      </c>
    </row>
    <row r="375" spans="1:7">
      <c r="A375" t="s">
        <v>2145</v>
      </c>
      <c r="B375">
        <v>10</v>
      </c>
      <c r="C375" t="s">
        <v>107</v>
      </c>
      <c r="D375">
        <v>2</v>
      </c>
      <c r="E375" t="s">
        <v>2209</v>
      </c>
      <c r="F375" t="s">
        <v>2209</v>
      </c>
      <c r="G375" t="s">
        <v>2209</v>
      </c>
    </row>
    <row r="376" spans="1:7">
      <c r="A376" t="s">
        <v>2147</v>
      </c>
      <c r="B376">
        <v>10</v>
      </c>
      <c r="C376" t="s">
        <v>107</v>
      </c>
      <c r="D376">
        <v>8</v>
      </c>
      <c r="E376" t="s">
        <v>2210</v>
      </c>
      <c r="F376" t="s">
        <v>2210</v>
      </c>
      <c r="G376" t="s">
        <v>2210</v>
      </c>
    </row>
    <row r="377" spans="1:7">
      <c r="A377" t="s">
        <v>2149</v>
      </c>
      <c r="B377">
        <v>1</v>
      </c>
      <c r="C377" t="s">
        <v>108</v>
      </c>
      <c r="D377">
        <v>1</v>
      </c>
      <c r="E377" t="s">
        <v>2211</v>
      </c>
      <c r="F377" t="s">
        <v>2211</v>
      </c>
      <c r="G377" t="s">
        <v>2211</v>
      </c>
    </row>
    <row r="378" spans="1:7">
      <c r="A378" t="s">
        <v>2182</v>
      </c>
      <c r="B378">
        <v>4</v>
      </c>
      <c r="C378" t="s">
        <v>108</v>
      </c>
      <c r="D378">
        <v>0</v>
      </c>
      <c r="E378" t="s">
        <v>2212</v>
      </c>
      <c r="F378" t="s">
        <v>2212</v>
      </c>
      <c r="G378" t="s">
        <v>2212</v>
      </c>
    </row>
    <row r="379" spans="1:7">
      <c r="A379" t="s">
        <v>2184</v>
      </c>
      <c r="B379">
        <v>4</v>
      </c>
      <c r="C379" t="s">
        <v>108</v>
      </c>
      <c r="D379">
        <v>125</v>
      </c>
      <c r="E379" t="s">
        <v>2213</v>
      </c>
      <c r="F379" t="s">
        <v>2213</v>
      </c>
      <c r="G379" t="s">
        <v>2213</v>
      </c>
    </row>
    <row r="380" spans="1:7">
      <c r="A380" t="s">
        <v>2186</v>
      </c>
      <c r="B380">
        <v>20</v>
      </c>
      <c r="C380" t="s">
        <v>108</v>
      </c>
      <c r="D380">
        <v>5</v>
      </c>
      <c r="E380" t="s">
        <v>2214</v>
      </c>
      <c r="F380" t="s">
        <v>2214</v>
      </c>
      <c r="G380" t="s">
        <v>2214</v>
      </c>
    </row>
    <row r="381" spans="1:7">
      <c r="A381" t="s">
        <v>2188</v>
      </c>
      <c r="B381">
        <v>1</v>
      </c>
      <c r="C381" t="s">
        <v>210</v>
      </c>
      <c r="D381">
        <v>12</v>
      </c>
      <c r="E381" t="s">
        <v>2215</v>
      </c>
      <c r="F381" t="s">
        <v>2215</v>
      </c>
      <c r="G381" t="s">
        <v>2215</v>
      </c>
    </row>
    <row r="382" spans="1:7">
      <c r="A382" t="s">
        <v>2991</v>
      </c>
      <c r="B382">
        <v>20</v>
      </c>
      <c r="C382" t="s">
        <v>107</v>
      </c>
      <c r="D382">
        <v>13</v>
      </c>
      <c r="E382" t="s">
        <v>2990</v>
      </c>
      <c r="F382" t="s">
        <v>2990</v>
      </c>
      <c r="G382" t="s">
        <v>2990</v>
      </c>
    </row>
    <row r="383" spans="1:7">
      <c r="A383" t="s">
        <v>2440</v>
      </c>
      <c r="B383">
        <v>256</v>
      </c>
      <c r="C383" t="s">
        <v>108</v>
      </c>
      <c r="D383">
        <v>14</v>
      </c>
      <c r="E383" t="s">
        <v>2460</v>
      </c>
      <c r="F383" t="s">
        <v>2460</v>
      </c>
      <c r="G383" t="s">
        <v>2460</v>
      </c>
    </row>
    <row r="384" spans="1:7">
      <c r="A384" t="s">
        <v>2440</v>
      </c>
      <c r="B384">
        <v>256</v>
      </c>
      <c r="C384" t="s">
        <v>108</v>
      </c>
      <c r="D384">
        <v>67</v>
      </c>
      <c r="E384" t="s">
        <v>2461</v>
      </c>
      <c r="F384" t="s">
        <v>2461</v>
      </c>
      <c r="G384" t="s">
        <v>2461</v>
      </c>
    </row>
    <row r="385" spans="1:7">
      <c r="A385" t="s">
        <v>2443</v>
      </c>
      <c r="B385">
        <v>0.5</v>
      </c>
      <c r="C385" t="s">
        <v>108</v>
      </c>
      <c r="D385">
        <v>10</v>
      </c>
      <c r="E385" t="s">
        <v>2462</v>
      </c>
      <c r="F385" t="s">
        <v>2462</v>
      </c>
      <c r="G385" t="s">
        <v>2462</v>
      </c>
    </row>
    <row r="386" spans="1:7">
      <c r="A386" t="s">
        <v>2453</v>
      </c>
      <c r="B386">
        <v>10</v>
      </c>
      <c r="C386" t="s">
        <v>107</v>
      </c>
      <c r="D386">
        <v>25</v>
      </c>
      <c r="E386" t="s">
        <v>2463</v>
      </c>
      <c r="F386" t="s">
        <v>2463</v>
      </c>
      <c r="G386" t="s">
        <v>2463</v>
      </c>
    </row>
    <row r="387" spans="1:7">
      <c r="A387" t="s">
        <v>2539</v>
      </c>
      <c r="B387">
        <v>0.5</v>
      </c>
      <c r="C387" t="s">
        <v>106</v>
      </c>
      <c r="D387">
        <v>12</v>
      </c>
      <c r="E387" t="s">
        <v>2566</v>
      </c>
      <c r="F387" t="s">
        <v>2566</v>
      </c>
      <c r="G387" t="s">
        <v>2566</v>
      </c>
    </row>
    <row r="388" spans="1:7">
      <c r="A388" t="s">
        <v>2585</v>
      </c>
      <c r="B388">
        <v>0.25</v>
      </c>
      <c r="C388" t="s">
        <v>210</v>
      </c>
      <c r="D388">
        <v>40</v>
      </c>
      <c r="E388" t="s">
        <v>2591</v>
      </c>
      <c r="F388" t="s">
        <v>2591</v>
      </c>
      <c r="G388" t="s">
        <v>2591</v>
      </c>
    </row>
    <row r="389" spans="1:7">
      <c r="A389" t="s">
        <v>3029</v>
      </c>
      <c r="B389">
        <v>0.1</v>
      </c>
      <c r="C389" t="s">
        <v>106</v>
      </c>
      <c r="D389">
        <v>7</v>
      </c>
      <c r="E389" t="s">
        <v>3302</v>
      </c>
      <c r="F389" t="s">
        <v>3302</v>
      </c>
      <c r="G389" t="s">
        <v>3302</v>
      </c>
    </row>
    <row r="390" spans="1:7">
      <c r="A390" t="s">
        <v>3030</v>
      </c>
      <c r="B390">
        <v>0.1</v>
      </c>
      <c r="C390" t="s">
        <v>106</v>
      </c>
      <c r="D390">
        <v>10</v>
      </c>
      <c r="E390" t="s">
        <v>2592</v>
      </c>
      <c r="F390" t="s">
        <v>2592</v>
      </c>
      <c r="G390" t="s">
        <v>2592</v>
      </c>
    </row>
    <row r="391" spans="1:7">
      <c r="A391" t="s">
        <v>3096</v>
      </c>
      <c r="B391">
        <v>5</v>
      </c>
      <c r="C391" t="s">
        <v>107</v>
      </c>
      <c r="D391">
        <v>20</v>
      </c>
      <c r="E391" t="s">
        <v>2593</v>
      </c>
      <c r="F391" t="s">
        <v>2593</v>
      </c>
      <c r="G391" t="s">
        <v>2593</v>
      </c>
    </row>
    <row r="392" spans="1:7">
      <c r="A392" t="s">
        <v>2586</v>
      </c>
      <c r="B392">
        <v>10</v>
      </c>
      <c r="C392" t="s">
        <v>107</v>
      </c>
      <c r="D392">
        <v>150</v>
      </c>
      <c r="E392" t="s">
        <v>2594</v>
      </c>
      <c r="F392" t="s">
        <v>2594</v>
      </c>
      <c r="G392" t="s">
        <v>2594</v>
      </c>
    </row>
    <row r="393" spans="1:7">
      <c r="A393" t="s">
        <v>2973</v>
      </c>
      <c r="B393">
        <v>50</v>
      </c>
      <c r="C393" t="s">
        <v>107</v>
      </c>
      <c r="D393">
        <v>2</v>
      </c>
      <c r="E393" t="s">
        <v>2974</v>
      </c>
      <c r="F393" t="s">
        <v>2974</v>
      </c>
      <c r="G393" t="s">
        <v>2974</v>
      </c>
    </row>
    <row r="394" spans="1:7">
      <c r="A394" t="s">
        <v>2977</v>
      </c>
      <c r="B394">
        <v>5</v>
      </c>
      <c r="C394" t="s">
        <v>107</v>
      </c>
      <c r="D394">
        <v>30</v>
      </c>
      <c r="E394" t="s">
        <v>2979</v>
      </c>
      <c r="F394" t="s">
        <v>2979</v>
      </c>
      <c r="G394" t="s">
        <v>2979</v>
      </c>
    </row>
    <row r="395" spans="1:7">
      <c r="A395" t="s">
        <v>2978</v>
      </c>
      <c r="B395">
        <v>5</v>
      </c>
      <c r="C395" t="s">
        <v>107</v>
      </c>
      <c r="D395">
        <v>30</v>
      </c>
      <c r="E395" t="s">
        <v>2980</v>
      </c>
      <c r="F395" t="s">
        <v>2980</v>
      </c>
      <c r="G395" t="s">
        <v>2980</v>
      </c>
    </row>
    <row r="396" spans="1:7">
      <c r="A396" t="s">
        <v>2982</v>
      </c>
      <c r="B396">
        <v>1</v>
      </c>
      <c r="C396" t="s">
        <v>108</v>
      </c>
      <c r="D396">
        <v>3</v>
      </c>
      <c r="E396" t="s">
        <v>2987</v>
      </c>
      <c r="F396" t="s">
        <v>2987</v>
      </c>
      <c r="G396" t="s">
        <v>2987</v>
      </c>
    </row>
    <row r="397" spans="1:7">
      <c r="A397" t="s">
        <v>2985</v>
      </c>
      <c r="B397">
        <v>5</v>
      </c>
      <c r="C397" t="s">
        <v>107</v>
      </c>
      <c r="D397">
        <v>100</v>
      </c>
      <c r="E397" t="s">
        <v>2988</v>
      </c>
      <c r="F397" t="s">
        <v>2988</v>
      </c>
      <c r="G397" t="s">
        <v>2988</v>
      </c>
    </row>
    <row r="398" spans="1:7">
      <c r="A398" t="s">
        <v>2986</v>
      </c>
      <c r="B398">
        <v>5</v>
      </c>
      <c r="C398" t="s">
        <v>107</v>
      </c>
      <c r="D398">
        <v>100</v>
      </c>
      <c r="E398" t="s">
        <v>2989</v>
      </c>
      <c r="F398" t="s">
        <v>2989</v>
      </c>
      <c r="G398" t="s">
        <v>2989</v>
      </c>
    </row>
    <row r="399" spans="1:7">
      <c r="A399" t="s">
        <v>620</v>
      </c>
      <c r="B399">
        <v>1</v>
      </c>
      <c r="D399">
        <v>1</v>
      </c>
      <c r="E399" t="s">
        <v>1569</v>
      </c>
      <c r="F399" t="s">
        <v>1569</v>
      </c>
      <c r="G399" t="s">
        <v>1569</v>
      </c>
    </row>
    <row r="400" spans="1:7">
      <c r="A400" t="s">
        <v>713</v>
      </c>
      <c r="B400">
        <v>1</v>
      </c>
      <c r="D400">
        <v>1</v>
      </c>
      <c r="E400">
        <v>1000</v>
      </c>
      <c r="F400">
        <v>1000</v>
      </c>
      <c r="G400">
        <v>1000</v>
      </c>
    </row>
    <row r="401" spans="1:7">
      <c r="A401" t="s">
        <v>921</v>
      </c>
      <c r="B401" t="s">
        <v>1072</v>
      </c>
      <c r="C401" t="s">
        <v>108</v>
      </c>
      <c r="D401">
        <v>113</v>
      </c>
      <c r="E401">
        <v>1001</v>
      </c>
      <c r="F401">
        <v>1001</v>
      </c>
      <c r="G401">
        <v>1001</v>
      </c>
    </row>
    <row r="402" spans="1:7">
      <c r="A402" t="s">
        <v>922</v>
      </c>
      <c r="B402" t="s">
        <v>1072</v>
      </c>
      <c r="C402" t="s">
        <v>108</v>
      </c>
      <c r="D402">
        <v>200</v>
      </c>
      <c r="E402" t="s">
        <v>1570</v>
      </c>
      <c r="F402" t="s">
        <v>1570</v>
      </c>
      <c r="G402" t="s">
        <v>1570</v>
      </c>
    </row>
    <row r="403" spans="1:7">
      <c r="A403" t="s">
        <v>923</v>
      </c>
      <c r="B403" t="s">
        <v>1072</v>
      </c>
      <c r="C403" t="s">
        <v>108</v>
      </c>
      <c r="D403">
        <v>113</v>
      </c>
      <c r="E403" t="s">
        <v>1571</v>
      </c>
      <c r="F403" t="s">
        <v>1571</v>
      </c>
      <c r="G403" t="s">
        <v>1571</v>
      </c>
    </row>
    <row r="404" spans="1:7">
      <c r="A404" t="s">
        <v>924</v>
      </c>
      <c r="B404" t="s">
        <v>1072</v>
      </c>
      <c r="C404" t="s">
        <v>108</v>
      </c>
      <c r="D404">
        <v>200</v>
      </c>
      <c r="E404" t="s">
        <v>1572</v>
      </c>
      <c r="F404" t="s">
        <v>1572</v>
      </c>
      <c r="G404" t="s">
        <v>1572</v>
      </c>
    </row>
    <row r="405" spans="1:7">
      <c r="A405" t="s">
        <v>925</v>
      </c>
      <c r="B405" t="s">
        <v>1072</v>
      </c>
      <c r="C405" t="s">
        <v>108</v>
      </c>
      <c r="D405">
        <v>113</v>
      </c>
      <c r="E405" t="s">
        <v>1573</v>
      </c>
      <c r="F405" t="s">
        <v>1573</v>
      </c>
      <c r="G405" t="s">
        <v>1573</v>
      </c>
    </row>
    <row r="406" spans="1:7">
      <c r="A406" t="s">
        <v>926</v>
      </c>
      <c r="B406" t="s">
        <v>1072</v>
      </c>
      <c r="C406" t="s">
        <v>108</v>
      </c>
      <c r="D406">
        <v>200</v>
      </c>
      <c r="E406" t="s">
        <v>1574</v>
      </c>
      <c r="F406" t="s">
        <v>1574</v>
      </c>
      <c r="G406" t="s">
        <v>1574</v>
      </c>
    </row>
    <row r="407" spans="1:7">
      <c r="A407" t="s">
        <v>927</v>
      </c>
      <c r="B407" t="s">
        <v>1073</v>
      </c>
      <c r="C407" t="s">
        <v>1074</v>
      </c>
      <c r="D407">
        <v>70</v>
      </c>
      <c r="E407" t="s">
        <v>1575</v>
      </c>
      <c r="F407" t="s">
        <v>1575</v>
      </c>
      <c r="G407" t="s">
        <v>1575</v>
      </c>
    </row>
    <row r="408" spans="1:7">
      <c r="A408" t="s">
        <v>928</v>
      </c>
      <c r="B408" t="s">
        <v>1073</v>
      </c>
      <c r="C408" t="s">
        <v>1074</v>
      </c>
      <c r="D408">
        <v>46</v>
      </c>
      <c r="E408" t="s">
        <v>1576</v>
      </c>
      <c r="F408" t="s">
        <v>1576</v>
      </c>
      <c r="G408" t="s">
        <v>1576</v>
      </c>
    </row>
    <row r="409" spans="1:7">
      <c r="A409" t="s">
        <v>929</v>
      </c>
      <c r="B409" t="s">
        <v>1073</v>
      </c>
      <c r="C409" t="s">
        <v>1074</v>
      </c>
      <c r="D409">
        <v>36</v>
      </c>
      <c r="E409" t="s">
        <v>1577</v>
      </c>
      <c r="F409" t="s">
        <v>1577</v>
      </c>
      <c r="G409" t="s">
        <v>1577</v>
      </c>
    </row>
    <row r="410" spans="1:7">
      <c r="A410" t="s">
        <v>930</v>
      </c>
      <c r="B410" t="s">
        <v>1073</v>
      </c>
      <c r="C410" t="s">
        <v>1074</v>
      </c>
      <c r="D410">
        <v>21</v>
      </c>
      <c r="E410" t="s">
        <v>1578</v>
      </c>
      <c r="F410" t="s">
        <v>1578</v>
      </c>
      <c r="G410" t="s">
        <v>1578</v>
      </c>
    </row>
    <row r="411" spans="1:7">
      <c r="A411" t="s">
        <v>931</v>
      </c>
      <c r="B411" t="s">
        <v>1073</v>
      </c>
      <c r="C411" t="s">
        <v>1074</v>
      </c>
      <c r="D411">
        <v>117</v>
      </c>
      <c r="E411" t="s">
        <v>1579</v>
      </c>
      <c r="F411" t="s">
        <v>1579</v>
      </c>
      <c r="G411" t="s">
        <v>1579</v>
      </c>
    </row>
    <row r="412" spans="1:7">
      <c r="A412" t="s">
        <v>932</v>
      </c>
      <c r="B412" t="s">
        <v>1073</v>
      </c>
      <c r="C412" t="s">
        <v>1074</v>
      </c>
      <c r="D412">
        <v>82</v>
      </c>
      <c r="E412" t="s">
        <v>1580</v>
      </c>
      <c r="F412" t="s">
        <v>1580</v>
      </c>
      <c r="G412" t="s">
        <v>1580</v>
      </c>
    </row>
    <row r="413" spans="1:7">
      <c r="A413" t="s">
        <v>933</v>
      </c>
      <c r="B413" t="s">
        <v>1073</v>
      </c>
      <c r="C413" t="s">
        <v>1074</v>
      </c>
      <c r="D413">
        <v>22</v>
      </c>
      <c r="E413" t="s">
        <v>1581</v>
      </c>
      <c r="F413" t="s">
        <v>1581</v>
      </c>
      <c r="G413" t="s">
        <v>1581</v>
      </c>
    </row>
    <row r="414" spans="1:7">
      <c r="A414" t="s">
        <v>934</v>
      </c>
      <c r="B414" t="s">
        <v>1073</v>
      </c>
      <c r="C414" t="s">
        <v>1074</v>
      </c>
      <c r="D414">
        <v>12</v>
      </c>
      <c r="E414" t="s">
        <v>1582</v>
      </c>
      <c r="F414" t="s">
        <v>1582</v>
      </c>
      <c r="G414" t="s">
        <v>1582</v>
      </c>
    </row>
    <row r="415" spans="1:7">
      <c r="A415" t="s">
        <v>935</v>
      </c>
      <c r="B415" t="s">
        <v>1073</v>
      </c>
      <c r="C415" t="s">
        <v>1074</v>
      </c>
      <c r="D415">
        <v>46</v>
      </c>
      <c r="E415" t="s">
        <v>1583</v>
      </c>
      <c r="F415" t="s">
        <v>1583</v>
      </c>
      <c r="G415" t="s">
        <v>1583</v>
      </c>
    </row>
    <row r="416" spans="1:7">
      <c r="A416" t="s">
        <v>936</v>
      </c>
      <c r="B416" t="s">
        <v>1073</v>
      </c>
      <c r="C416" t="s">
        <v>1074</v>
      </c>
      <c r="D416">
        <v>27</v>
      </c>
      <c r="E416" t="s">
        <v>1584</v>
      </c>
      <c r="F416" t="s">
        <v>1584</v>
      </c>
      <c r="G416" t="s">
        <v>1584</v>
      </c>
    </row>
    <row r="417" spans="1:7">
      <c r="A417" t="s">
        <v>937</v>
      </c>
      <c r="B417" t="s">
        <v>1073</v>
      </c>
      <c r="C417" t="s">
        <v>1074</v>
      </c>
      <c r="D417">
        <v>75</v>
      </c>
      <c r="E417" t="s">
        <v>1585</v>
      </c>
      <c r="F417" t="s">
        <v>1585</v>
      </c>
      <c r="G417" t="s">
        <v>1585</v>
      </c>
    </row>
    <row r="418" spans="1:7">
      <c r="A418" t="s">
        <v>938</v>
      </c>
      <c r="B418" t="s">
        <v>1073</v>
      </c>
      <c r="C418" t="s">
        <v>1074</v>
      </c>
      <c r="D418">
        <v>50</v>
      </c>
      <c r="E418" t="s">
        <v>1586</v>
      </c>
      <c r="F418" t="s">
        <v>1586</v>
      </c>
      <c r="G418" t="s">
        <v>1586</v>
      </c>
    </row>
    <row r="419" spans="1:7">
      <c r="A419" t="s">
        <v>939</v>
      </c>
      <c r="B419" t="s">
        <v>1073</v>
      </c>
      <c r="C419" t="s">
        <v>1074</v>
      </c>
      <c r="D419">
        <v>117</v>
      </c>
      <c r="E419" t="s">
        <v>1587</v>
      </c>
      <c r="F419" t="s">
        <v>1587</v>
      </c>
      <c r="G419" t="s">
        <v>1587</v>
      </c>
    </row>
    <row r="420" spans="1:7">
      <c r="A420" t="s">
        <v>940</v>
      </c>
      <c r="B420" t="s">
        <v>1073</v>
      </c>
      <c r="C420" t="s">
        <v>1074</v>
      </c>
      <c r="D420">
        <v>82</v>
      </c>
      <c r="E420" t="s">
        <v>1588</v>
      </c>
      <c r="F420" t="s">
        <v>1588</v>
      </c>
      <c r="G420" t="s">
        <v>1588</v>
      </c>
    </row>
    <row r="421" spans="1:7">
      <c r="A421" t="s">
        <v>941</v>
      </c>
      <c r="B421" t="s">
        <v>1073</v>
      </c>
      <c r="C421" t="s">
        <v>1074</v>
      </c>
      <c r="D421">
        <v>170</v>
      </c>
      <c r="E421" t="s">
        <v>1589</v>
      </c>
      <c r="F421" t="s">
        <v>1589</v>
      </c>
      <c r="G421" t="s">
        <v>1589</v>
      </c>
    </row>
    <row r="422" spans="1:7">
      <c r="A422" t="s">
        <v>942</v>
      </c>
      <c r="B422" t="s">
        <v>1073</v>
      </c>
      <c r="C422" t="s">
        <v>1074</v>
      </c>
      <c r="D422">
        <v>127</v>
      </c>
      <c r="E422" t="s">
        <v>1590</v>
      </c>
      <c r="F422" t="s">
        <v>1590</v>
      </c>
      <c r="G422" t="s">
        <v>1590</v>
      </c>
    </row>
    <row r="423" spans="1:7">
      <c r="A423" t="s">
        <v>943</v>
      </c>
      <c r="B423" t="s">
        <v>1073</v>
      </c>
      <c r="C423" t="s">
        <v>1074</v>
      </c>
      <c r="D423">
        <v>184</v>
      </c>
      <c r="E423" t="s">
        <v>1591</v>
      </c>
      <c r="F423" t="s">
        <v>1591</v>
      </c>
      <c r="G423" t="s">
        <v>1591</v>
      </c>
    </row>
    <row r="424" spans="1:7">
      <c r="A424" t="s">
        <v>944</v>
      </c>
      <c r="B424" t="s">
        <v>1073</v>
      </c>
      <c r="C424" t="s">
        <v>1074</v>
      </c>
      <c r="D424">
        <v>5</v>
      </c>
      <c r="E424" t="s">
        <v>1592</v>
      </c>
      <c r="F424" t="s">
        <v>1592</v>
      </c>
      <c r="G424" t="s">
        <v>1592</v>
      </c>
    </row>
    <row r="425" spans="1:7">
      <c r="A425" t="s">
        <v>945</v>
      </c>
      <c r="B425" t="s">
        <v>1073</v>
      </c>
      <c r="C425" t="s">
        <v>1074</v>
      </c>
      <c r="D425">
        <v>0</v>
      </c>
      <c r="E425" t="s">
        <v>1593</v>
      </c>
      <c r="F425" t="s">
        <v>1593</v>
      </c>
      <c r="G425" t="s">
        <v>1593</v>
      </c>
    </row>
    <row r="426" spans="1:7">
      <c r="A426" t="s">
        <v>946</v>
      </c>
      <c r="B426" t="s">
        <v>1073</v>
      </c>
      <c r="C426" t="s">
        <v>1074</v>
      </c>
      <c r="D426">
        <v>127</v>
      </c>
      <c r="E426" t="s">
        <v>1594</v>
      </c>
      <c r="F426" t="s">
        <v>1594</v>
      </c>
      <c r="G426" t="s">
        <v>1594</v>
      </c>
    </row>
    <row r="427" spans="1:7">
      <c r="A427" t="s">
        <v>947</v>
      </c>
      <c r="B427" t="s">
        <v>1073</v>
      </c>
      <c r="C427" t="s">
        <v>1074</v>
      </c>
      <c r="D427">
        <v>90</v>
      </c>
      <c r="E427" t="s">
        <v>1595</v>
      </c>
      <c r="F427" t="s">
        <v>1595</v>
      </c>
      <c r="G427" t="s">
        <v>1595</v>
      </c>
    </row>
    <row r="428" spans="1:7">
      <c r="A428" t="s">
        <v>948</v>
      </c>
      <c r="B428" t="s">
        <v>1073</v>
      </c>
      <c r="C428" t="s">
        <v>1074</v>
      </c>
      <c r="D428">
        <v>86</v>
      </c>
      <c r="E428" t="s">
        <v>1596</v>
      </c>
      <c r="F428" t="s">
        <v>1596</v>
      </c>
      <c r="G428" t="s">
        <v>1596</v>
      </c>
    </row>
    <row r="429" spans="1:7">
      <c r="A429" t="s">
        <v>949</v>
      </c>
      <c r="B429" t="s">
        <v>1073</v>
      </c>
      <c r="C429" t="s">
        <v>1074</v>
      </c>
      <c r="D429">
        <v>57</v>
      </c>
      <c r="E429" t="s">
        <v>1597</v>
      </c>
      <c r="F429" t="s">
        <v>1597</v>
      </c>
      <c r="G429" t="s">
        <v>1597</v>
      </c>
    </row>
    <row r="430" spans="1:7">
      <c r="A430" t="s">
        <v>950</v>
      </c>
      <c r="B430" t="s">
        <v>1073</v>
      </c>
      <c r="C430" t="s">
        <v>1074</v>
      </c>
      <c r="D430">
        <v>52</v>
      </c>
      <c r="E430" t="s">
        <v>1598</v>
      </c>
      <c r="F430" t="s">
        <v>1598</v>
      </c>
      <c r="G430" t="s">
        <v>1598</v>
      </c>
    </row>
    <row r="431" spans="1:7">
      <c r="A431" t="s">
        <v>951</v>
      </c>
      <c r="B431" t="s">
        <v>1073</v>
      </c>
      <c r="C431" t="s">
        <v>1074</v>
      </c>
      <c r="D431">
        <v>33</v>
      </c>
      <c r="E431" t="s">
        <v>1599</v>
      </c>
      <c r="F431" t="s">
        <v>1599</v>
      </c>
      <c r="G431" t="s">
        <v>1599</v>
      </c>
    </row>
    <row r="432" spans="1:7">
      <c r="A432" t="s">
        <v>952</v>
      </c>
      <c r="B432" t="s">
        <v>1073</v>
      </c>
      <c r="C432" t="s">
        <v>1074</v>
      </c>
      <c r="D432">
        <v>26</v>
      </c>
      <c r="E432" t="s">
        <v>1600</v>
      </c>
      <c r="F432" t="s">
        <v>1600</v>
      </c>
      <c r="G432" t="s">
        <v>1600</v>
      </c>
    </row>
    <row r="433" spans="1:7">
      <c r="A433" t="s">
        <v>953</v>
      </c>
      <c r="B433" t="s">
        <v>1073</v>
      </c>
      <c r="C433" t="s">
        <v>1074</v>
      </c>
      <c r="D433">
        <v>14</v>
      </c>
      <c r="E433" t="s">
        <v>1601</v>
      </c>
      <c r="F433" t="s">
        <v>1601</v>
      </c>
      <c r="G433" t="s">
        <v>1601</v>
      </c>
    </row>
    <row r="434" spans="1:7">
      <c r="A434" t="s">
        <v>954</v>
      </c>
      <c r="B434" t="s">
        <v>1073</v>
      </c>
      <c r="C434" t="s">
        <v>1074</v>
      </c>
      <c r="D434">
        <v>46</v>
      </c>
      <c r="E434" t="s">
        <v>1602</v>
      </c>
      <c r="F434" t="s">
        <v>1602</v>
      </c>
      <c r="G434" t="s">
        <v>1602</v>
      </c>
    </row>
    <row r="435" spans="1:7">
      <c r="A435" t="s">
        <v>955</v>
      </c>
      <c r="B435" t="s">
        <v>1073</v>
      </c>
      <c r="C435" t="s">
        <v>1074</v>
      </c>
      <c r="D435">
        <v>28</v>
      </c>
      <c r="E435" t="s">
        <v>1603</v>
      </c>
      <c r="F435" t="s">
        <v>1603</v>
      </c>
      <c r="G435" t="s">
        <v>1603</v>
      </c>
    </row>
    <row r="436" spans="1:7">
      <c r="A436" t="s">
        <v>956</v>
      </c>
      <c r="B436" t="s">
        <v>1073</v>
      </c>
      <c r="C436" t="s">
        <v>1074</v>
      </c>
      <c r="D436">
        <v>102</v>
      </c>
      <c r="E436" t="s">
        <v>1604</v>
      </c>
      <c r="F436" t="s">
        <v>1604</v>
      </c>
      <c r="G436" t="s">
        <v>1604</v>
      </c>
    </row>
    <row r="437" spans="1:7">
      <c r="A437" t="s">
        <v>957</v>
      </c>
      <c r="B437" t="s">
        <v>1073</v>
      </c>
      <c r="C437" t="s">
        <v>1074</v>
      </c>
      <c r="D437">
        <v>70</v>
      </c>
      <c r="E437" t="s">
        <v>1605</v>
      </c>
      <c r="F437" t="s">
        <v>1605</v>
      </c>
      <c r="G437" t="s">
        <v>1605</v>
      </c>
    </row>
    <row r="438" spans="1:7">
      <c r="A438" t="s">
        <v>958</v>
      </c>
      <c r="B438" t="s">
        <v>1073</v>
      </c>
      <c r="C438" t="s">
        <v>1074</v>
      </c>
      <c r="D438">
        <v>19</v>
      </c>
      <c r="E438" t="s">
        <v>1606</v>
      </c>
      <c r="F438" t="s">
        <v>1606</v>
      </c>
      <c r="G438" t="s">
        <v>1606</v>
      </c>
    </row>
    <row r="439" spans="1:7">
      <c r="A439" t="s">
        <v>959</v>
      </c>
      <c r="B439" t="s">
        <v>1073</v>
      </c>
      <c r="C439" t="s">
        <v>1074</v>
      </c>
      <c r="D439">
        <v>9</v>
      </c>
      <c r="E439" t="s">
        <v>1607</v>
      </c>
      <c r="F439" t="s">
        <v>1607</v>
      </c>
      <c r="G439" t="s">
        <v>1607</v>
      </c>
    </row>
    <row r="440" spans="1:7">
      <c r="A440" t="s">
        <v>960</v>
      </c>
      <c r="B440" t="s">
        <v>1073</v>
      </c>
      <c r="C440" t="s">
        <v>1074</v>
      </c>
      <c r="D440">
        <v>8</v>
      </c>
      <c r="E440" t="s">
        <v>1608</v>
      </c>
      <c r="F440" t="s">
        <v>1608</v>
      </c>
      <c r="G440" t="s">
        <v>1608</v>
      </c>
    </row>
    <row r="441" spans="1:7">
      <c r="A441" t="s">
        <v>961</v>
      </c>
      <c r="B441" t="s">
        <v>1073</v>
      </c>
      <c r="C441" t="s">
        <v>1074</v>
      </c>
      <c r="D441">
        <v>0</v>
      </c>
      <c r="E441" t="s">
        <v>1609</v>
      </c>
      <c r="F441" t="s">
        <v>1609</v>
      </c>
      <c r="G441" t="s">
        <v>1609</v>
      </c>
    </row>
    <row r="442" spans="1:7">
      <c r="A442" t="s">
        <v>962</v>
      </c>
      <c r="B442" t="s">
        <v>1073</v>
      </c>
      <c r="C442" t="s">
        <v>1074</v>
      </c>
      <c r="D442">
        <v>73</v>
      </c>
      <c r="E442" t="s">
        <v>1610</v>
      </c>
      <c r="F442" t="s">
        <v>1610</v>
      </c>
      <c r="G442" t="s">
        <v>1610</v>
      </c>
    </row>
    <row r="443" spans="1:7">
      <c r="A443" t="s">
        <v>963</v>
      </c>
      <c r="B443" t="s">
        <v>1073</v>
      </c>
      <c r="C443" t="s">
        <v>1074</v>
      </c>
      <c r="D443">
        <v>47</v>
      </c>
      <c r="E443" t="s">
        <v>1611</v>
      </c>
      <c r="F443" t="s">
        <v>1611</v>
      </c>
      <c r="G443" t="s">
        <v>1611</v>
      </c>
    </row>
    <row r="444" spans="1:7">
      <c r="A444" t="s">
        <v>964</v>
      </c>
      <c r="B444" t="s">
        <v>1073</v>
      </c>
      <c r="C444" t="s">
        <v>1074</v>
      </c>
      <c r="D444">
        <v>137</v>
      </c>
      <c r="E444" t="s">
        <v>1612</v>
      </c>
      <c r="F444" t="s">
        <v>1612</v>
      </c>
      <c r="G444" t="s">
        <v>1612</v>
      </c>
    </row>
    <row r="445" spans="1:7">
      <c r="A445" t="s">
        <v>965</v>
      </c>
      <c r="B445" t="s">
        <v>1073</v>
      </c>
      <c r="C445" t="s">
        <v>1074</v>
      </c>
      <c r="D445">
        <v>97</v>
      </c>
      <c r="E445" t="s">
        <v>1613</v>
      </c>
      <c r="F445" t="s">
        <v>1613</v>
      </c>
      <c r="G445" t="s">
        <v>1613</v>
      </c>
    </row>
    <row r="446" spans="1:7">
      <c r="A446" t="s">
        <v>966</v>
      </c>
      <c r="B446" t="s">
        <v>1073</v>
      </c>
      <c r="C446" t="s">
        <v>1074</v>
      </c>
      <c r="D446">
        <v>31</v>
      </c>
      <c r="E446" t="s">
        <v>1614</v>
      </c>
      <c r="F446" t="s">
        <v>1614</v>
      </c>
      <c r="G446" t="s">
        <v>1614</v>
      </c>
    </row>
    <row r="447" spans="1:7">
      <c r="A447" t="s">
        <v>967</v>
      </c>
      <c r="B447" t="s">
        <v>1073</v>
      </c>
      <c r="C447" t="s">
        <v>1074</v>
      </c>
      <c r="D447">
        <v>17</v>
      </c>
      <c r="E447" t="s">
        <v>1615</v>
      </c>
      <c r="F447" t="s">
        <v>1615</v>
      </c>
      <c r="G447" t="s">
        <v>1615</v>
      </c>
    </row>
    <row r="448" spans="1:7">
      <c r="A448" t="s">
        <v>968</v>
      </c>
      <c r="B448" t="s">
        <v>1073</v>
      </c>
      <c r="C448" t="s">
        <v>1074</v>
      </c>
      <c r="D448">
        <v>8</v>
      </c>
      <c r="E448" t="s">
        <v>1616</v>
      </c>
      <c r="F448" t="s">
        <v>1616</v>
      </c>
      <c r="G448" t="s">
        <v>1616</v>
      </c>
    </row>
    <row r="449" spans="1:7">
      <c r="A449" t="s">
        <v>969</v>
      </c>
      <c r="B449" t="s">
        <v>1073</v>
      </c>
      <c r="C449" t="s">
        <v>1074</v>
      </c>
      <c r="D449">
        <v>0</v>
      </c>
      <c r="E449" t="s">
        <v>1617</v>
      </c>
      <c r="F449" t="s">
        <v>1617</v>
      </c>
      <c r="G449" t="s">
        <v>1617</v>
      </c>
    </row>
    <row r="450" spans="1:7">
      <c r="A450" t="s">
        <v>970</v>
      </c>
      <c r="B450" t="s">
        <v>1073</v>
      </c>
      <c r="C450" t="s">
        <v>1074</v>
      </c>
      <c r="D450">
        <v>72</v>
      </c>
      <c r="E450" t="s">
        <v>1618</v>
      </c>
      <c r="F450" t="s">
        <v>1618</v>
      </c>
      <c r="G450" t="s">
        <v>1618</v>
      </c>
    </row>
    <row r="451" spans="1:7">
      <c r="A451" t="s">
        <v>971</v>
      </c>
      <c r="B451" t="s">
        <v>1073</v>
      </c>
      <c r="C451" t="s">
        <v>1074</v>
      </c>
      <c r="D451">
        <v>47</v>
      </c>
      <c r="E451" t="s">
        <v>1619</v>
      </c>
      <c r="F451" t="s">
        <v>1619</v>
      </c>
      <c r="G451" t="s">
        <v>1619</v>
      </c>
    </row>
    <row r="452" spans="1:7">
      <c r="A452" t="s">
        <v>972</v>
      </c>
      <c r="B452" t="s">
        <v>1073</v>
      </c>
      <c r="C452" t="s">
        <v>1074</v>
      </c>
      <c r="D452">
        <v>137</v>
      </c>
      <c r="E452" t="s">
        <v>1620</v>
      </c>
      <c r="F452" t="s">
        <v>1620</v>
      </c>
      <c r="G452" t="s">
        <v>1620</v>
      </c>
    </row>
    <row r="453" spans="1:7">
      <c r="A453" t="s">
        <v>973</v>
      </c>
      <c r="B453" t="s">
        <v>1073</v>
      </c>
      <c r="C453" t="s">
        <v>1074</v>
      </c>
      <c r="D453">
        <v>97</v>
      </c>
      <c r="E453" t="s">
        <v>1621</v>
      </c>
      <c r="F453" t="s">
        <v>1621</v>
      </c>
      <c r="G453" t="s">
        <v>1621</v>
      </c>
    </row>
    <row r="454" spans="1:7">
      <c r="A454" t="s">
        <v>974</v>
      </c>
      <c r="B454" t="s">
        <v>1073</v>
      </c>
      <c r="C454" t="s">
        <v>1074</v>
      </c>
      <c r="D454">
        <v>31</v>
      </c>
      <c r="E454" t="s">
        <v>1622</v>
      </c>
      <c r="F454" t="s">
        <v>1622</v>
      </c>
      <c r="G454" t="s">
        <v>1622</v>
      </c>
    </row>
    <row r="455" spans="1:7">
      <c r="A455" t="s">
        <v>975</v>
      </c>
      <c r="B455" t="s">
        <v>1073</v>
      </c>
      <c r="C455" t="s">
        <v>1074</v>
      </c>
      <c r="D455">
        <v>17</v>
      </c>
      <c r="E455" t="s">
        <v>1623</v>
      </c>
      <c r="F455" t="s">
        <v>1623</v>
      </c>
      <c r="G455" t="s">
        <v>1623</v>
      </c>
    </row>
    <row r="456" spans="1:7">
      <c r="A456" t="s">
        <v>976</v>
      </c>
      <c r="B456" t="s">
        <v>1073</v>
      </c>
      <c r="C456" t="s">
        <v>1074</v>
      </c>
      <c r="D456">
        <v>8</v>
      </c>
      <c r="E456" t="s">
        <v>1624</v>
      </c>
      <c r="F456" t="s">
        <v>1624</v>
      </c>
      <c r="G456" t="s">
        <v>1624</v>
      </c>
    </row>
    <row r="457" spans="1:7">
      <c r="A457" t="s">
        <v>977</v>
      </c>
      <c r="B457" t="s">
        <v>1073</v>
      </c>
      <c r="C457" t="s">
        <v>1074</v>
      </c>
      <c r="D457">
        <v>0</v>
      </c>
      <c r="E457" t="s">
        <v>1625</v>
      </c>
      <c r="F457" t="s">
        <v>1625</v>
      </c>
      <c r="G457" t="s">
        <v>1625</v>
      </c>
    </row>
    <row r="458" spans="1:7">
      <c r="A458" t="s">
        <v>978</v>
      </c>
      <c r="B458" t="s">
        <v>1073</v>
      </c>
      <c r="C458" t="s">
        <v>1074</v>
      </c>
      <c r="D458">
        <v>72</v>
      </c>
      <c r="E458" t="s">
        <v>1626</v>
      </c>
      <c r="F458" t="s">
        <v>1626</v>
      </c>
      <c r="G458" t="s">
        <v>1626</v>
      </c>
    </row>
    <row r="459" spans="1:7">
      <c r="A459" t="s">
        <v>979</v>
      </c>
      <c r="B459" t="s">
        <v>1073</v>
      </c>
      <c r="C459" t="s">
        <v>1074</v>
      </c>
      <c r="D459">
        <v>47</v>
      </c>
      <c r="E459" t="s">
        <v>1627</v>
      </c>
      <c r="F459" t="s">
        <v>1627</v>
      </c>
      <c r="G459" t="s">
        <v>1627</v>
      </c>
    </row>
    <row r="460" spans="1:7">
      <c r="A460" t="s">
        <v>980</v>
      </c>
      <c r="B460" t="s">
        <v>1073</v>
      </c>
      <c r="C460" t="s">
        <v>1074</v>
      </c>
      <c r="D460">
        <v>137</v>
      </c>
      <c r="E460" t="s">
        <v>1628</v>
      </c>
      <c r="F460" t="s">
        <v>1628</v>
      </c>
      <c r="G460" t="s">
        <v>1628</v>
      </c>
    </row>
    <row r="461" spans="1:7">
      <c r="A461" t="s">
        <v>981</v>
      </c>
      <c r="B461" t="s">
        <v>1073</v>
      </c>
      <c r="C461" t="s">
        <v>1074</v>
      </c>
      <c r="D461">
        <v>97</v>
      </c>
      <c r="E461" t="s">
        <v>1629</v>
      </c>
      <c r="F461" t="s">
        <v>1629</v>
      </c>
      <c r="G461" t="s">
        <v>1629</v>
      </c>
    </row>
    <row r="462" spans="1:7">
      <c r="A462" t="s">
        <v>982</v>
      </c>
      <c r="B462" t="s">
        <v>1073</v>
      </c>
      <c r="C462" t="s">
        <v>1074</v>
      </c>
      <c r="D462">
        <v>31</v>
      </c>
      <c r="E462" t="s">
        <v>1630</v>
      </c>
      <c r="F462" t="s">
        <v>1630</v>
      </c>
      <c r="G462" t="s">
        <v>1630</v>
      </c>
    </row>
    <row r="463" spans="1:7">
      <c r="A463" t="s">
        <v>983</v>
      </c>
      <c r="B463" t="s">
        <v>1073</v>
      </c>
      <c r="C463" t="s">
        <v>1074</v>
      </c>
      <c r="D463">
        <v>17</v>
      </c>
      <c r="E463" t="s">
        <v>1631</v>
      </c>
      <c r="F463" t="s">
        <v>1631</v>
      </c>
      <c r="G463" t="s">
        <v>1631</v>
      </c>
    </row>
    <row r="464" spans="1:7">
      <c r="A464" t="s">
        <v>984</v>
      </c>
      <c r="B464" t="s">
        <v>1073</v>
      </c>
      <c r="C464" t="s">
        <v>1074</v>
      </c>
      <c r="D464">
        <v>8</v>
      </c>
      <c r="E464" t="s">
        <v>1632</v>
      </c>
      <c r="F464" t="s">
        <v>1632</v>
      </c>
      <c r="G464" t="s">
        <v>1632</v>
      </c>
    </row>
    <row r="465" spans="1:7">
      <c r="A465" t="s">
        <v>985</v>
      </c>
      <c r="B465" t="s">
        <v>1073</v>
      </c>
      <c r="C465" t="s">
        <v>1074</v>
      </c>
      <c r="D465">
        <v>0</v>
      </c>
      <c r="E465" t="s">
        <v>1633</v>
      </c>
      <c r="F465" t="s">
        <v>1633</v>
      </c>
      <c r="G465" t="s">
        <v>1633</v>
      </c>
    </row>
    <row r="466" spans="1:7">
      <c r="A466" t="s">
        <v>986</v>
      </c>
      <c r="B466" t="s">
        <v>1073</v>
      </c>
      <c r="C466" t="s">
        <v>1074</v>
      </c>
      <c r="D466">
        <v>72</v>
      </c>
      <c r="E466" t="s">
        <v>1634</v>
      </c>
      <c r="F466" t="s">
        <v>1634</v>
      </c>
      <c r="G466" t="s">
        <v>1634</v>
      </c>
    </row>
    <row r="467" spans="1:7">
      <c r="A467" t="s">
        <v>987</v>
      </c>
      <c r="B467" t="s">
        <v>1073</v>
      </c>
      <c r="C467" t="s">
        <v>1074</v>
      </c>
      <c r="D467">
        <v>47</v>
      </c>
      <c r="E467" t="s">
        <v>1635</v>
      </c>
      <c r="F467" t="s">
        <v>1635</v>
      </c>
      <c r="G467" t="s">
        <v>1635</v>
      </c>
    </row>
    <row r="468" spans="1:7">
      <c r="A468" t="s">
        <v>988</v>
      </c>
      <c r="B468" t="s">
        <v>1073</v>
      </c>
      <c r="C468" t="s">
        <v>1074</v>
      </c>
      <c r="D468">
        <v>137</v>
      </c>
      <c r="E468" t="s">
        <v>1636</v>
      </c>
      <c r="F468" t="s">
        <v>1636</v>
      </c>
      <c r="G468" t="s">
        <v>1636</v>
      </c>
    </row>
    <row r="469" spans="1:7">
      <c r="A469" t="s">
        <v>989</v>
      </c>
      <c r="B469" t="s">
        <v>1073</v>
      </c>
      <c r="C469" t="s">
        <v>1074</v>
      </c>
      <c r="D469">
        <v>97</v>
      </c>
      <c r="E469" t="s">
        <v>1637</v>
      </c>
      <c r="F469" t="s">
        <v>1637</v>
      </c>
      <c r="G469" t="s">
        <v>1637</v>
      </c>
    </row>
    <row r="470" spans="1:7">
      <c r="A470" t="s">
        <v>990</v>
      </c>
      <c r="B470" t="s">
        <v>1073</v>
      </c>
      <c r="C470" t="s">
        <v>1074</v>
      </c>
      <c r="D470">
        <v>31</v>
      </c>
      <c r="E470" t="s">
        <v>1638</v>
      </c>
      <c r="F470" t="s">
        <v>1638</v>
      </c>
      <c r="G470" t="s">
        <v>1638</v>
      </c>
    </row>
    <row r="471" spans="1:7">
      <c r="A471" t="s">
        <v>991</v>
      </c>
      <c r="B471" t="s">
        <v>1073</v>
      </c>
      <c r="C471" t="s">
        <v>1074</v>
      </c>
      <c r="D471">
        <v>17</v>
      </c>
      <c r="E471" t="s">
        <v>1639</v>
      </c>
      <c r="F471" t="s">
        <v>1639</v>
      </c>
      <c r="G471" t="s">
        <v>1639</v>
      </c>
    </row>
    <row r="472" spans="1:7">
      <c r="A472" t="s">
        <v>992</v>
      </c>
      <c r="B472" t="s">
        <v>1073</v>
      </c>
      <c r="C472" t="s">
        <v>1074</v>
      </c>
      <c r="D472">
        <v>8</v>
      </c>
      <c r="E472" t="s">
        <v>1640</v>
      </c>
      <c r="F472" t="s">
        <v>1640</v>
      </c>
      <c r="G472" t="s">
        <v>1640</v>
      </c>
    </row>
    <row r="473" spans="1:7">
      <c r="A473" t="s">
        <v>993</v>
      </c>
      <c r="B473" t="s">
        <v>1073</v>
      </c>
      <c r="C473" t="s">
        <v>1074</v>
      </c>
      <c r="D473">
        <v>0</v>
      </c>
      <c r="E473" t="s">
        <v>1641</v>
      </c>
      <c r="F473" t="s">
        <v>1641</v>
      </c>
      <c r="G473" t="s">
        <v>1641</v>
      </c>
    </row>
    <row r="474" spans="1:7">
      <c r="A474" t="s">
        <v>994</v>
      </c>
      <c r="B474" t="s">
        <v>1073</v>
      </c>
      <c r="C474" t="s">
        <v>1074</v>
      </c>
      <c r="D474">
        <v>78</v>
      </c>
      <c r="E474" t="s">
        <v>1642</v>
      </c>
      <c r="F474" t="s">
        <v>1642</v>
      </c>
      <c r="G474" t="s">
        <v>1642</v>
      </c>
    </row>
    <row r="475" spans="1:7">
      <c r="A475" t="s">
        <v>995</v>
      </c>
      <c r="B475" t="s">
        <v>1073</v>
      </c>
      <c r="C475" t="s">
        <v>1074</v>
      </c>
      <c r="D475">
        <v>52</v>
      </c>
      <c r="E475" t="s">
        <v>1643</v>
      </c>
      <c r="F475" t="s">
        <v>1643</v>
      </c>
      <c r="G475" t="s">
        <v>1643</v>
      </c>
    </row>
    <row r="476" spans="1:7">
      <c r="A476" t="s">
        <v>996</v>
      </c>
      <c r="B476" t="s">
        <v>1073</v>
      </c>
      <c r="C476" t="s">
        <v>1074</v>
      </c>
      <c r="D476">
        <v>147</v>
      </c>
      <c r="E476" t="s">
        <v>1644</v>
      </c>
      <c r="F476" t="s">
        <v>1644</v>
      </c>
      <c r="G476" t="s">
        <v>1644</v>
      </c>
    </row>
    <row r="477" spans="1:7">
      <c r="A477" t="s">
        <v>997</v>
      </c>
      <c r="B477" t="s">
        <v>1073</v>
      </c>
      <c r="C477" t="s">
        <v>1074</v>
      </c>
      <c r="D477">
        <v>105</v>
      </c>
      <c r="E477" t="s">
        <v>1645</v>
      </c>
      <c r="F477" t="s">
        <v>1645</v>
      </c>
      <c r="G477" t="s">
        <v>1645</v>
      </c>
    </row>
    <row r="478" spans="1:7">
      <c r="A478" t="s">
        <v>998</v>
      </c>
      <c r="B478" t="s">
        <v>1073</v>
      </c>
      <c r="C478" t="s">
        <v>1074</v>
      </c>
      <c r="D478">
        <v>33</v>
      </c>
      <c r="E478" t="s">
        <v>1646</v>
      </c>
      <c r="F478" t="s">
        <v>1646</v>
      </c>
      <c r="G478" t="s">
        <v>1646</v>
      </c>
    </row>
    <row r="479" spans="1:7">
      <c r="A479" t="s">
        <v>999</v>
      </c>
      <c r="B479" t="s">
        <v>1073</v>
      </c>
      <c r="C479" t="s">
        <v>1074</v>
      </c>
      <c r="D479">
        <v>19</v>
      </c>
      <c r="E479" t="s">
        <v>1647</v>
      </c>
      <c r="F479" t="s">
        <v>1647</v>
      </c>
      <c r="G479" t="s">
        <v>1647</v>
      </c>
    </row>
    <row r="480" spans="1:7">
      <c r="A480" t="s">
        <v>1000</v>
      </c>
      <c r="B480" t="s">
        <v>1073</v>
      </c>
      <c r="C480" t="s">
        <v>1074</v>
      </c>
      <c r="D480">
        <v>8</v>
      </c>
      <c r="E480" t="s">
        <v>1648</v>
      </c>
      <c r="F480" t="s">
        <v>1648</v>
      </c>
      <c r="G480" t="s">
        <v>1648</v>
      </c>
    </row>
    <row r="481" spans="1:7">
      <c r="A481" t="s">
        <v>1001</v>
      </c>
      <c r="B481" t="s">
        <v>1073</v>
      </c>
      <c r="C481" t="s">
        <v>1074</v>
      </c>
      <c r="D481">
        <v>0</v>
      </c>
      <c r="E481" t="s">
        <v>1649</v>
      </c>
      <c r="F481" t="s">
        <v>1649</v>
      </c>
      <c r="G481" t="s">
        <v>1649</v>
      </c>
    </row>
    <row r="482" spans="1:7">
      <c r="A482" t="s">
        <v>1002</v>
      </c>
      <c r="B482" t="s">
        <v>1073</v>
      </c>
      <c r="C482" t="s">
        <v>1074</v>
      </c>
      <c r="D482">
        <v>78</v>
      </c>
      <c r="E482" t="s">
        <v>1650</v>
      </c>
      <c r="F482" t="s">
        <v>1650</v>
      </c>
      <c r="G482" t="s">
        <v>1650</v>
      </c>
    </row>
    <row r="483" spans="1:7">
      <c r="A483" t="s">
        <v>1003</v>
      </c>
      <c r="B483" t="s">
        <v>1073</v>
      </c>
      <c r="C483" t="s">
        <v>1074</v>
      </c>
      <c r="D483">
        <v>52</v>
      </c>
      <c r="E483" t="s">
        <v>1651</v>
      </c>
      <c r="F483" t="s">
        <v>1651</v>
      </c>
      <c r="G483" t="s">
        <v>1651</v>
      </c>
    </row>
    <row r="484" spans="1:7">
      <c r="A484" t="s">
        <v>1004</v>
      </c>
      <c r="B484" t="s">
        <v>1073</v>
      </c>
      <c r="C484" t="s">
        <v>1074</v>
      </c>
      <c r="D484">
        <v>147</v>
      </c>
      <c r="E484" t="s">
        <v>1652</v>
      </c>
      <c r="F484" t="s">
        <v>1652</v>
      </c>
      <c r="G484" t="s">
        <v>1652</v>
      </c>
    </row>
    <row r="485" spans="1:7">
      <c r="A485" t="s">
        <v>1005</v>
      </c>
      <c r="B485" t="s">
        <v>1073</v>
      </c>
      <c r="C485" t="s">
        <v>1074</v>
      </c>
      <c r="D485">
        <v>105</v>
      </c>
      <c r="E485" t="s">
        <v>1653</v>
      </c>
      <c r="F485" t="s">
        <v>1653</v>
      </c>
      <c r="G485" t="s">
        <v>1653</v>
      </c>
    </row>
    <row r="486" spans="1:7">
      <c r="A486" t="s">
        <v>1006</v>
      </c>
      <c r="B486" t="s">
        <v>1073</v>
      </c>
      <c r="C486" t="s">
        <v>1074</v>
      </c>
      <c r="D486">
        <v>33</v>
      </c>
      <c r="E486" t="s">
        <v>1654</v>
      </c>
      <c r="F486" t="s">
        <v>1654</v>
      </c>
      <c r="G486" t="s">
        <v>1654</v>
      </c>
    </row>
    <row r="487" spans="1:7">
      <c r="A487" t="s">
        <v>1007</v>
      </c>
      <c r="B487" t="s">
        <v>1073</v>
      </c>
      <c r="C487" t="s">
        <v>1074</v>
      </c>
      <c r="D487">
        <v>19</v>
      </c>
      <c r="E487" t="s">
        <v>1655</v>
      </c>
      <c r="F487" t="s">
        <v>1655</v>
      </c>
      <c r="G487" t="s">
        <v>1655</v>
      </c>
    </row>
    <row r="488" spans="1:7">
      <c r="A488" t="s">
        <v>1008</v>
      </c>
      <c r="B488" t="s">
        <v>1073</v>
      </c>
      <c r="C488" t="s">
        <v>1074</v>
      </c>
      <c r="D488">
        <v>8</v>
      </c>
      <c r="E488" t="s">
        <v>1656</v>
      </c>
      <c r="F488" t="s">
        <v>1656</v>
      </c>
      <c r="G488" t="s">
        <v>1656</v>
      </c>
    </row>
    <row r="489" spans="1:7">
      <c r="A489" t="s">
        <v>1009</v>
      </c>
      <c r="B489" t="s">
        <v>1073</v>
      </c>
      <c r="C489" t="s">
        <v>1074</v>
      </c>
      <c r="D489">
        <v>0</v>
      </c>
      <c r="E489" t="s">
        <v>1657</v>
      </c>
      <c r="F489" t="s">
        <v>1657</v>
      </c>
      <c r="G489" t="s">
        <v>1657</v>
      </c>
    </row>
    <row r="490" spans="1:7">
      <c r="A490" t="s">
        <v>1010</v>
      </c>
      <c r="B490" t="s">
        <v>1073</v>
      </c>
      <c r="C490" t="s">
        <v>1074</v>
      </c>
      <c r="D490">
        <v>13</v>
      </c>
      <c r="E490" t="s">
        <v>1658</v>
      </c>
      <c r="F490" t="s">
        <v>1658</v>
      </c>
      <c r="G490" t="s">
        <v>1658</v>
      </c>
    </row>
    <row r="491" spans="1:7">
      <c r="A491" t="s">
        <v>1011</v>
      </c>
      <c r="B491" t="s">
        <v>1073</v>
      </c>
      <c r="C491" t="s">
        <v>1074</v>
      </c>
      <c r="D491">
        <v>0</v>
      </c>
      <c r="E491" t="s">
        <v>1659</v>
      </c>
      <c r="F491" t="s">
        <v>1659</v>
      </c>
      <c r="G491" t="s">
        <v>1659</v>
      </c>
    </row>
    <row r="492" spans="1:7">
      <c r="A492" t="s">
        <v>1012</v>
      </c>
      <c r="B492" t="s">
        <v>1073</v>
      </c>
      <c r="C492" t="s">
        <v>1074</v>
      </c>
      <c r="D492">
        <v>120</v>
      </c>
      <c r="E492" t="s">
        <v>1660</v>
      </c>
      <c r="F492" t="s">
        <v>1660</v>
      </c>
      <c r="G492" t="s">
        <v>1660</v>
      </c>
    </row>
    <row r="493" spans="1:7">
      <c r="A493" t="s">
        <v>1013</v>
      </c>
      <c r="B493" t="s">
        <v>1073</v>
      </c>
      <c r="C493" t="s">
        <v>1074</v>
      </c>
      <c r="D493">
        <v>74</v>
      </c>
      <c r="E493" t="s">
        <v>1661</v>
      </c>
      <c r="F493" t="s">
        <v>1661</v>
      </c>
      <c r="G493" t="s">
        <v>1661</v>
      </c>
    </row>
    <row r="494" spans="1:7">
      <c r="A494" t="s">
        <v>3099</v>
      </c>
      <c r="B494">
        <v>4</v>
      </c>
      <c r="C494" t="s">
        <v>108</v>
      </c>
      <c r="D494">
        <v>200</v>
      </c>
      <c r="E494" t="s">
        <v>1662</v>
      </c>
      <c r="F494" t="s">
        <v>1662</v>
      </c>
      <c r="G494" t="s">
        <v>1662</v>
      </c>
    </row>
    <row r="495" spans="1:7">
      <c r="A495" t="s">
        <v>3100</v>
      </c>
      <c r="B495">
        <v>4</v>
      </c>
      <c r="C495" t="s">
        <v>108</v>
      </c>
      <c r="D495">
        <v>100</v>
      </c>
      <c r="E495" t="s">
        <v>1663</v>
      </c>
      <c r="F495" t="s">
        <v>1663</v>
      </c>
      <c r="G495" t="s">
        <v>1663</v>
      </c>
    </row>
    <row r="496" spans="1:7">
      <c r="A496" t="s">
        <v>1019</v>
      </c>
      <c r="B496" t="s">
        <v>1072</v>
      </c>
      <c r="C496" t="s">
        <v>108</v>
      </c>
      <c r="D496">
        <v>162</v>
      </c>
      <c r="E496" t="s">
        <v>1664</v>
      </c>
      <c r="F496" t="s">
        <v>1664</v>
      </c>
      <c r="G496" t="s">
        <v>1664</v>
      </c>
    </row>
    <row r="497" spans="1:7">
      <c r="A497" t="s">
        <v>1020</v>
      </c>
      <c r="B497" t="s">
        <v>1072</v>
      </c>
      <c r="C497" t="s">
        <v>108</v>
      </c>
      <c r="D497">
        <v>114</v>
      </c>
      <c r="E497" t="s">
        <v>1665</v>
      </c>
      <c r="F497" t="s">
        <v>1665</v>
      </c>
      <c r="G497" t="s">
        <v>1665</v>
      </c>
    </row>
    <row r="498" spans="1:7">
      <c r="A498" t="s">
        <v>1026</v>
      </c>
      <c r="B498" t="s">
        <v>1072</v>
      </c>
      <c r="C498" t="s">
        <v>108</v>
      </c>
      <c r="D498">
        <v>200</v>
      </c>
      <c r="E498" t="s">
        <v>1666</v>
      </c>
      <c r="F498" t="s">
        <v>1666</v>
      </c>
      <c r="G498" t="s">
        <v>1666</v>
      </c>
    </row>
    <row r="499" spans="1:7">
      <c r="A499" t="s">
        <v>1027</v>
      </c>
      <c r="B499" t="s">
        <v>1072</v>
      </c>
      <c r="C499" t="s">
        <v>108</v>
      </c>
      <c r="D499">
        <v>100</v>
      </c>
      <c r="E499" t="s">
        <v>1667</v>
      </c>
      <c r="F499" t="s">
        <v>1667</v>
      </c>
      <c r="G499" t="s">
        <v>1667</v>
      </c>
    </row>
    <row r="500" spans="1:7">
      <c r="A500" t="s">
        <v>1028</v>
      </c>
      <c r="B500" t="s">
        <v>1072</v>
      </c>
      <c r="C500" t="s">
        <v>108</v>
      </c>
      <c r="D500">
        <v>250</v>
      </c>
      <c r="E500" t="s">
        <v>1668</v>
      </c>
      <c r="F500" t="s">
        <v>1668</v>
      </c>
      <c r="G500" t="s">
        <v>1668</v>
      </c>
    </row>
    <row r="501" spans="1:7">
      <c r="A501" t="s">
        <v>1029</v>
      </c>
      <c r="B501" t="s">
        <v>1072</v>
      </c>
      <c r="C501" t="s">
        <v>108</v>
      </c>
      <c r="D501">
        <v>165</v>
      </c>
      <c r="E501" t="s">
        <v>1669</v>
      </c>
      <c r="F501" t="s">
        <v>1669</v>
      </c>
      <c r="G501" t="s">
        <v>1669</v>
      </c>
    </row>
    <row r="502" spans="1:7">
      <c r="A502" t="s">
        <v>1030</v>
      </c>
      <c r="B502" t="s">
        <v>1072</v>
      </c>
      <c r="C502" t="s">
        <v>108</v>
      </c>
      <c r="D502">
        <v>5</v>
      </c>
      <c r="E502" t="s">
        <v>1670</v>
      </c>
      <c r="F502" t="s">
        <v>1670</v>
      </c>
      <c r="G502" t="s">
        <v>1670</v>
      </c>
    </row>
    <row r="503" spans="1:7">
      <c r="A503" t="s">
        <v>1031</v>
      </c>
      <c r="B503" t="s">
        <v>1072</v>
      </c>
      <c r="C503" t="s">
        <v>108</v>
      </c>
      <c r="D503">
        <v>30</v>
      </c>
      <c r="E503" t="s">
        <v>1671</v>
      </c>
      <c r="F503" t="s">
        <v>1671</v>
      </c>
      <c r="G503" t="s">
        <v>1671</v>
      </c>
    </row>
    <row r="504" spans="1:7">
      <c r="A504" t="s">
        <v>1032</v>
      </c>
      <c r="B504" t="s">
        <v>1072</v>
      </c>
      <c r="C504" t="s">
        <v>108</v>
      </c>
      <c r="D504">
        <v>200</v>
      </c>
      <c r="E504" t="s">
        <v>1672</v>
      </c>
      <c r="F504" t="s">
        <v>1672</v>
      </c>
      <c r="G504" t="s">
        <v>1672</v>
      </c>
    </row>
    <row r="505" spans="1:7">
      <c r="A505" t="s">
        <v>1033</v>
      </c>
      <c r="B505" t="s">
        <v>1072</v>
      </c>
      <c r="C505" t="s">
        <v>108</v>
      </c>
      <c r="D505">
        <v>100</v>
      </c>
      <c r="E505" t="s">
        <v>1673</v>
      </c>
      <c r="F505" t="s">
        <v>1673</v>
      </c>
      <c r="G505" t="s">
        <v>1673</v>
      </c>
    </row>
    <row r="506" spans="1:7">
      <c r="A506" t="s">
        <v>1034</v>
      </c>
      <c r="B506" t="s">
        <v>1072</v>
      </c>
      <c r="C506" t="s">
        <v>108</v>
      </c>
      <c r="D506">
        <v>242</v>
      </c>
      <c r="E506" t="s">
        <v>1674</v>
      </c>
      <c r="F506" t="s">
        <v>1674</v>
      </c>
      <c r="G506" t="s">
        <v>1674</v>
      </c>
    </row>
    <row r="507" spans="1:7">
      <c r="A507" t="s">
        <v>1035</v>
      </c>
      <c r="B507" t="s">
        <v>1072</v>
      </c>
      <c r="C507" t="s">
        <v>108</v>
      </c>
      <c r="D507">
        <v>152</v>
      </c>
      <c r="E507" t="s">
        <v>1675</v>
      </c>
      <c r="F507" t="s">
        <v>1675</v>
      </c>
      <c r="G507" t="s">
        <v>1675</v>
      </c>
    </row>
    <row r="508" spans="1:7">
      <c r="A508" t="s">
        <v>1036</v>
      </c>
      <c r="B508" t="s">
        <v>1072</v>
      </c>
      <c r="C508" t="s">
        <v>108</v>
      </c>
      <c r="D508">
        <v>200</v>
      </c>
      <c r="E508" t="s">
        <v>1676</v>
      </c>
      <c r="F508" t="s">
        <v>1676</v>
      </c>
      <c r="G508" t="s">
        <v>1676</v>
      </c>
    </row>
    <row r="509" spans="1:7">
      <c r="A509" t="s">
        <v>1037</v>
      </c>
      <c r="B509" t="s">
        <v>1072</v>
      </c>
      <c r="C509" t="s">
        <v>108</v>
      </c>
      <c r="D509">
        <v>100</v>
      </c>
      <c r="E509" t="s">
        <v>1677</v>
      </c>
      <c r="F509" t="s">
        <v>1677</v>
      </c>
      <c r="G509" t="s">
        <v>1677</v>
      </c>
    </row>
    <row r="510" spans="1:7">
      <c r="A510" t="s">
        <v>1038</v>
      </c>
      <c r="B510" t="s">
        <v>1072</v>
      </c>
      <c r="C510" t="s">
        <v>108</v>
      </c>
      <c r="D510">
        <v>242</v>
      </c>
      <c r="E510" t="s">
        <v>1678</v>
      </c>
      <c r="F510" t="s">
        <v>1678</v>
      </c>
      <c r="G510" t="s">
        <v>1678</v>
      </c>
    </row>
    <row r="511" spans="1:7">
      <c r="A511" t="s">
        <v>1039</v>
      </c>
      <c r="B511" t="s">
        <v>1072</v>
      </c>
      <c r="C511" t="s">
        <v>108</v>
      </c>
      <c r="D511">
        <v>152</v>
      </c>
      <c r="E511" t="s">
        <v>1679</v>
      </c>
      <c r="F511" t="s">
        <v>1679</v>
      </c>
      <c r="G511" t="s">
        <v>1679</v>
      </c>
    </row>
    <row r="512" spans="1:7">
      <c r="A512" t="s">
        <v>1040</v>
      </c>
      <c r="B512" t="s">
        <v>1072</v>
      </c>
      <c r="C512" t="s">
        <v>108</v>
      </c>
      <c r="D512">
        <v>200</v>
      </c>
      <c r="E512" t="s">
        <v>1680</v>
      </c>
      <c r="F512" t="s">
        <v>1680</v>
      </c>
      <c r="G512" t="s">
        <v>1680</v>
      </c>
    </row>
    <row r="513" spans="1:7">
      <c r="A513" t="s">
        <v>1041</v>
      </c>
      <c r="B513" t="s">
        <v>1072</v>
      </c>
      <c r="C513" t="s">
        <v>108</v>
      </c>
      <c r="D513">
        <v>100</v>
      </c>
      <c r="E513" t="s">
        <v>1681</v>
      </c>
      <c r="F513" t="s">
        <v>1681</v>
      </c>
      <c r="G513" t="s">
        <v>1681</v>
      </c>
    </row>
    <row r="514" spans="1:7">
      <c r="A514" t="s">
        <v>1042</v>
      </c>
      <c r="B514" t="s">
        <v>1072</v>
      </c>
      <c r="C514" t="s">
        <v>108</v>
      </c>
      <c r="D514">
        <v>250</v>
      </c>
      <c r="E514" t="s">
        <v>1682</v>
      </c>
      <c r="F514" t="s">
        <v>1682</v>
      </c>
      <c r="G514" t="s">
        <v>1682</v>
      </c>
    </row>
    <row r="515" spans="1:7">
      <c r="A515" t="s">
        <v>1046</v>
      </c>
      <c r="B515" t="s">
        <v>1072</v>
      </c>
      <c r="C515" t="s">
        <v>108</v>
      </c>
      <c r="D515">
        <v>200</v>
      </c>
      <c r="E515" t="s">
        <v>1683</v>
      </c>
      <c r="F515" t="s">
        <v>1683</v>
      </c>
      <c r="G515" t="s">
        <v>1683</v>
      </c>
    </row>
    <row r="516" spans="1:7">
      <c r="A516" t="s">
        <v>1047</v>
      </c>
      <c r="B516" t="s">
        <v>1072</v>
      </c>
      <c r="C516" t="s">
        <v>108</v>
      </c>
      <c r="D516">
        <v>100</v>
      </c>
      <c r="E516" t="s">
        <v>1684</v>
      </c>
      <c r="F516" t="s">
        <v>1684</v>
      </c>
      <c r="G516" t="s">
        <v>1684</v>
      </c>
    </row>
    <row r="517" spans="1:7">
      <c r="A517" t="s">
        <v>1048</v>
      </c>
      <c r="B517" t="s">
        <v>1072</v>
      </c>
      <c r="C517" t="s">
        <v>108</v>
      </c>
      <c r="D517">
        <v>193</v>
      </c>
      <c r="E517" t="s">
        <v>1685</v>
      </c>
      <c r="F517" t="s">
        <v>1685</v>
      </c>
      <c r="G517" t="s">
        <v>1685</v>
      </c>
    </row>
    <row r="518" spans="1:7">
      <c r="A518" t="s">
        <v>1049</v>
      </c>
      <c r="B518" t="s">
        <v>1072</v>
      </c>
      <c r="C518" t="s">
        <v>108</v>
      </c>
      <c r="D518">
        <v>123</v>
      </c>
      <c r="E518" t="s">
        <v>1686</v>
      </c>
      <c r="F518" t="s">
        <v>1686</v>
      </c>
      <c r="G518" t="s">
        <v>1686</v>
      </c>
    </row>
    <row r="519" spans="1:7">
      <c r="A519" t="s">
        <v>1050</v>
      </c>
      <c r="B519" t="s">
        <v>1072</v>
      </c>
      <c r="C519" t="s">
        <v>108</v>
      </c>
      <c r="D519">
        <v>10</v>
      </c>
      <c r="E519" t="s">
        <v>1687</v>
      </c>
      <c r="F519" t="s">
        <v>1687</v>
      </c>
      <c r="G519" t="s">
        <v>1687</v>
      </c>
    </row>
    <row r="520" spans="1:7">
      <c r="A520" t="s">
        <v>1051</v>
      </c>
      <c r="B520" t="s">
        <v>1072</v>
      </c>
      <c r="C520" t="s">
        <v>108</v>
      </c>
      <c r="D520">
        <v>48</v>
      </c>
      <c r="E520" t="s">
        <v>1688</v>
      </c>
      <c r="F520" t="s">
        <v>1688</v>
      </c>
      <c r="G520" t="s">
        <v>1688</v>
      </c>
    </row>
    <row r="521" spans="1:7">
      <c r="A521" t="s">
        <v>1052</v>
      </c>
      <c r="B521" t="s">
        <v>1072</v>
      </c>
      <c r="C521" t="s">
        <v>108</v>
      </c>
      <c r="D521">
        <v>200</v>
      </c>
      <c r="E521" t="s">
        <v>1689</v>
      </c>
      <c r="F521" t="s">
        <v>1689</v>
      </c>
      <c r="G521" t="s">
        <v>1689</v>
      </c>
    </row>
    <row r="522" spans="1:7">
      <c r="A522" t="s">
        <v>1053</v>
      </c>
      <c r="B522" t="s">
        <v>1072</v>
      </c>
      <c r="C522" t="s">
        <v>108</v>
      </c>
      <c r="D522">
        <v>100</v>
      </c>
      <c r="E522" t="s">
        <v>1690</v>
      </c>
      <c r="F522" t="s">
        <v>1690</v>
      </c>
      <c r="G522" t="s">
        <v>1690</v>
      </c>
    </row>
    <row r="523" spans="1:7">
      <c r="A523" t="s">
        <v>1054</v>
      </c>
      <c r="B523" t="s">
        <v>1072</v>
      </c>
      <c r="C523" t="s">
        <v>108</v>
      </c>
      <c r="D523">
        <v>240</v>
      </c>
      <c r="E523" t="s">
        <v>1691</v>
      </c>
      <c r="F523" t="s">
        <v>1691</v>
      </c>
      <c r="G523" t="s">
        <v>1691</v>
      </c>
    </row>
    <row r="524" spans="1:7">
      <c r="A524" t="s">
        <v>1055</v>
      </c>
      <c r="B524" t="s">
        <v>1072</v>
      </c>
      <c r="C524" t="s">
        <v>108</v>
      </c>
      <c r="D524">
        <v>145</v>
      </c>
      <c r="E524" t="s">
        <v>1692</v>
      </c>
      <c r="F524" t="s">
        <v>1692</v>
      </c>
      <c r="G524" t="s">
        <v>1692</v>
      </c>
    </row>
    <row r="525" spans="1:7">
      <c r="A525" t="s">
        <v>1056</v>
      </c>
      <c r="B525" t="s">
        <v>1072</v>
      </c>
      <c r="C525" t="s">
        <v>108</v>
      </c>
      <c r="D525">
        <v>55</v>
      </c>
      <c r="E525" t="s">
        <v>1693</v>
      </c>
      <c r="F525" t="s">
        <v>1693</v>
      </c>
      <c r="G525" t="s">
        <v>1693</v>
      </c>
    </row>
    <row r="526" spans="1:7">
      <c r="A526" t="s">
        <v>1057</v>
      </c>
      <c r="B526" t="s">
        <v>1072</v>
      </c>
      <c r="C526" t="s">
        <v>108</v>
      </c>
      <c r="D526">
        <v>19</v>
      </c>
      <c r="E526" t="s">
        <v>1694</v>
      </c>
      <c r="F526" t="s">
        <v>1694</v>
      </c>
      <c r="G526" t="s">
        <v>1694</v>
      </c>
    </row>
    <row r="527" spans="1:7">
      <c r="A527" t="s">
        <v>1058</v>
      </c>
      <c r="B527" t="s">
        <v>1072</v>
      </c>
      <c r="C527" t="s">
        <v>108</v>
      </c>
      <c r="D527">
        <v>162</v>
      </c>
      <c r="E527" t="s">
        <v>1695</v>
      </c>
      <c r="F527" t="s">
        <v>1695</v>
      </c>
      <c r="G527" t="s">
        <v>1695</v>
      </c>
    </row>
    <row r="528" spans="1:7">
      <c r="A528" t="s">
        <v>1059</v>
      </c>
      <c r="B528" t="s">
        <v>1072</v>
      </c>
      <c r="C528" t="s">
        <v>108</v>
      </c>
      <c r="D528">
        <v>114</v>
      </c>
      <c r="E528" t="s">
        <v>1696</v>
      </c>
      <c r="F528" t="s">
        <v>1696</v>
      </c>
      <c r="G528" t="s">
        <v>1696</v>
      </c>
    </row>
    <row r="529" spans="1:7">
      <c r="A529" t="s">
        <v>1060</v>
      </c>
      <c r="B529" t="s">
        <v>1072</v>
      </c>
      <c r="C529" t="s">
        <v>108</v>
      </c>
      <c r="D529">
        <v>200</v>
      </c>
      <c r="E529" t="s">
        <v>1697</v>
      </c>
      <c r="F529" t="s">
        <v>1697</v>
      </c>
      <c r="G529" t="s">
        <v>1697</v>
      </c>
    </row>
    <row r="530" spans="1:7">
      <c r="A530" t="s">
        <v>1061</v>
      </c>
      <c r="B530" t="s">
        <v>1072</v>
      </c>
      <c r="C530" t="s">
        <v>108</v>
      </c>
      <c r="D530">
        <v>100</v>
      </c>
      <c r="E530" t="s">
        <v>1698</v>
      </c>
      <c r="F530" t="s">
        <v>1698</v>
      </c>
      <c r="G530" t="s">
        <v>1698</v>
      </c>
    </row>
    <row r="531" spans="1:7">
      <c r="A531" t="s">
        <v>1062</v>
      </c>
      <c r="B531" t="s">
        <v>1072</v>
      </c>
      <c r="C531" t="s">
        <v>108</v>
      </c>
      <c r="D531">
        <v>14</v>
      </c>
      <c r="E531" t="s">
        <v>1699</v>
      </c>
      <c r="F531" t="s">
        <v>1699</v>
      </c>
      <c r="G531" t="s">
        <v>1699</v>
      </c>
    </row>
    <row r="532" spans="1:7">
      <c r="A532" t="s">
        <v>1063</v>
      </c>
      <c r="B532" t="s">
        <v>1072</v>
      </c>
      <c r="C532" t="s">
        <v>108</v>
      </c>
      <c r="D532">
        <v>21</v>
      </c>
      <c r="E532" t="s">
        <v>1700</v>
      </c>
      <c r="F532" t="s">
        <v>1700</v>
      </c>
      <c r="G532" t="s">
        <v>1700</v>
      </c>
    </row>
    <row r="533" spans="1:7">
      <c r="A533" t="s">
        <v>1064</v>
      </c>
      <c r="B533" t="s">
        <v>1072</v>
      </c>
      <c r="C533" t="s">
        <v>108</v>
      </c>
      <c r="D533">
        <v>55</v>
      </c>
      <c r="E533" t="s">
        <v>1701</v>
      </c>
      <c r="F533" t="s">
        <v>1701</v>
      </c>
      <c r="G533" t="s">
        <v>1701</v>
      </c>
    </row>
    <row r="534" spans="1:7">
      <c r="A534" t="s">
        <v>1065</v>
      </c>
      <c r="B534" t="s">
        <v>1072</v>
      </c>
      <c r="C534" t="s">
        <v>108</v>
      </c>
      <c r="D534">
        <v>19</v>
      </c>
      <c r="E534" t="s">
        <v>1702</v>
      </c>
      <c r="F534" t="s">
        <v>1702</v>
      </c>
      <c r="G534" t="s">
        <v>1702</v>
      </c>
    </row>
    <row r="535" spans="1:7">
      <c r="A535" t="s">
        <v>3103</v>
      </c>
      <c r="B535">
        <v>4</v>
      </c>
      <c r="C535" t="s">
        <v>108</v>
      </c>
      <c r="D535">
        <v>200</v>
      </c>
      <c r="E535" t="s">
        <v>1703</v>
      </c>
      <c r="F535" t="s">
        <v>1703</v>
      </c>
      <c r="G535" t="s">
        <v>1703</v>
      </c>
    </row>
    <row r="536" spans="1:7">
      <c r="A536" t="s">
        <v>3104</v>
      </c>
      <c r="B536">
        <v>4</v>
      </c>
      <c r="C536" t="s">
        <v>108</v>
      </c>
      <c r="D536">
        <v>100</v>
      </c>
      <c r="E536" t="s">
        <v>1704</v>
      </c>
      <c r="F536" t="s">
        <v>1704</v>
      </c>
      <c r="G536" t="s">
        <v>1704</v>
      </c>
    </row>
    <row r="537" spans="1:7">
      <c r="A537" t="s">
        <v>1066</v>
      </c>
      <c r="B537" t="s">
        <v>1072</v>
      </c>
      <c r="C537" t="s">
        <v>108</v>
      </c>
      <c r="D537">
        <v>55</v>
      </c>
      <c r="E537" t="s">
        <v>1705</v>
      </c>
      <c r="F537" t="s">
        <v>1705</v>
      </c>
      <c r="G537" t="s">
        <v>1705</v>
      </c>
    </row>
    <row r="538" spans="1:7">
      <c r="A538" t="s">
        <v>1067</v>
      </c>
      <c r="B538" t="s">
        <v>1072</v>
      </c>
      <c r="C538" t="s">
        <v>108</v>
      </c>
      <c r="D538">
        <v>19</v>
      </c>
      <c r="E538" t="s">
        <v>1706</v>
      </c>
      <c r="F538" t="s">
        <v>1706</v>
      </c>
      <c r="G538" t="s">
        <v>1706</v>
      </c>
    </row>
    <row r="539" spans="1:7">
      <c r="A539" t="s">
        <v>3033</v>
      </c>
      <c r="B539" t="s">
        <v>1072</v>
      </c>
      <c r="C539" t="s">
        <v>108</v>
      </c>
      <c r="D539">
        <v>73</v>
      </c>
      <c r="E539" t="s">
        <v>1707</v>
      </c>
      <c r="F539" t="s">
        <v>1707</v>
      </c>
      <c r="G539" t="s">
        <v>1707</v>
      </c>
    </row>
    <row r="540" spans="1:7">
      <c r="A540" t="s">
        <v>3034</v>
      </c>
      <c r="B540" t="s">
        <v>1072</v>
      </c>
      <c r="C540" t="s">
        <v>108</v>
      </c>
      <c r="D540">
        <v>19</v>
      </c>
      <c r="E540" t="s">
        <v>1708</v>
      </c>
      <c r="F540" t="s">
        <v>1708</v>
      </c>
      <c r="G540" t="s">
        <v>1708</v>
      </c>
    </row>
    <row r="541" spans="1:7">
      <c r="A541" t="s">
        <v>1068</v>
      </c>
      <c r="B541" t="s">
        <v>1072</v>
      </c>
      <c r="C541" t="s">
        <v>108</v>
      </c>
      <c r="D541">
        <v>200</v>
      </c>
      <c r="E541" t="s">
        <v>1709</v>
      </c>
      <c r="F541" t="s">
        <v>1709</v>
      </c>
      <c r="G541" t="s">
        <v>1709</v>
      </c>
    </row>
    <row r="542" spans="1:7">
      <c r="A542" t="s">
        <v>1069</v>
      </c>
      <c r="B542" t="s">
        <v>1072</v>
      </c>
      <c r="C542" t="s">
        <v>108</v>
      </c>
      <c r="D542">
        <v>100</v>
      </c>
      <c r="E542" t="s">
        <v>1710</v>
      </c>
      <c r="F542" t="s">
        <v>1710</v>
      </c>
      <c r="G542" t="s">
        <v>1710</v>
      </c>
    </row>
    <row r="543" spans="1:7">
      <c r="A543" t="s">
        <v>2013</v>
      </c>
      <c r="B543">
        <v>4</v>
      </c>
      <c r="C543" t="s">
        <v>108</v>
      </c>
      <c r="D543">
        <v>162</v>
      </c>
      <c r="E543" t="s">
        <v>1711</v>
      </c>
      <c r="F543" t="s">
        <v>1711</v>
      </c>
      <c r="G543" t="s">
        <v>1711</v>
      </c>
    </row>
    <row r="544" spans="1:7">
      <c r="A544" t="s">
        <v>2014</v>
      </c>
      <c r="B544">
        <v>4</v>
      </c>
      <c r="C544" t="s">
        <v>108</v>
      </c>
      <c r="D544">
        <v>114</v>
      </c>
      <c r="E544" t="s">
        <v>1712</v>
      </c>
      <c r="F544" t="s">
        <v>1712</v>
      </c>
      <c r="G544" t="s">
        <v>1712</v>
      </c>
    </row>
    <row r="545" spans="1:7">
      <c r="A545" t="s">
        <v>2015</v>
      </c>
      <c r="B545">
        <v>4</v>
      </c>
      <c r="C545" t="s">
        <v>108</v>
      </c>
      <c r="D545">
        <v>250</v>
      </c>
      <c r="E545" t="s">
        <v>1713</v>
      </c>
      <c r="F545" t="s">
        <v>1713</v>
      </c>
      <c r="G545" t="s">
        <v>1713</v>
      </c>
    </row>
    <row r="546" spans="1:7">
      <c r="A546" t="s">
        <v>2016</v>
      </c>
      <c r="B546">
        <v>4</v>
      </c>
      <c r="C546" t="s">
        <v>108</v>
      </c>
      <c r="D546">
        <v>148</v>
      </c>
      <c r="E546" t="s">
        <v>1714</v>
      </c>
      <c r="F546" t="s">
        <v>1714</v>
      </c>
      <c r="G546" t="s">
        <v>1714</v>
      </c>
    </row>
    <row r="547" spans="1:7">
      <c r="A547" t="s">
        <v>2409</v>
      </c>
      <c r="B547">
        <v>4</v>
      </c>
      <c r="C547" t="s">
        <v>108</v>
      </c>
      <c r="D547">
        <v>0</v>
      </c>
      <c r="E547" t="s">
        <v>2464</v>
      </c>
      <c r="F547" t="s">
        <v>2464</v>
      </c>
      <c r="G547" t="s">
        <v>2464</v>
      </c>
    </row>
    <row r="548" spans="1:7">
      <c r="A548" t="s">
        <v>2411</v>
      </c>
      <c r="B548">
        <v>4</v>
      </c>
      <c r="C548" t="s">
        <v>108</v>
      </c>
      <c r="D548">
        <v>0</v>
      </c>
      <c r="E548" t="s">
        <v>2465</v>
      </c>
      <c r="F548" t="s">
        <v>2465</v>
      </c>
      <c r="G548" t="s">
        <v>2465</v>
      </c>
    </row>
    <row r="549" spans="1:7">
      <c r="A549" t="s">
        <v>2413</v>
      </c>
      <c r="B549">
        <v>4</v>
      </c>
      <c r="C549" t="s">
        <v>108</v>
      </c>
      <c r="D549">
        <v>0</v>
      </c>
      <c r="E549" t="s">
        <v>2466</v>
      </c>
      <c r="F549" t="s">
        <v>2466</v>
      </c>
      <c r="G549" t="s">
        <v>2466</v>
      </c>
    </row>
    <row r="550" spans="1:7">
      <c r="A550" t="s">
        <v>2415</v>
      </c>
      <c r="B550">
        <v>4</v>
      </c>
      <c r="C550" t="s">
        <v>108</v>
      </c>
      <c r="D550">
        <v>0</v>
      </c>
      <c r="E550" t="s">
        <v>2467</v>
      </c>
      <c r="F550" t="s">
        <v>2467</v>
      </c>
      <c r="G550" t="s">
        <v>2467</v>
      </c>
    </row>
    <row r="551" spans="1:7">
      <c r="A551" t="s">
        <v>2417</v>
      </c>
      <c r="B551">
        <v>4</v>
      </c>
      <c r="C551" t="s">
        <v>108</v>
      </c>
      <c r="D551">
        <v>0</v>
      </c>
      <c r="E551" t="s">
        <v>2468</v>
      </c>
      <c r="F551" t="s">
        <v>2468</v>
      </c>
      <c r="G551" t="s">
        <v>2468</v>
      </c>
    </row>
    <row r="552" spans="1:7">
      <c r="A552" t="s">
        <v>2455</v>
      </c>
      <c r="B552">
        <v>4</v>
      </c>
      <c r="C552" t="s">
        <v>108</v>
      </c>
      <c r="D552">
        <v>0</v>
      </c>
      <c r="E552" t="s">
        <v>2469</v>
      </c>
      <c r="F552" t="s">
        <v>2469</v>
      </c>
      <c r="G552" t="s">
        <v>2469</v>
      </c>
    </row>
    <row r="553" spans="1:7">
      <c r="A553" t="s">
        <v>2423</v>
      </c>
      <c r="B553">
        <v>0.6</v>
      </c>
      <c r="C553" t="s">
        <v>108</v>
      </c>
      <c r="D553">
        <v>184</v>
      </c>
      <c r="E553" t="s">
        <v>2470</v>
      </c>
      <c r="F553" t="s">
        <v>2470</v>
      </c>
      <c r="G553" t="s">
        <v>2470</v>
      </c>
    </row>
    <row r="554" spans="1:7">
      <c r="A554" t="s">
        <v>2425</v>
      </c>
      <c r="B554">
        <v>0.6</v>
      </c>
      <c r="C554" t="s">
        <v>108</v>
      </c>
      <c r="D554">
        <v>180</v>
      </c>
      <c r="E554" t="s">
        <v>2471</v>
      </c>
      <c r="F554" t="s">
        <v>2471</v>
      </c>
      <c r="G554" t="s">
        <v>2471</v>
      </c>
    </row>
    <row r="555" spans="1:7">
      <c r="A555" t="s">
        <v>2427</v>
      </c>
      <c r="B555">
        <v>0.6</v>
      </c>
      <c r="C555" t="s">
        <v>108</v>
      </c>
      <c r="D555">
        <v>171</v>
      </c>
      <c r="E555" t="s">
        <v>2472</v>
      </c>
      <c r="F555" t="s">
        <v>2472</v>
      </c>
      <c r="G555" t="s">
        <v>2472</v>
      </c>
    </row>
    <row r="556" spans="1:7">
      <c r="A556" t="s">
        <v>2429</v>
      </c>
      <c r="B556">
        <v>0.6</v>
      </c>
      <c r="C556" t="s">
        <v>108</v>
      </c>
      <c r="D556">
        <v>171</v>
      </c>
      <c r="E556" t="s">
        <v>2473</v>
      </c>
      <c r="F556" t="s">
        <v>2473</v>
      </c>
      <c r="G556" t="s">
        <v>2473</v>
      </c>
    </row>
    <row r="557" spans="1:7">
      <c r="A557" t="s">
        <v>2431</v>
      </c>
      <c r="B557">
        <v>0.6</v>
      </c>
      <c r="C557" t="s">
        <v>108</v>
      </c>
      <c r="D557">
        <v>171</v>
      </c>
      <c r="E557" t="s">
        <v>2474</v>
      </c>
      <c r="F557" t="s">
        <v>2474</v>
      </c>
      <c r="G557" t="s">
        <v>2474</v>
      </c>
    </row>
    <row r="558" spans="1:7">
      <c r="A558" t="s">
        <v>2433</v>
      </c>
      <c r="B558">
        <v>0.6</v>
      </c>
      <c r="C558" t="s">
        <v>108</v>
      </c>
      <c r="D558">
        <v>171</v>
      </c>
      <c r="E558" t="s">
        <v>2475</v>
      </c>
      <c r="F558" t="s">
        <v>2475</v>
      </c>
      <c r="G558" t="s">
        <v>2475</v>
      </c>
    </row>
    <row r="559" spans="1:7">
      <c r="A559" t="s">
        <v>2435</v>
      </c>
      <c r="B559">
        <v>0.6</v>
      </c>
      <c r="C559" t="s">
        <v>108</v>
      </c>
      <c r="D559">
        <v>184</v>
      </c>
      <c r="E559" t="s">
        <v>2476</v>
      </c>
      <c r="F559" t="s">
        <v>2476</v>
      </c>
      <c r="G559" t="s">
        <v>2476</v>
      </c>
    </row>
    <row r="560" spans="1:7">
      <c r="A560" t="s">
        <v>2437</v>
      </c>
      <c r="B560">
        <v>0.6</v>
      </c>
      <c r="C560" t="s">
        <v>108</v>
      </c>
      <c r="D560">
        <v>184</v>
      </c>
      <c r="E560" t="s">
        <v>2477</v>
      </c>
      <c r="F560" t="s">
        <v>2477</v>
      </c>
      <c r="G560" t="s">
        <v>2477</v>
      </c>
    </row>
    <row r="561" spans="1:7">
      <c r="A561" t="s">
        <v>3041</v>
      </c>
      <c r="B561">
        <v>4</v>
      </c>
      <c r="C561" t="s">
        <v>108</v>
      </c>
      <c r="D561">
        <v>250</v>
      </c>
      <c r="E561" t="s">
        <v>2595</v>
      </c>
      <c r="F561" t="s">
        <v>2595</v>
      </c>
      <c r="G561" t="s">
        <v>2595</v>
      </c>
    </row>
    <row r="562" spans="1:7">
      <c r="A562" t="s">
        <v>3044</v>
      </c>
      <c r="B562">
        <v>4</v>
      </c>
      <c r="C562" t="s">
        <v>108</v>
      </c>
      <c r="D562">
        <v>144</v>
      </c>
      <c r="E562" t="s">
        <v>2596</v>
      </c>
      <c r="F562" t="s">
        <v>2596</v>
      </c>
      <c r="G562" t="s">
        <v>2596</v>
      </c>
    </row>
    <row r="563" spans="1:7">
      <c r="A563" t="s">
        <v>3045</v>
      </c>
      <c r="B563">
        <v>5</v>
      </c>
      <c r="C563" t="s">
        <v>108</v>
      </c>
      <c r="D563">
        <v>53</v>
      </c>
      <c r="E563" t="s">
        <v>2965</v>
      </c>
      <c r="F563" t="s">
        <v>2965</v>
      </c>
      <c r="G563" t="s">
        <v>2965</v>
      </c>
    </row>
    <row r="564" spans="1:7">
      <c r="A564" t="s">
        <v>3042</v>
      </c>
      <c r="B564">
        <v>5</v>
      </c>
      <c r="C564" t="s">
        <v>108</v>
      </c>
      <c r="D564">
        <v>250</v>
      </c>
      <c r="E564" t="s">
        <v>2966</v>
      </c>
      <c r="F564" t="s">
        <v>2966</v>
      </c>
      <c r="G564" t="s">
        <v>2966</v>
      </c>
    </row>
    <row r="565" spans="1:7">
      <c r="A565" t="s">
        <v>3043</v>
      </c>
      <c r="B565">
        <v>4</v>
      </c>
      <c r="C565" t="s">
        <v>108</v>
      </c>
      <c r="D565">
        <v>144</v>
      </c>
      <c r="E565" t="s">
        <v>2967</v>
      </c>
      <c r="F565" t="s">
        <v>2967</v>
      </c>
      <c r="G565" t="s">
        <v>2967</v>
      </c>
    </row>
    <row r="566" spans="1:7">
      <c r="A566" t="s">
        <v>3046</v>
      </c>
      <c r="B566">
        <v>4</v>
      </c>
      <c r="C566" t="s">
        <v>108</v>
      </c>
      <c r="D566">
        <v>53</v>
      </c>
      <c r="E566" t="s">
        <v>2968</v>
      </c>
      <c r="F566" t="s">
        <v>2968</v>
      </c>
      <c r="G566" t="s">
        <v>2968</v>
      </c>
    </row>
    <row r="567" spans="1:7">
      <c r="A567" t="s">
        <v>3074</v>
      </c>
      <c r="B567">
        <v>4</v>
      </c>
      <c r="C567" t="s">
        <v>108</v>
      </c>
      <c r="D567">
        <v>60</v>
      </c>
      <c r="E567" t="s">
        <v>3303</v>
      </c>
      <c r="F567" t="s">
        <v>3303</v>
      </c>
      <c r="G567" t="s">
        <v>3303</v>
      </c>
    </row>
    <row r="568" spans="1:7">
      <c r="A568" t="s">
        <v>3075</v>
      </c>
      <c r="B568">
        <v>4</v>
      </c>
      <c r="C568" t="s">
        <v>108</v>
      </c>
      <c r="D568">
        <v>150</v>
      </c>
      <c r="E568" t="s">
        <v>3304</v>
      </c>
      <c r="F568" t="s">
        <v>3304</v>
      </c>
      <c r="G568" t="s">
        <v>3304</v>
      </c>
    </row>
    <row r="569" spans="1:7">
      <c r="A569" t="s">
        <v>3076</v>
      </c>
      <c r="B569">
        <v>4</v>
      </c>
      <c r="C569" t="s">
        <v>108</v>
      </c>
      <c r="D569">
        <v>60</v>
      </c>
      <c r="E569" t="s">
        <v>3305</v>
      </c>
      <c r="F569" t="s">
        <v>3305</v>
      </c>
      <c r="G569" t="s">
        <v>3305</v>
      </c>
    </row>
    <row r="570" spans="1:7">
      <c r="A570" t="s">
        <v>3077</v>
      </c>
      <c r="B570">
        <v>4</v>
      </c>
      <c r="C570" t="s">
        <v>108</v>
      </c>
      <c r="D570">
        <v>150</v>
      </c>
      <c r="E570" t="s">
        <v>3306</v>
      </c>
      <c r="F570" t="s">
        <v>3306</v>
      </c>
      <c r="G570" t="s">
        <v>3306</v>
      </c>
    </row>
    <row r="571" spans="1:7">
      <c r="A571" t="s">
        <v>3078</v>
      </c>
      <c r="B571">
        <v>4</v>
      </c>
      <c r="C571" t="s">
        <v>108</v>
      </c>
      <c r="D571">
        <v>60</v>
      </c>
      <c r="E571" t="s">
        <v>3307</v>
      </c>
      <c r="F571" t="s">
        <v>3307</v>
      </c>
      <c r="G571" t="s">
        <v>3307</v>
      </c>
    </row>
    <row r="572" spans="1:7">
      <c r="A572" t="s">
        <v>3079</v>
      </c>
      <c r="B572">
        <v>4</v>
      </c>
      <c r="C572" t="s">
        <v>108</v>
      </c>
      <c r="D572">
        <v>150</v>
      </c>
      <c r="E572" t="s">
        <v>3308</v>
      </c>
      <c r="F572" t="s">
        <v>3308</v>
      </c>
      <c r="G572" t="s">
        <v>3308</v>
      </c>
    </row>
    <row r="573" spans="1:7">
      <c r="A573" t="s">
        <v>3080</v>
      </c>
      <c r="B573">
        <v>4</v>
      </c>
      <c r="C573" t="s">
        <v>108</v>
      </c>
      <c r="D573">
        <v>60</v>
      </c>
      <c r="E573" t="s">
        <v>3309</v>
      </c>
      <c r="F573" t="s">
        <v>3309</v>
      </c>
      <c r="G573" t="s">
        <v>3309</v>
      </c>
    </row>
    <row r="574" spans="1:7">
      <c r="A574" t="s">
        <v>3081</v>
      </c>
      <c r="B574">
        <v>4</v>
      </c>
      <c r="C574" t="s">
        <v>108</v>
      </c>
      <c r="D574">
        <v>150</v>
      </c>
      <c r="E574" t="s">
        <v>3310</v>
      </c>
      <c r="F574" t="s">
        <v>3310</v>
      </c>
      <c r="G574" t="s">
        <v>3310</v>
      </c>
    </row>
    <row r="575" spans="1:7">
      <c r="A575" t="s">
        <v>3082</v>
      </c>
      <c r="B575">
        <v>4</v>
      </c>
      <c r="C575" t="s">
        <v>108</v>
      </c>
      <c r="D575">
        <v>60</v>
      </c>
      <c r="E575" t="s">
        <v>3311</v>
      </c>
      <c r="F575" t="s">
        <v>3311</v>
      </c>
      <c r="G575" t="s">
        <v>3311</v>
      </c>
    </row>
    <row r="576" spans="1:7">
      <c r="A576" t="s">
        <v>3083</v>
      </c>
      <c r="B576">
        <v>4</v>
      </c>
      <c r="C576" t="s">
        <v>108</v>
      </c>
      <c r="D576">
        <v>150</v>
      </c>
      <c r="E576" t="s">
        <v>3312</v>
      </c>
      <c r="F576" t="s">
        <v>3312</v>
      </c>
      <c r="G576" t="s">
        <v>3312</v>
      </c>
    </row>
    <row r="577" spans="1:7">
      <c r="A577" t="s">
        <v>3084</v>
      </c>
      <c r="B577">
        <v>4</v>
      </c>
      <c r="C577" t="s">
        <v>108</v>
      </c>
      <c r="D577">
        <v>60</v>
      </c>
      <c r="E577" t="s">
        <v>3313</v>
      </c>
      <c r="F577" t="s">
        <v>3313</v>
      </c>
      <c r="G577" t="s">
        <v>3313</v>
      </c>
    </row>
    <row r="578" spans="1:7">
      <c r="A578" t="s">
        <v>3085</v>
      </c>
      <c r="B578">
        <v>4</v>
      </c>
      <c r="C578" t="s">
        <v>108</v>
      </c>
      <c r="D578">
        <v>150</v>
      </c>
      <c r="E578" t="s">
        <v>3314</v>
      </c>
      <c r="F578" t="s">
        <v>3314</v>
      </c>
      <c r="G578" t="s">
        <v>3314</v>
      </c>
    </row>
    <row r="579" spans="1:7">
      <c r="A579" t="s">
        <v>3086</v>
      </c>
      <c r="B579">
        <v>4</v>
      </c>
      <c r="C579" t="s">
        <v>108</v>
      </c>
      <c r="D579">
        <v>60</v>
      </c>
      <c r="E579" t="s">
        <v>3315</v>
      </c>
      <c r="F579" t="s">
        <v>3315</v>
      </c>
      <c r="G579" t="s">
        <v>3315</v>
      </c>
    </row>
    <row r="580" spans="1:7">
      <c r="A580" t="s">
        <v>3087</v>
      </c>
      <c r="B580">
        <v>4</v>
      </c>
      <c r="C580" t="s">
        <v>108</v>
      </c>
      <c r="D580">
        <v>150</v>
      </c>
      <c r="E580" t="s">
        <v>3316</v>
      </c>
      <c r="F580" t="s">
        <v>3316</v>
      </c>
      <c r="G580" t="s">
        <v>3316</v>
      </c>
    </row>
    <row r="581" spans="1:7">
      <c r="A581" t="s">
        <v>3088</v>
      </c>
      <c r="B581">
        <v>4</v>
      </c>
      <c r="C581" t="s">
        <v>108</v>
      </c>
      <c r="D581">
        <v>60</v>
      </c>
      <c r="E581" t="s">
        <v>3317</v>
      </c>
      <c r="F581" t="s">
        <v>3317</v>
      </c>
      <c r="G581" t="s">
        <v>3317</v>
      </c>
    </row>
    <row r="582" spans="1:7">
      <c r="A582" t="s">
        <v>3089</v>
      </c>
      <c r="B582">
        <v>4</v>
      </c>
      <c r="C582" t="s">
        <v>108</v>
      </c>
      <c r="D582">
        <v>150</v>
      </c>
      <c r="E582" t="s">
        <v>3318</v>
      </c>
      <c r="F582" t="s">
        <v>3318</v>
      </c>
      <c r="G582" t="s">
        <v>3318</v>
      </c>
    </row>
    <row r="583" spans="1:7">
      <c r="A583" t="s">
        <v>3090</v>
      </c>
      <c r="B583">
        <v>4</v>
      </c>
      <c r="C583" t="s">
        <v>108</v>
      </c>
      <c r="D583">
        <v>60</v>
      </c>
      <c r="E583" t="s">
        <v>3319</v>
      </c>
      <c r="F583" t="s">
        <v>3319</v>
      </c>
      <c r="G583" t="s">
        <v>3319</v>
      </c>
    </row>
    <row r="584" spans="1:7">
      <c r="A584" t="s">
        <v>3091</v>
      </c>
      <c r="B584">
        <v>4</v>
      </c>
      <c r="C584" t="s">
        <v>108</v>
      </c>
      <c r="D584">
        <v>150</v>
      </c>
      <c r="E584" t="s">
        <v>3320</v>
      </c>
      <c r="F584" t="s">
        <v>3320</v>
      </c>
      <c r="G584" t="s">
        <v>3320</v>
      </c>
    </row>
    <row r="585" spans="1:7">
      <c r="A585" t="s">
        <v>3290</v>
      </c>
      <c r="B585">
        <v>4</v>
      </c>
      <c r="C585" t="s">
        <v>108</v>
      </c>
      <c r="D585">
        <v>60</v>
      </c>
      <c r="E585" t="s">
        <v>3321</v>
      </c>
      <c r="F585" t="s">
        <v>3321</v>
      </c>
      <c r="G585" t="s">
        <v>3321</v>
      </c>
    </row>
    <row r="586" spans="1:7">
      <c r="A586" t="s">
        <v>3291</v>
      </c>
      <c r="B586">
        <v>4</v>
      </c>
      <c r="C586" t="s">
        <v>108</v>
      </c>
      <c r="D586">
        <v>150</v>
      </c>
      <c r="E586" t="s">
        <v>3322</v>
      </c>
      <c r="F586" t="s">
        <v>3322</v>
      </c>
      <c r="G586" t="s">
        <v>3322</v>
      </c>
    </row>
    <row r="587" spans="1:7">
      <c r="A587" t="s">
        <v>761</v>
      </c>
      <c r="B587">
        <v>1</v>
      </c>
      <c r="D587">
        <v>1</v>
      </c>
      <c r="E587" t="s">
        <v>1715</v>
      </c>
      <c r="F587" t="s">
        <v>1715</v>
      </c>
      <c r="G587" t="s">
        <v>1715</v>
      </c>
    </row>
    <row r="588" spans="1:7">
      <c r="A588" t="s">
        <v>71</v>
      </c>
      <c r="B588">
        <v>1</v>
      </c>
      <c r="D588">
        <v>1</v>
      </c>
      <c r="E588">
        <v>1200</v>
      </c>
      <c r="F588">
        <v>1200</v>
      </c>
      <c r="G588">
        <v>1200</v>
      </c>
    </row>
    <row r="589" spans="1:7">
      <c r="A589" t="s">
        <v>3144</v>
      </c>
      <c r="B589">
        <v>1</v>
      </c>
      <c r="D589">
        <v>1</v>
      </c>
      <c r="E589">
        <v>1201</v>
      </c>
      <c r="F589">
        <v>1201</v>
      </c>
      <c r="G589">
        <v>1201</v>
      </c>
    </row>
    <row r="590" spans="1:7">
      <c r="A590" t="s">
        <v>3145</v>
      </c>
      <c r="B590">
        <v>1</v>
      </c>
      <c r="D590">
        <v>1</v>
      </c>
      <c r="E590" t="s">
        <v>2804</v>
      </c>
      <c r="F590" t="s">
        <v>2804</v>
      </c>
      <c r="G590" t="s">
        <v>2804</v>
      </c>
    </row>
    <row r="591" spans="1:7">
      <c r="A591" t="s">
        <v>3146</v>
      </c>
      <c r="B591">
        <v>1</v>
      </c>
      <c r="D591">
        <v>1</v>
      </c>
      <c r="E591" t="s">
        <v>2805</v>
      </c>
      <c r="F591" t="s">
        <v>2805</v>
      </c>
      <c r="G591" t="s">
        <v>2805</v>
      </c>
    </row>
    <row r="592" spans="1:7">
      <c r="A592" t="s">
        <v>3147</v>
      </c>
      <c r="B592">
        <v>1</v>
      </c>
      <c r="D592">
        <v>1</v>
      </c>
      <c r="E592" t="s">
        <v>2806</v>
      </c>
      <c r="F592" t="s">
        <v>2806</v>
      </c>
      <c r="G592" t="s">
        <v>2806</v>
      </c>
    </row>
    <row r="593" spans="1:7">
      <c r="A593" t="s">
        <v>3148</v>
      </c>
      <c r="B593">
        <v>1</v>
      </c>
      <c r="D593">
        <v>1</v>
      </c>
      <c r="E593" t="s">
        <v>2807</v>
      </c>
      <c r="F593" t="s">
        <v>2807</v>
      </c>
      <c r="G593" t="s">
        <v>2807</v>
      </c>
    </row>
    <row r="594" spans="1:7">
      <c r="A594" t="s">
        <v>3149</v>
      </c>
      <c r="B594">
        <v>1</v>
      </c>
      <c r="D594">
        <v>1</v>
      </c>
      <c r="E594" t="s">
        <v>2808</v>
      </c>
      <c r="F594" t="s">
        <v>2808</v>
      </c>
      <c r="G594" t="s">
        <v>2808</v>
      </c>
    </row>
    <row r="595" spans="1:7">
      <c r="A595" t="s">
        <v>3150</v>
      </c>
      <c r="B595">
        <v>1</v>
      </c>
      <c r="D595">
        <v>1</v>
      </c>
      <c r="E595" t="s">
        <v>2809</v>
      </c>
      <c r="F595" t="s">
        <v>2809</v>
      </c>
      <c r="G595" t="s">
        <v>2809</v>
      </c>
    </row>
    <row r="596" spans="1:7">
      <c r="A596" t="s">
        <v>3151</v>
      </c>
      <c r="B596">
        <v>1</v>
      </c>
      <c r="D596">
        <v>1</v>
      </c>
      <c r="E596" t="s">
        <v>2810</v>
      </c>
      <c r="F596" t="s">
        <v>2810</v>
      </c>
      <c r="G596" t="s">
        <v>2810</v>
      </c>
    </row>
    <row r="597" spans="1:7">
      <c r="A597" t="s">
        <v>3152</v>
      </c>
      <c r="B597">
        <v>1</v>
      </c>
      <c r="D597">
        <v>1</v>
      </c>
      <c r="E597" t="s">
        <v>2811</v>
      </c>
      <c r="F597" t="s">
        <v>2811</v>
      </c>
      <c r="G597" t="s">
        <v>2811</v>
      </c>
    </row>
    <row r="598" spans="1:7">
      <c r="A598" t="s">
        <v>3153</v>
      </c>
      <c r="B598">
        <v>1</v>
      </c>
      <c r="D598">
        <v>1</v>
      </c>
      <c r="E598" t="s">
        <v>2812</v>
      </c>
      <c r="F598" t="s">
        <v>2812</v>
      </c>
      <c r="G598" t="s">
        <v>2812</v>
      </c>
    </row>
    <row r="599" spans="1:7">
      <c r="A599" t="s">
        <v>3154</v>
      </c>
      <c r="B599">
        <v>1</v>
      </c>
      <c r="D599">
        <v>1</v>
      </c>
      <c r="E599" t="s">
        <v>2813</v>
      </c>
      <c r="F599" t="s">
        <v>2813</v>
      </c>
      <c r="G599" t="s">
        <v>2813</v>
      </c>
    </row>
    <row r="600" spans="1:7">
      <c r="A600" t="s">
        <v>3155</v>
      </c>
      <c r="B600">
        <v>1</v>
      </c>
      <c r="D600">
        <v>1</v>
      </c>
      <c r="E600" t="s">
        <v>2814</v>
      </c>
      <c r="F600" t="s">
        <v>2814</v>
      </c>
      <c r="G600" t="s">
        <v>2814</v>
      </c>
    </row>
    <row r="601" spans="1:7">
      <c r="A601" t="s">
        <v>3156</v>
      </c>
      <c r="B601">
        <v>1</v>
      </c>
      <c r="D601">
        <v>1</v>
      </c>
      <c r="E601" t="s">
        <v>2815</v>
      </c>
      <c r="F601" t="s">
        <v>2815</v>
      </c>
      <c r="G601" t="s">
        <v>2815</v>
      </c>
    </row>
    <row r="602" spans="1:7">
      <c r="A602" t="s">
        <v>3157</v>
      </c>
      <c r="B602">
        <v>1</v>
      </c>
      <c r="D602">
        <v>1</v>
      </c>
      <c r="E602" t="s">
        <v>2816</v>
      </c>
      <c r="F602" t="s">
        <v>2816</v>
      </c>
      <c r="G602" t="s">
        <v>2816</v>
      </c>
    </row>
    <row r="603" spans="1:7">
      <c r="A603" t="s">
        <v>3158</v>
      </c>
      <c r="B603">
        <v>1</v>
      </c>
      <c r="D603">
        <v>1</v>
      </c>
      <c r="E603" t="s">
        <v>2817</v>
      </c>
      <c r="F603" t="s">
        <v>2817</v>
      </c>
      <c r="G603" t="s">
        <v>2817</v>
      </c>
    </row>
    <row r="604" spans="1:7">
      <c r="A604" t="s">
        <v>3159</v>
      </c>
      <c r="B604">
        <v>1</v>
      </c>
      <c r="D604">
        <v>1</v>
      </c>
      <c r="E604" t="s">
        <v>2818</v>
      </c>
      <c r="F604" t="s">
        <v>2818</v>
      </c>
      <c r="G604" t="s">
        <v>2818</v>
      </c>
    </row>
    <row r="605" spans="1:7">
      <c r="A605" t="s">
        <v>3160</v>
      </c>
      <c r="B605">
        <v>1</v>
      </c>
      <c r="D605">
        <v>1</v>
      </c>
      <c r="E605" t="s">
        <v>2819</v>
      </c>
      <c r="F605" t="s">
        <v>2819</v>
      </c>
      <c r="G605" t="s">
        <v>2819</v>
      </c>
    </row>
    <row r="606" spans="1:7">
      <c r="A606" t="s">
        <v>3161</v>
      </c>
      <c r="B606">
        <v>1</v>
      </c>
      <c r="D606">
        <v>1</v>
      </c>
      <c r="E606" t="s">
        <v>2820</v>
      </c>
      <c r="F606" t="s">
        <v>2820</v>
      </c>
      <c r="G606" t="s">
        <v>2820</v>
      </c>
    </row>
    <row r="607" spans="1:7">
      <c r="A607" t="s">
        <v>3143</v>
      </c>
      <c r="B607">
        <v>1</v>
      </c>
      <c r="D607">
        <v>1</v>
      </c>
      <c r="E607" t="s">
        <v>2821</v>
      </c>
      <c r="F607" t="s">
        <v>2821</v>
      </c>
      <c r="G607" t="s">
        <v>2821</v>
      </c>
    </row>
    <row r="608" spans="1:7">
      <c r="A608" t="s">
        <v>3162</v>
      </c>
      <c r="B608">
        <v>1</v>
      </c>
      <c r="D608">
        <v>1</v>
      </c>
      <c r="E608" t="s">
        <v>2822</v>
      </c>
      <c r="F608" t="s">
        <v>2822</v>
      </c>
      <c r="G608" t="s">
        <v>2822</v>
      </c>
    </row>
    <row r="609" spans="1:7">
      <c r="A609" t="s">
        <v>3163</v>
      </c>
      <c r="B609">
        <v>1</v>
      </c>
      <c r="D609">
        <v>1</v>
      </c>
      <c r="E609" t="s">
        <v>2823</v>
      </c>
      <c r="F609" t="s">
        <v>2823</v>
      </c>
      <c r="G609" t="s">
        <v>2823</v>
      </c>
    </row>
    <row r="610" spans="1:7">
      <c r="A610" t="s">
        <v>3164</v>
      </c>
      <c r="B610">
        <v>1</v>
      </c>
      <c r="D610">
        <v>1</v>
      </c>
      <c r="E610" t="s">
        <v>2824</v>
      </c>
      <c r="F610" t="s">
        <v>2824</v>
      </c>
      <c r="G610" t="s">
        <v>2824</v>
      </c>
    </row>
    <row r="611" spans="1:7">
      <c r="A611" t="s">
        <v>3165</v>
      </c>
      <c r="B611">
        <v>1</v>
      </c>
      <c r="D611">
        <v>1</v>
      </c>
      <c r="E611" t="s">
        <v>2825</v>
      </c>
      <c r="F611" t="s">
        <v>2825</v>
      </c>
      <c r="G611" t="s">
        <v>2825</v>
      </c>
    </row>
    <row r="612" spans="1:7">
      <c r="A612" t="s">
        <v>3166</v>
      </c>
      <c r="B612">
        <v>1</v>
      </c>
      <c r="D612">
        <v>1</v>
      </c>
      <c r="E612" t="s">
        <v>2826</v>
      </c>
      <c r="F612" t="s">
        <v>2826</v>
      </c>
      <c r="G612" t="s">
        <v>2826</v>
      </c>
    </row>
    <row r="613" spans="1:7">
      <c r="A613" t="s">
        <v>3167</v>
      </c>
      <c r="B613">
        <v>1</v>
      </c>
      <c r="D613">
        <v>1</v>
      </c>
      <c r="E613" t="s">
        <v>2827</v>
      </c>
      <c r="F613" t="s">
        <v>2827</v>
      </c>
      <c r="G613" t="s">
        <v>2827</v>
      </c>
    </row>
    <row r="614" spans="1:7">
      <c r="A614" t="s">
        <v>3168</v>
      </c>
      <c r="B614">
        <v>1</v>
      </c>
      <c r="D614">
        <v>1</v>
      </c>
      <c r="E614" t="s">
        <v>2828</v>
      </c>
      <c r="F614" t="s">
        <v>2828</v>
      </c>
      <c r="G614" t="s">
        <v>2828</v>
      </c>
    </row>
    <row r="615" spans="1:7">
      <c r="A615" t="s">
        <v>3169</v>
      </c>
      <c r="B615">
        <v>1</v>
      </c>
      <c r="D615">
        <v>1</v>
      </c>
      <c r="E615" t="s">
        <v>2829</v>
      </c>
      <c r="F615" t="s">
        <v>2829</v>
      </c>
      <c r="G615" t="s">
        <v>2829</v>
      </c>
    </row>
    <row r="616" spans="1:7">
      <c r="A616" t="s">
        <v>3170</v>
      </c>
      <c r="B616">
        <v>1</v>
      </c>
      <c r="D616">
        <v>1</v>
      </c>
      <c r="E616" t="s">
        <v>2830</v>
      </c>
      <c r="F616" t="s">
        <v>2830</v>
      </c>
      <c r="G616" t="s">
        <v>2830</v>
      </c>
    </row>
    <row r="617" spans="1:7">
      <c r="A617" t="s">
        <v>3171</v>
      </c>
      <c r="B617">
        <v>1</v>
      </c>
      <c r="D617">
        <v>1</v>
      </c>
      <c r="E617" t="s">
        <v>2831</v>
      </c>
      <c r="F617" t="s">
        <v>2831</v>
      </c>
      <c r="G617" t="s">
        <v>2831</v>
      </c>
    </row>
    <row r="618" spans="1:7">
      <c r="A618" t="s">
        <v>3172</v>
      </c>
      <c r="B618">
        <v>1</v>
      </c>
      <c r="D618">
        <v>1</v>
      </c>
      <c r="E618" t="s">
        <v>2832</v>
      </c>
      <c r="F618" t="s">
        <v>2832</v>
      </c>
      <c r="G618" t="s">
        <v>2832</v>
      </c>
    </row>
    <row r="619" spans="1:7">
      <c r="A619" t="s">
        <v>3173</v>
      </c>
      <c r="B619">
        <v>1</v>
      </c>
      <c r="D619">
        <v>1</v>
      </c>
      <c r="E619" t="s">
        <v>2833</v>
      </c>
      <c r="F619" t="s">
        <v>2833</v>
      </c>
      <c r="G619" t="s">
        <v>2833</v>
      </c>
    </row>
    <row r="620" spans="1:7">
      <c r="A620" t="s">
        <v>3174</v>
      </c>
      <c r="B620">
        <v>1</v>
      </c>
      <c r="D620">
        <v>1</v>
      </c>
      <c r="E620" t="s">
        <v>2834</v>
      </c>
      <c r="F620" t="s">
        <v>2834</v>
      </c>
      <c r="G620" t="s">
        <v>2834</v>
      </c>
    </row>
    <row r="621" spans="1:7">
      <c r="A621" t="s">
        <v>3175</v>
      </c>
      <c r="B621">
        <v>1</v>
      </c>
      <c r="D621">
        <v>1</v>
      </c>
      <c r="E621" t="s">
        <v>2835</v>
      </c>
      <c r="F621" t="s">
        <v>2835</v>
      </c>
      <c r="G621" t="s">
        <v>2835</v>
      </c>
    </row>
    <row r="622" spans="1:7">
      <c r="A622" t="s">
        <v>3176</v>
      </c>
      <c r="B622">
        <v>1</v>
      </c>
      <c r="D622">
        <v>1</v>
      </c>
      <c r="E622" t="s">
        <v>2836</v>
      </c>
      <c r="F622" t="s">
        <v>2836</v>
      </c>
      <c r="G622" t="s">
        <v>2836</v>
      </c>
    </row>
    <row r="623" spans="1:7">
      <c r="A623" t="s">
        <v>3177</v>
      </c>
      <c r="B623">
        <v>1</v>
      </c>
      <c r="D623">
        <v>1</v>
      </c>
      <c r="E623" t="s">
        <v>2837</v>
      </c>
      <c r="F623" t="s">
        <v>2837</v>
      </c>
      <c r="G623" t="s">
        <v>2837</v>
      </c>
    </row>
    <row r="624" spans="1:7">
      <c r="A624" t="s">
        <v>3178</v>
      </c>
      <c r="B624">
        <v>1</v>
      </c>
      <c r="D624">
        <v>1</v>
      </c>
      <c r="E624" t="s">
        <v>2838</v>
      </c>
      <c r="F624" t="s">
        <v>2838</v>
      </c>
      <c r="G624" t="s">
        <v>2838</v>
      </c>
    </row>
    <row r="625" spans="1:7">
      <c r="A625" t="s">
        <v>3179</v>
      </c>
      <c r="B625">
        <v>1</v>
      </c>
      <c r="D625">
        <v>1</v>
      </c>
      <c r="E625" t="s">
        <v>2839</v>
      </c>
      <c r="F625" t="s">
        <v>2839</v>
      </c>
      <c r="G625" t="s">
        <v>2839</v>
      </c>
    </row>
    <row r="626" spans="1:7">
      <c r="A626" t="s">
        <v>3180</v>
      </c>
      <c r="B626">
        <v>1</v>
      </c>
      <c r="D626">
        <v>1</v>
      </c>
      <c r="E626" t="s">
        <v>2840</v>
      </c>
      <c r="F626" t="s">
        <v>2840</v>
      </c>
      <c r="G626" t="s">
        <v>2840</v>
      </c>
    </row>
    <row r="627" spans="1:7">
      <c r="A627" t="s">
        <v>3181</v>
      </c>
      <c r="B627">
        <v>1</v>
      </c>
      <c r="D627">
        <v>1</v>
      </c>
      <c r="E627" t="s">
        <v>2841</v>
      </c>
      <c r="F627" t="s">
        <v>2841</v>
      </c>
      <c r="G627" t="s">
        <v>2841</v>
      </c>
    </row>
    <row r="628" spans="1:7">
      <c r="A628" t="s">
        <v>3182</v>
      </c>
      <c r="B628">
        <v>1</v>
      </c>
      <c r="D628">
        <v>1</v>
      </c>
      <c r="E628" t="s">
        <v>2842</v>
      </c>
      <c r="F628" t="s">
        <v>2842</v>
      </c>
      <c r="G628" t="s">
        <v>2842</v>
      </c>
    </row>
    <row r="629" spans="1:7">
      <c r="A629" t="s">
        <v>3183</v>
      </c>
      <c r="B629">
        <v>1</v>
      </c>
      <c r="D629">
        <v>0</v>
      </c>
      <c r="E629" t="s">
        <v>2843</v>
      </c>
      <c r="F629" t="s">
        <v>2843</v>
      </c>
      <c r="G629" t="s">
        <v>2843</v>
      </c>
    </row>
    <row r="630" spans="1:7">
      <c r="A630" t="s">
        <v>3184</v>
      </c>
      <c r="B630">
        <v>1</v>
      </c>
      <c r="D630">
        <v>1</v>
      </c>
      <c r="E630" t="s">
        <v>2844</v>
      </c>
      <c r="F630" t="s">
        <v>2844</v>
      </c>
      <c r="G630" t="s">
        <v>2844</v>
      </c>
    </row>
    <row r="631" spans="1:7">
      <c r="A631" t="s">
        <v>3185</v>
      </c>
      <c r="B631">
        <v>1</v>
      </c>
      <c r="D631">
        <v>1</v>
      </c>
      <c r="E631" t="s">
        <v>2845</v>
      </c>
      <c r="F631" t="s">
        <v>2845</v>
      </c>
      <c r="G631" t="s">
        <v>2845</v>
      </c>
    </row>
    <row r="632" spans="1:7">
      <c r="A632" t="s">
        <v>3186</v>
      </c>
      <c r="B632">
        <v>1</v>
      </c>
      <c r="D632">
        <v>1</v>
      </c>
      <c r="E632" t="s">
        <v>2846</v>
      </c>
      <c r="F632" t="s">
        <v>2846</v>
      </c>
      <c r="G632" t="s">
        <v>2846</v>
      </c>
    </row>
    <row r="633" spans="1:7">
      <c r="A633" t="s">
        <v>3187</v>
      </c>
      <c r="B633">
        <v>1</v>
      </c>
      <c r="D633">
        <v>1</v>
      </c>
      <c r="E633" t="s">
        <v>2847</v>
      </c>
      <c r="F633" t="s">
        <v>2847</v>
      </c>
      <c r="G633" t="s">
        <v>2847</v>
      </c>
    </row>
    <row r="634" spans="1:7">
      <c r="A634" t="s">
        <v>3188</v>
      </c>
      <c r="B634">
        <v>1</v>
      </c>
      <c r="D634">
        <v>1</v>
      </c>
      <c r="E634" t="s">
        <v>2848</v>
      </c>
      <c r="F634" t="s">
        <v>2848</v>
      </c>
      <c r="G634" t="s">
        <v>2848</v>
      </c>
    </row>
    <row r="635" spans="1:7">
      <c r="A635" t="s">
        <v>3189</v>
      </c>
      <c r="B635">
        <v>1</v>
      </c>
      <c r="D635">
        <v>1</v>
      </c>
      <c r="E635" t="s">
        <v>2849</v>
      </c>
      <c r="F635" t="s">
        <v>2849</v>
      </c>
      <c r="G635" t="s">
        <v>2849</v>
      </c>
    </row>
    <row r="636" spans="1:7">
      <c r="A636" t="s">
        <v>3190</v>
      </c>
      <c r="B636">
        <v>1</v>
      </c>
      <c r="D636">
        <v>1</v>
      </c>
      <c r="E636" t="s">
        <v>2850</v>
      </c>
      <c r="F636" t="s">
        <v>2850</v>
      </c>
      <c r="G636" t="s">
        <v>2850</v>
      </c>
    </row>
    <row r="637" spans="1:7">
      <c r="A637" t="s">
        <v>3191</v>
      </c>
      <c r="B637">
        <v>1</v>
      </c>
      <c r="D637">
        <v>1</v>
      </c>
      <c r="E637" t="s">
        <v>2851</v>
      </c>
      <c r="F637" t="s">
        <v>2851</v>
      </c>
      <c r="G637" t="s">
        <v>2851</v>
      </c>
    </row>
    <row r="638" spans="1:7">
      <c r="A638" t="s">
        <v>3192</v>
      </c>
      <c r="B638">
        <v>1</v>
      </c>
      <c r="D638">
        <v>1</v>
      </c>
      <c r="E638" t="s">
        <v>2852</v>
      </c>
      <c r="F638" t="s">
        <v>2852</v>
      </c>
      <c r="G638" t="s">
        <v>2852</v>
      </c>
    </row>
    <row r="639" spans="1:7">
      <c r="A639" t="s">
        <v>3193</v>
      </c>
      <c r="B639">
        <v>1</v>
      </c>
      <c r="D639">
        <v>1</v>
      </c>
      <c r="E639" t="s">
        <v>2853</v>
      </c>
      <c r="F639" t="s">
        <v>2853</v>
      </c>
      <c r="G639" t="s">
        <v>2853</v>
      </c>
    </row>
    <row r="640" spans="1:7">
      <c r="A640" t="s">
        <v>3194</v>
      </c>
      <c r="B640">
        <v>1</v>
      </c>
      <c r="D640">
        <v>1</v>
      </c>
      <c r="E640" t="s">
        <v>2854</v>
      </c>
      <c r="F640" t="s">
        <v>2854</v>
      </c>
      <c r="G640" t="s">
        <v>2854</v>
      </c>
    </row>
    <row r="641" spans="1:7">
      <c r="A641" t="s">
        <v>3195</v>
      </c>
      <c r="B641">
        <v>1</v>
      </c>
      <c r="D641">
        <v>1</v>
      </c>
      <c r="E641" t="s">
        <v>2855</v>
      </c>
      <c r="F641" t="s">
        <v>2855</v>
      </c>
      <c r="G641" t="s">
        <v>2855</v>
      </c>
    </row>
    <row r="642" spans="1:7">
      <c r="A642" t="s">
        <v>3196</v>
      </c>
      <c r="B642">
        <v>1</v>
      </c>
      <c r="D642">
        <v>1</v>
      </c>
      <c r="E642" t="s">
        <v>2856</v>
      </c>
      <c r="F642" t="s">
        <v>2856</v>
      </c>
      <c r="G642" t="s">
        <v>2856</v>
      </c>
    </row>
    <row r="643" spans="1:7">
      <c r="A643" t="s">
        <v>3197</v>
      </c>
      <c r="B643">
        <v>1</v>
      </c>
      <c r="D643">
        <v>1</v>
      </c>
      <c r="E643" t="s">
        <v>2857</v>
      </c>
      <c r="F643" t="s">
        <v>2857</v>
      </c>
      <c r="G643" t="s">
        <v>2857</v>
      </c>
    </row>
    <row r="644" spans="1:7">
      <c r="A644" t="s">
        <v>3198</v>
      </c>
      <c r="B644">
        <v>1</v>
      </c>
      <c r="D644">
        <v>1</v>
      </c>
      <c r="E644" t="s">
        <v>2858</v>
      </c>
      <c r="F644" t="s">
        <v>2858</v>
      </c>
      <c r="G644" t="s">
        <v>2858</v>
      </c>
    </row>
    <row r="645" spans="1:7">
      <c r="A645" t="s">
        <v>3199</v>
      </c>
      <c r="B645">
        <v>1</v>
      </c>
      <c r="D645">
        <v>1</v>
      </c>
      <c r="E645" t="s">
        <v>2859</v>
      </c>
      <c r="F645" t="s">
        <v>2859</v>
      </c>
      <c r="G645" t="s">
        <v>2859</v>
      </c>
    </row>
    <row r="646" spans="1:7">
      <c r="A646" t="s">
        <v>3200</v>
      </c>
      <c r="B646">
        <v>1</v>
      </c>
      <c r="D646">
        <v>1</v>
      </c>
      <c r="E646" t="s">
        <v>2860</v>
      </c>
      <c r="F646" t="s">
        <v>2860</v>
      </c>
      <c r="G646" t="s">
        <v>2860</v>
      </c>
    </row>
    <row r="647" spans="1:7">
      <c r="A647" t="s">
        <v>3201</v>
      </c>
      <c r="B647">
        <v>1</v>
      </c>
      <c r="D647">
        <v>1</v>
      </c>
      <c r="E647" t="s">
        <v>2861</v>
      </c>
      <c r="F647" t="s">
        <v>2861</v>
      </c>
      <c r="G647" t="s">
        <v>2861</v>
      </c>
    </row>
    <row r="648" spans="1:7">
      <c r="A648" t="s">
        <v>3202</v>
      </c>
      <c r="B648">
        <v>1</v>
      </c>
      <c r="D648">
        <v>1</v>
      </c>
      <c r="E648" t="s">
        <v>2862</v>
      </c>
      <c r="F648" t="s">
        <v>2862</v>
      </c>
      <c r="G648" t="s">
        <v>2862</v>
      </c>
    </row>
    <row r="649" spans="1:7">
      <c r="A649" t="s">
        <v>3203</v>
      </c>
      <c r="B649">
        <v>1</v>
      </c>
      <c r="D649">
        <v>0</v>
      </c>
      <c r="E649" t="s">
        <v>2863</v>
      </c>
      <c r="F649" t="s">
        <v>2863</v>
      </c>
      <c r="G649" t="s">
        <v>2863</v>
      </c>
    </row>
    <row r="650" spans="1:7">
      <c r="A650" t="s">
        <v>3204</v>
      </c>
      <c r="B650">
        <v>1</v>
      </c>
      <c r="D650">
        <v>1</v>
      </c>
      <c r="E650" t="s">
        <v>2864</v>
      </c>
      <c r="F650" t="s">
        <v>2864</v>
      </c>
      <c r="G650" t="s">
        <v>2864</v>
      </c>
    </row>
    <row r="651" spans="1:7">
      <c r="A651" t="s">
        <v>3205</v>
      </c>
      <c r="B651">
        <v>1</v>
      </c>
      <c r="D651">
        <v>1</v>
      </c>
      <c r="E651" t="s">
        <v>2865</v>
      </c>
      <c r="F651" t="s">
        <v>2865</v>
      </c>
      <c r="G651" t="s">
        <v>2865</v>
      </c>
    </row>
    <row r="652" spans="1:7">
      <c r="A652" t="s">
        <v>3206</v>
      </c>
      <c r="B652">
        <v>1</v>
      </c>
      <c r="D652">
        <v>1</v>
      </c>
      <c r="E652" t="s">
        <v>2866</v>
      </c>
      <c r="F652" t="s">
        <v>2866</v>
      </c>
      <c r="G652" t="s">
        <v>2866</v>
      </c>
    </row>
    <row r="653" spans="1:7">
      <c r="A653" t="s">
        <v>3207</v>
      </c>
      <c r="B653">
        <v>1</v>
      </c>
      <c r="D653">
        <v>1</v>
      </c>
      <c r="E653" t="s">
        <v>2867</v>
      </c>
      <c r="F653" t="s">
        <v>2867</v>
      </c>
      <c r="G653" t="s">
        <v>2867</v>
      </c>
    </row>
    <row r="654" spans="1:7">
      <c r="A654" t="s">
        <v>3208</v>
      </c>
      <c r="B654">
        <v>1</v>
      </c>
      <c r="D654">
        <v>1</v>
      </c>
      <c r="E654" t="s">
        <v>2868</v>
      </c>
      <c r="F654" t="s">
        <v>2868</v>
      </c>
      <c r="G654" t="s">
        <v>2868</v>
      </c>
    </row>
    <row r="655" spans="1:7">
      <c r="A655" t="s">
        <v>3209</v>
      </c>
      <c r="B655">
        <v>1</v>
      </c>
      <c r="D655">
        <v>1</v>
      </c>
      <c r="E655" t="s">
        <v>2869</v>
      </c>
      <c r="F655" t="s">
        <v>2869</v>
      </c>
      <c r="G655" t="s">
        <v>2869</v>
      </c>
    </row>
    <row r="656" spans="1:7">
      <c r="A656" t="s">
        <v>3210</v>
      </c>
      <c r="B656">
        <v>1</v>
      </c>
      <c r="D656">
        <v>1</v>
      </c>
      <c r="E656" t="s">
        <v>2870</v>
      </c>
      <c r="F656" t="s">
        <v>2870</v>
      </c>
      <c r="G656" t="s">
        <v>2870</v>
      </c>
    </row>
    <row r="657" spans="1:7">
      <c r="A657" t="s">
        <v>3211</v>
      </c>
      <c r="B657">
        <v>1</v>
      </c>
      <c r="D657">
        <v>1</v>
      </c>
      <c r="E657" t="s">
        <v>2871</v>
      </c>
      <c r="F657" t="s">
        <v>2871</v>
      </c>
      <c r="G657" t="s">
        <v>2871</v>
      </c>
    </row>
    <row r="658" spans="1:7">
      <c r="A658" t="s">
        <v>3212</v>
      </c>
      <c r="B658">
        <v>1</v>
      </c>
      <c r="D658">
        <v>1</v>
      </c>
      <c r="E658" t="s">
        <v>2872</v>
      </c>
      <c r="F658" t="s">
        <v>2872</v>
      </c>
      <c r="G658" t="s">
        <v>2872</v>
      </c>
    </row>
    <row r="659" spans="1:7">
      <c r="A659" t="s">
        <v>3213</v>
      </c>
      <c r="B659">
        <v>1</v>
      </c>
      <c r="D659">
        <v>1</v>
      </c>
      <c r="E659" t="s">
        <v>2873</v>
      </c>
      <c r="F659" t="s">
        <v>2873</v>
      </c>
      <c r="G659" t="s">
        <v>2873</v>
      </c>
    </row>
    <row r="660" spans="1:7">
      <c r="A660" t="s">
        <v>3214</v>
      </c>
      <c r="B660">
        <v>1</v>
      </c>
      <c r="D660">
        <v>1</v>
      </c>
      <c r="E660" t="s">
        <v>2874</v>
      </c>
      <c r="F660" t="s">
        <v>2874</v>
      </c>
      <c r="G660" t="s">
        <v>2874</v>
      </c>
    </row>
    <row r="661" spans="1:7">
      <c r="A661" t="s">
        <v>3215</v>
      </c>
      <c r="B661">
        <v>1</v>
      </c>
      <c r="D661">
        <v>1</v>
      </c>
      <c r="E661" t="s">
        <v>2875</v>
      </c>
      <c r="F661" t="s">
        <v>2875</v>
      </c>
      <c r="G661" t="s">
        <v>2875</v>
      </c>
    </row>
    <row r="662" spans="1:7">
      <c r="A662" t="s">
        <v>3216</v>
      </c>
      <c r="B662">
        <v>1</v>
      </c>
      <c r="D662">
        <v>1</v>
      </c>
      <c r="E662" t="s">
        <v>2876</v>
      </c>
      <c r="F662" t="s">
        <v>2876</v>
      </c>
      <c r="G662" t="s">
        <v>2876</v>
      </c>
    </row>
    <row r="663" spans="1:7">
      <c r="A663" t="s">
        <v>3217</v>
      </c>
      <c r="B663">
        <v>1</v>
      </c>
      <c r="D663">
        <v>1</v>
      </c>
      <c r="E663" t="s">
        <v>2877</v>
      </c>
      <c r="F663" t="s">
        <v>2877</v>
      </c>
      <c r="G663" t="s">
        <v>2877</v>
      </c>
    </row>
    <row r="664" spans="1:7">
      <c r="A664" t="s">
        <v>3218</v>
      </c>
      <c r="B664">
        <v>1</v>
      </c>
      <c r="D664">
        <v>1</v>
      </c>
      <c r="E664" t="s">
        <v>2878</v>
      </c>
      <c r="F664" t="s">
        <v>2878</v>
      </c>
      <c r="G664" t="s">
        <v>2878</v>
      </c>
    </row>
    <row r="665" spans="1:7">
      <c r="A665" t="s">
        <v>3219</v>
      </c>
      <c r="B665">
        <v>1</v>
      </c>
      <c r="D665">
        <v>1</v>
      </c>
      <c r="E665" t="s">
        <v>2879</v>
      </c>
      <c r="F665" t="s">
        <v>2879</v>
      </c>
      <c r="G665" t="s">
        <v>2879</v>
      </c>
    </row>
    <row r="666" spans="1:7">
      <c r="A666" t="s">
        <v>3220</v>
      </c>
      <c r="B666">
        <v>1</v>
      </c>
      <c r="D666">
        <v>1</v>
      </c>
      <c r="E666" t="s">
        <v>2880</v>
      </c>
      <c r="F666" t="s">
        <v>2880</v>
      </c>
      <c r="G666" t="s">
        <v>2880</v>
      </c>
    </row>
    <row r="667" spans="1:7">
      <c r="A667" t="s">
        <v>3221</v>
      </c>
      <c r="B667">
        <v>1</v>
      </c>
      <c r="D667">
        <v>1</v>
      </c>
      <c r="E667" t="s">
        <v>2881</v>
      </c>
      <c r="F667" t="s">
        <v>2881</v>
      </c>
      <c r="G667" t="s">
        <v>2881</v>
      </c>
    </row>
    <row r="668" spans="1:7">
      <c r="A668" t="s">
        <v>3222</v>
      </c>
      <c r="B668">
        <v>1</v>
      </c>
      <c r="D668">
        <v>1</v>
      </c>
      <c r="E668" t="s">
        <v>2882</v>
      </c>
      <c r="F668" t="s">
        <v>2882</v>
      </c>
      <c r="G668" t="s">
        <v>2882</v>
      </c>
    </row>
    <row r="669" spans="1:7">
      <c r="A669" t="s">
        <v>3223</v>
      </c>
      <c r="B669">
        <v>1</v>
      </c>
      <c r="D669">
        <v>1</v>
      </c>
      <c r="E669" t="s">
        <v>2883</v>
      </c>
      <c r="F669" t="s">
        <v>2883</v>
      </c>
      <c r="G669" t="s">
        <v>2883</v>
      </c>
    </row>
    <row r="670" spans="1:7">
      <c r="A670" t="s">
        <v>3224</v>
      </c>
      <c r="B670">
        <v>1</v>
      </c>
      <c r="D670">
        <v>1</v>
      </c>
      <c r="E670" t="s">
        <v>2884</v>
      </c>
      <c r="F670" t="s">
        <v>2884</v>
      </c>
      <c r="G670" t="s">
        <v>2884</v>
      </c>
    </row>
    <row r="671" spans="1:7">
      <c r="A671" t="s">
        <v>3225</v>
      </c>
      <c r="B671">
        <v>1</v>
      </c>
      <c r="D671">
        <v>1</v>
      </c>
      <c r="E671" t="s">
        <v>2885</v>
      </c>
      <c r="F671" t="s">
        <v>2885</v>
      </c>
      <c r="G671" t="s">
        <v>2885</v>
      </c>
    </row>
    <row r="672" spans="1:7">
      <c r="A672" t="s">
        <v>3226</v>
      </c>
      <c r="B672">
        <v>1</v>
      </c>
      <c r="D672">
        <v>1</v>
      </c>
      <c r="E672" t="s">
        <v>2886</v>
      </c>
      <c r="F672" t="s">
        <v>2886</v>
      </c>
      <c r="G672" t="s">
        <v>2886</v>
      </c>
    </row>
    <row r="673" spans="1:7">
      <c r="A673" t="s">
        <v>3227</v>
      </c>
      <c r="B673">
        <v>1</v>
      </c>
      <c r="D673">
        <v>1</v>
      </c>
      <c r="E673" t="s">
        <v>2887</v>
      </c>
      <c r="F673" t="s">
        <v>2887</v>
      </c>
      <c r="G673" t="s">
        <v>2887</v>
      </c>
    </row>
    <row r="674" spans="1:7">
      <c r="A674" t="s">
        <v>3228</v>
      </c>
      <c r="B674">
        <v>1</v>
      </c>
      <c r="D674">
        <v>1</v>
      </c>
      <c r="E674" t="s">
        <v>2888</v>
      </c>
      <c r="F674" t="s">
        <v>2888</v>
      </c>
      <c r="G674" t="s">
        <v>2888</v>
      </c>
    </row>
    <row r="675" spans="1:7">
      <c r="A675" t="s">
        <v>3229</v>
      </c>
      <c r="B675">
        <v>1</v>
      </c>
      <c r="D675">
        <v>1</v>
      </c>
      <c r="E675" t="s">
        <v>2889</v>
      </c>
      <c r="F675" t="s">
        <v>2889</v>
      </c>
      <c r="G675" t="s">
        <v>2889</v>
      </c>
    </row>
    <row r="676" spans="1:7">
      <c r="A676" t="s">
        <v>3230</v>
      </c>
      <c r="B676">
        <v>1</v>
      </c>
      <c r="D676">
        <v>1</v>
      </c>
      <c r="E676" t="s">
        <v>2890</v>
      </c>
      <c r="F676" t="s">
        <v>2890</v>
      </c>
      <c r="G676" t="s">
        <v>2890</v>
      </c>
    </row>
    <row r="677" spans="1:7">
      <c r="A677" t="s">
        <v>3231</v>
      </c>
      <c r="B677">
        <v>1</v>
      </c>
      <c r="D677">
        <v>1</v>
      </c>
      <c r="E677" t="s">
        <v>2891</v>
      </c>
      <c r="F677" t="s">
        <v>2891</v>
      </c>
      <c r="G677" t="s">
        <v>2891</v>
      </c>
    </row>
    <row r="678" spans="1:7">
      <c r="A678" t="s">
        <v>3232</v>
      </c>
      <c r="B678">
        <v>1</v>
      </c>
      <c r="D678">
        <v>1</v>
      </c>
      <c r="E678" t="s">
        <v>2892</v>
      </c>
      <c r="F678" t="s">
        <v>2892</v>
      </c>
      <c r="G678" t="s">
        <v>2892</v>
      </c>
    </row>
    <row r="679" spans="1:7">
      <c r="A679" t="s">
        <v>3233</v>
      </c>
      <c r="B679">
        <v>1</v>
      </c>
      <c r="D679">
        <v>1</v>
      </c>
      <c r="E679" t="s">
        <v>2893</v>
      </c>
      <c r="F679" t="s">
        <v>2893</v>
      </c>
      <c r="G679" t="s">
        <v>2893</v>
      </c>
    </row>
    <row r="680" spans="1:7">
      <c r="A680" t="s">
        <v>3234</v>
      </c>
      <c r="B680">
        <v>1</v>
      </c>
      <c r="D680">
        <v>1</v>
      </c>
      <c r="E680" t="s">
        <v>2894</v>
      </c>
      <c r="F680" t="s">
        <v>2894</v>
      </c>
      <c r="G680" t="s">
        <v>2894</v>
      </c>
    </row>
    <row r="681" spans="1:7">
      <c r="A681" t="s">
        <v>3235</v>
      </c>
      <c r="B681">
        <v>1</v>
      </c>
      <c r="D681">
        <v>1</v>
      </c>
      <c r="E681" t="s">
        <v>2895</v>
      </c>
      <c r="F681" t="s">
        <v>2895</v>
      </c>
      <c r="G681" t="s">
        <v>2895</v>
      </c>
    </row>
    <row r="682" spans="1:7">
      <c r="A682" t="s">
        <v>3236</v>
      </c>
      <c r="B682">
        <v>1</v>
      </c>
      <c r="D682">
        <v>1</v>
      </c>
      <c r="E682" t="s">
        <v>2896</v>
      </c>
      <c r="F682" t="s">
        <v>2896</v>
      </c>
      <c r="G682" t="s">
        <v>2896</v>
      </c>
    </row>
    <row r="683" spans="1:7">
      <c r="A683" t="s">
        <v>3237</v>
      </c>
      <c r="B683">
        <v>1</v>
      </c>
      <c r="D683">
        <v>1</v>
      </c>
      <c r="E683" t="s">
        <v>2897</v>
      </c>
      <c r="F683" t="s">
        <v>2897</v>
      </c>
      <c r="G683" t="s">
        <v>2897</v>
      </c>
    </row>
    <row r="684" spans="1:7">
      <c r="A684" t="s">
        <v>3238</v>
      </c>
      <c r="B684">
        <v>1</v>
      </c>
      <c r="D684">
        <v>1</v>
      </c>
      <c r="E684" t="s">
        <v>2898</v>
      </c>
      <c r="F684" t="s">
        <v>2898</v>
      </c>
      <c r="G684" t="s">
        <v>2898</v>
      </c>
    </row>
    <row r="685" spans="1:7">
      <c r="A685" t="s">
        <v>3239</v>
      </c>
      <c r="B685">
        <v>1</v>
      </c>
      <c r="D685">
        <v>1</v>
      </c>
      <c r="E685" t="s">
        <v>2899</v>
      </c>
      <c r="F685" t="s">
        <v>2899</v>
      </c>
      <c r="G685" t="s">
        <v>2899</v>
      </c>
    </row>
    <row r="686" spans="1:7">
      <c r="A686" t="s">
        <v>3240</v>
      </c>
      <c r="B686">
        <v>1</v>
      </c>
      <c r="D686">
        <v>1</v>
      </c>
      <c r="E686" t="s">
        <v>2900</v>
      </c>
      <c r="F686" t="s">
        <v>2900</v>
      </c>
      <c r="G686" t="s">
        <v>2900</v>
      </c>
    </row>
    <row r="687" spans="1:7">
      <c r="A687" t="s">
        <v>3241</v>
      </c>
      <c r="B687">
        <v>1</v>
      </c>
      <c r="D687">
        <v>1</v>
      </c>
      <c r="E687" t="s">
        <v>2901</v>
      </c>
      <c r="F687" t="s">
        <v>2901</v>
      </c>
      <c r="G687" t="s">
        <v>2901</v>
      </c>
    </row>
    <row r="688" spans="1:7">
      <c r="A688" t="s">
        <v>3242</v>
      </c>
      <c r="B688">
        <v>1</v>
      </c>
      <c r="D688">
        <v>1</v>
      </c>
      <c r="E688" t="s">
        <v>2902</v>
      </c>
      <c r="F688" t="s">
        <v>2902</v>
      </c>
      <c r="G688" t="s">
        <v>2902</v>
      </c>
    </row>
    <row r="689" spans="1:7">
      <c r="A689" t="s">
        <v>3243</v>
      </c>
      <c r="B689">
        <v>1</v>
      </c>
      <c r="D689">
        <v>1</v>
      </c>
      <c r="E689" t="s">
        <v>2903</v>
      </c>
      <c r="F689" t="s">
        <v>2903</v>
      </c>
      <c r="G689" t="s">
        <v>2903</v>
      </c>
    </row>
    <row r="690" spans="1:7">
      <c r="A690" t="s">
        <v>3244</v>
      </c>
      <c r="B690">
        <v>1</v>
      </c>
      <c r="D690">
        <v>1</v>
      </c>
      <c r="E690" t="s">
        <v>2904</v>
      </c>
      <c r="F690" t="s">
        <v>2904</v>
      </c>
      <c r="G690" t="s">
        <v>2904</v>
      </c>
    </row>
    <row r="691" spans="1:7">
      <c r="A691" t="s">
        <v>3245</v>
      </c>
      <c r="B691">
        <v>1</v>
      </c>
      <c r="D691">
        <v>1</v>
      </c>
      <c r="E691" t="s">
        <v>2905</v>
      </c>
      <c r="F691" t="s">
        <v>2905</v>
      </c>
      <c r="G691" t="s">
        <v>2905</v>
      </c>
    </row>
    <row r="692" spans="1:7">
      <c r="A692" t="s">
        <v>3246</v>
      </c>
      <c r="B692">
        <v>1</v>
      </c>
      <c r="D692">
        <v>1</v>
      </c>
      <c r="E692" t="s">
        <v>2906</v>
      </c>
      <c r="F692" t="s">
        <v>2906</v>
      </c>
      <c r="G692" t="s">
        <v>2906</v>
      </c>
    </row>
    <row r="693" spans="1:7">
      <c r="A693" t="s">
        <v>3247</v>
      </c>
      <c r="B693">
        <v>1</v>
      </c>
      <c r="D693">
        <v>1</v>
      </c>
      <c r="E693" t="s">
        <v>2907</v>
      </c>
      <c r="F693" t="s">
        <v>2907</v>
      </c>
      <c r="G693" t="s">
        <v>2907</v>
      </c>
    </row>
    <row r="694" spans="1:7">
      <c r="A694" t="s">
        <v>3248</v>
      </c>
      <c r="B694">
        <v>1</v>
      </c>
      <c r="D694">
        <v>1</v>
      </c>
      <c r="E694" t="s">
        <v>2908</v>
      </c>
      <c r="F694" t="s">
        <v>2908</v>
      </c>
      <c r="G694" t="s">
        <v>2908</v>
      </c>
    </row>
    <row r="695" spans="1:7">
      <c r="A695" t="s">
        <v>3249</v>
      </c>
      <c r="B695">
        <v>1</v>
      </c>
      <c r="D695">
        <v>1</v>
      </c>
      <c r="E695" t="s">
        <v>2909</v>
      </c>
      <c r="F695" t="s">
        <v>2909</v>
      </c>
      <c r="G695" t="s">
        <v>2909</v>
      </c>
    </row>
    <row r="696" spans="1:7">
      <c r="A696" t="s">
        <v>3250</v>
      </c>
      <c r="B696">
        <v>1</v>
      </c>
      <c r="D696">
        <v>1</v>
      </c>
      <c r="E696" t="s">
        <v>2910</v>
      </c>
      <c r="F696" t="s">
        <v>2910</v>
      </c>
      <c r="G696" t="s">
        <v>2910</v>
      </c>
    </row>
    <row r="697" spans="1:7">
      <c r="A697" t="s">
        <v>3251</v>
      </c>
      <c r="B697">
        <v>1</v>
      </c>
      <c r="D697">
        <v>1</v>
      </c>
      <c r="E697" t="s">
        <v>2911</v>
      </c>
      <c r="F697" t="s">
        <v>2911</v>
      </c>
      <c r="G697" t="s">
        <v>2911</v>
      </c>
    </row>
    <row r="698" spans="1:7">
      <c r="A698" t="s">
        <v>3252</v>
      </c>
      <c r="B698">
        <v>1</v>
      </c>
      <c r="D698">
        <v>1</v>
      </c>
      <c r="E698" t="s">
        <v>2912</v>
      </c>
      <c r="F698" t="s">
        <v>2912</v>
      </c>
      <c r="G698" t="s">
        <v>2912</v>
      </c>
    </row>
    <row r="699" spans="1:7">
      <c r="A699" t="s">
        <v>3253</v>
      </c>
      <c r="B699">
        <v>1</v>
      </c>
      <c r="D699">
        <v>1</v>
      </c>
      <c r="E699" t="s">
        <v>2913</v>
      </c>
      <c r="F699" t="s">
        <v>2913</v>
      </c>
      <c r="G699" t="s">
        <v>2913</v>
      </c>
    </row>
    <row r="700" spans="1:7">
      <c r="A700" t="s">
        <v>3254</v>
      </c>
      <c r="B700">
        <v>1</v>
      </c>
      <c r="D700">
        <v>1</v>
      </c>
      <c r="E700" t="s">
        <v>2914</v>
      </c>
      <c r="F700" t="s">
        <v>2914</v>
      </c>
      <c r="G700" t="s">
        <v>2914</v>
      </c>
    </row>
    <row r="701" spans="1:7">
      <c r="A701" t="s">
        <v>3255</v>
      </c>
      <c r="B701">
        <v>1</v>
      </c>
      <c r="D701">
        <v>1</v>
      </c>
      <c r="E701" t="s">
        <v>2915</v>
      </c>
      <c r="F701" t="s">
        <v>2915</v>
      </c>
      <c r="G701" t="s">
        <v>2915</v>
      </c>
    </row>
    <row r="702" spans="1:7">
      <c r="A702" t="s">
        <v>3256</v>
      </c>
      <c r="B702">
        <v>1</v>
      </c>
      <c r="D702">
        <v>1</v>
      </c>
      <c r="E702" t="s">
        <v>2916</v>
      </c>
      <c r="F702" t="s">
        <v>2916</v>
      </c>
      <c r="G702" t="s">
        <v>2916</v>
      </c>
    </row>
    <row r="703" spans="1:7">
      <c r="A703" t="s">
        <v>3257</v>
      </c>
      <c r="B703">
        <v>1</v>
      </c>
      <c r="D703">
        <v>1</v>
      </c>
      <c r="E703" t="s">
        <v>2917</v>
      </c>
      <c r="F703" t="s">
        <v>2917</v>
      </c>
      <c r="G703" t="s">
        <v>2917</v>
      </c>
    </row>
    <row r="704" spans="1:7">
      <c r="A704" t="s">
        <v>3258</v>
      </c>
      <c r="B704">
        <v>1</v>
      </c>
      <c r="D704">
        <v>1</v>
      </c>
      <c r="E704" t="s">
        <v>2918</v>
      </c>
      <c r="F704" t="s">
        <v>2918</v>
      </c>
      <c r="G704" t="s">
        <v>2918</v>
      </c>
    </row>
    <row r="705" spans="1:7">
      <c r="A705" t="s">
        <v>3259</v>
      </c>
      <c r="B705">
        <v>1</v>
      </c>
      <c r="D705">
        <v>1</v>
      </c>
      <c r="E705" t="s">
        <v>2919</v>
      </c>
      <c r="F705" t="s">
        <v>2919</v>
      </c>
      <c r="G705" t="s">
        <v>2919</v>
      </c>
    </row>
    <row r="706" spans="1:7">
      <c r="A706" t="s">
        <v>3260</v>
      </c>
      <c r="B706">
        <v>1</v>
      </c>
      <c r="D706">
        <v>1</v>
      </c>
      <c r="E706" t="s">
        <v>2920</v>
      </c>
      <c r="F706" t="s">
        <v>2920</v>
      </c>
      <c r="G706" t="s">
        <v>2920</v>
      </c>
    </row>
    <row r="707" spans="1:7">
      <c r="A707" t="s">
        <v>3261</v>
      </c>
      <c r="B707">
        <v>1</v>
      </c>
      <c r="D707">
        <v>1</v>
      </c>
      <c r="E707" t="s">
        <v>2921</v>
      </c>
      <c r="F707" t="s">
        <v>2921</v>
      </c>
      <c r="G707" t="s">
        <v>2921</v>
      </c>
    </row>
    <row r="708" spans="1:7">
      <c r="A708" t="s">
        <v>3262</v>
      </c>
      <c r="B708">
        <v>1</v>
      </c>
      <c r="D708">
        <v>1</v>
      </c>
      <c r="E708" t="s">
        <v>2922</v>
      </c>
      <c r="F708" t="s">
        <v>2922</v>
      </c>
      <c r="G708" t="s">
        <v>2922</v>
      </c>
    </row>
    <row r="709" spans="1:7">
      <c r="A709" t="s">
        <v>3263</v>
      </c>
      <c r="B709">
        <v>1</v>
      </c>
      <c r="D709">
        <v>1</v>
      </c>
      <c r="E709" t="s">
        <v>2923</v>
      </c>
      <c r="F709" t="s">
        <v>2923</v>
      </c>
      <c r="G709" t="s">
        <v>2923</v>
      </c>
    </row>
    <row r="710" spans="1:7">
      <c r="A710" t="s">
        <v>3264</v>
      </c>
      <c r="B710">
        <v>1</v>
      </c>
      <c r="D710">
        <v>1</v>
      </c>
      <c r="E710" t="s">
        <v>2924</v>
      </c>
      <c r="F710" t="s">
        <v>2924</v>
      </c>
      <c r="G710" t="s">
        <v>2924</v>
      </c>
    </row>
    <row r="711" spans="1:7">
      <c r="A711" t="s">
        <v>3265</v>
      </c>
      <c r="B711">
        <v>1</v>
      </c>
      <c r="D711">
        <v>1</v>
      </c>
      <c r="E711" t="s">
        <v>2925</v>
      </c>
      <c r="F711" t="s">
        <v>2925</v>
      </c>
      <c r="G711" t="s">
        <v>2925</v>
      </c>
    </row>
    <row r="712" spans="1:7">
      <c r="A712" t="s">
        <v>3266</v>
      </c>
      <c r="B712">
        <v>1</v>
      </c>
      <c r="D712">
        <v>1</v>
      </c>
      <c r="E712" t="s">
        <v>2926</v>
      </c>
      <c r="F712" t="s">
        <v>2926</v>
      </c>
      <c r="G712" t="s">
        <v>2926</v>
      </c>
    </row>
    <row r="713" spans="1:7">
      <c r="A713" t="s">
        <v>3267</v>
      </c>
      <c r="B713">
        <v>1</v>
      </c>
      <c r="D713">
        <v>1</v>
      </c>
      <c r="E713" t="s">
        <v>2927</v>
      </c>
      <c r="F713" t="s">
        <v>2927</v>
      </c>
      <c r="G713" t="s">
        <v>2927</v>
      </c>
    </row>
    <row r="714" spans="1:7">
      <c r="A714" t="s">
        <v>3268</v>
      </c>
      <c r="B714">
        <v>1</v>
      </c>
      <c r="D714">
        <v>1</v>
      </c>
      <c r="E714" t="s">
        <v>2928</v>
      </c>
      <c r="F714" t="s">
        <v>2928</v>
      </c>
      <c r="G714" t="s">
        <v>2928</v>
      </c>
    </row>
    <row r="715" spans="1:7">
      <c r="A715" t="s">
        <v>3269</v>
      </c>
      <c r="B715">
        <v>1</v>
      </c>
      <c r="D715">
        <v>1</v>
      </c>
      <c r="E715" t="s">
        <v>2929</v>
      </c>
      <c r="F715" t="s">
        <v>2929</v>
      </c>
      <c r="G715" t="s">
        <v>2929</v>
      </c>
    </row>
    <row r="716" spans="1:7">
      <c r="A716" t="s">
        <v>3270</v>
      </c>
      <c r="B716">
        <v>1</v>
      </c>
      <c r="D716">
        <v>1</v>
      </c>
      <c r="E716" t="s">
        <v>2930</v>
      </c>
      <c r="F716" t="s">
        <v>2930</v>
      </c>
      <c r="G716" t="s">
        <v>2930</v>
      </c>
    </row>
    <row r="717" spans="1:7">
      <c r="A717" t="s">
        <v>3271</v>
      </c>
      <c r="B717">
        <v>1</v>
      </c>
      <c r="D717">
        <v>1</v>
      </c>
      <c r="E717" t="s">
        <v>2931</v>
      </c>
      <c r="F717" t="s">
        <v>2931</v>
      </c>
      <c r="G717" t="s">
        <v>2931</v>
      </c>
    </row>
    <row r="718" spans="1:7">
      <c r="A718" t="s">
        <v>3272</v>
      </c>
      <c r="B718">
        <v>1</v>
      </c>
      <c r="D718">
        <v>1</v>
      </c>
      <c r="E718" t="s">
        <v>2932</v>
      </c>
      <c r="F718" t="s">
        <v>2932</v>
      </c>
      <c r="G718" t="s">
        <v>2932</v>
      </c>
    </row>
    <row r="719" spans="1:7">
      <c r="A719" t="s">
        <v>3273</v>
      </c>
      <c r="B719">
        <v>1</v>
      </c>
      <c r="D719">
        <v>1</v>
      </c>
      <c r="E719" t="s">
        <v>2933</v>
      </c>
      <c r="F719" t="s">
        <v>2933</v>
      </c>
      <c r="G719" t="s">
        <v>2933</v>
      </c>
    </row>
    <row r="720" spans="1:7">
      <c r="A720" t="s">
        <v>3274</v>
      </c>
      <c r="B720">
        <v>1</v>
      </c>
      <c r="D720">
        <v>1</v>
      </c>
      <c r="E720" t="s">
        <v>2934</v>
      </c>
      <c r="F720" t="s">
        <v>2934</v>
      </c>
      <c r="G720" t="s">
        <v>2934</v>
      </c>
    </row>
    <row r="721" spans="1:7">
      <c r="A721" t="s">
        <v>3275</v>
      </c>
      <c r="B721">
        <v>1</v>
      </c>
      <c r="D721">
        <v>1</v>
      </c>
      <c r="E721" t="s">
        <v>2935</v>
      </c>
      <c r="F721" t="s">
        <v>2935</v>
      </c>
      <c r="G721" t="s">
        <v>2935</v>
      </c>
    </row>
    <row r="722" spans="1:7">
      <c r="A722" t="s">
        <v>3276</v>
      </c>
      <c r="B722">
        <v>1</v>
      </c>
      <c r="D722">
        <v>1</v>
      </c>
      <c r="E722" t="s">
        <v>2936</v>
      </c>
      <c r="F722" t="s">
        <v>2936</v>
      </c>
      <c r="G722" t="s">
        <v>2936</v>
      </c>
    </row>
    <row r="723" spans="1:7">
      <c r="A723" t="s">
        <v>3277</v>
      </c>
      <c r="B723">
        <v>1</v>
      </c>
      <c r="D723">
        <v>1</v>
      </c>
      <c r="E723" t="s">
        <v>2937</v>
      </c>
      <c r="F723" t="s">
        <v>2937</v>
      </c>
      <c r="G723" t="s">
        <v>2937</v>
      </c>
    </row>
    <row r="724" spans="1:7">
      <c r="A724" t="s">
        <v>3278</v>
      </c>
      <c r="B724">
        <v>1</v>
      </c>
      <c r="D724">
        <v>1</v>
      </c>
      <c r="E724" t="s">
        <v>2938</v>
      </c>
      <c r="F724" t="s">
        <v>2938</v>
      </c>
      <c r="G724" t="s">
        <v>2938</v>
      </c>
    </row>
    <row r="725" spans="1:7">
      <c r="A725" t="s">
        <v>3279</v>
      </c>
      <c r="B725">
        <v>1</v>
      </c>
      <c r="D725">
        <v>1</v>
      </c>
      <c r="E725" t="s">
        <v>2939</v>
      </c>
      <c r="F725" t="s">
        <v>2939</v>
      </c>
      <c r="G725" t="s">
        <v>2939</v>
      </c>
    </row>
    <row r="726" spans="1:7">
      <c r="A726" t="s">
        <v>3280</v>
      </c>
      <c r="B726">
        <v>1</v>
      </c>
      <c r="D726">
        <v>1</v>
      </c>
      <c r="E726" t="s">
        <v>2940</v>
      </c>
      <c r="F726" t="s">
        <v>2940</v>
      </c>
      <c r="G726" t="s">
        <v>2940</v>
      </c>
    </row>
    <row r="727" spans="1:7">
      <c r="A727" t="s">
        <v>3281</v>
      </c>
      <c r="B727">
        <v>1</v>
      </c>
      <c r="D727">
        <v>1</v>
      </c>
      <c r="E727" t="s">
        <v>2941</v>
      </c>
      <c r="F727" t="s">
        <v>2941</v>
      </c>
      <c r="G727" t="s">
        <v>2941</v>
      </c>
    </row>
    <row r="728" spans="1:7">
      <c r="A728" t="s">
        <v>3282</v>
      </c>
      <c r="B728">
        <v>1</v>
      </c>
      <c r="D728">
        <v>1</v>
      </c>
      <c r="E728" t="s">
        <v>2942</v>
      </c>
      <c r="F728" t="s">
        <v>2942</v>
      </c>
      <c r="G728" t="s">
        <v>2942</v>
      </c>
    </row>
    <row r="729" spans="1:7">
      <c r="A729" t="s">
        <v>3283</v>
      </c>
      <c r="B729">
        <v>1</v>
      </c>
      <c r="D729">
        <v>1</v>
      </c>
      <c r="E729" t="s">
        <v>2943</v>
      </c>
      <c r="F729" t="s">
        <v>2943</v>
      </c>
      <c r="G729" t="s">
        <v>2943</v>
      </c>
    </row>
    <row r="730" spans="1:7">
      <c r="A730" t="s">
        <v>3284</v>
      </c>
      <c r="B730">
        <v>1</v>
      </c>
      <c r="D730">
        <v>1</v>
      </c>
      <c r="E730" t="s">
        <v>2944</v>
      </c>
      <c r="F730" t="s">
        <v>2944</v>
      </c>
      <c r="G730" t="s">
        <v>2944</v>
      </c>
    </row>
    <row r="731" spans="1:7">
      <c r="A731" t="s">
        <v>3285</v>
      </c>
      <c r="B731">
        <v>1</v>
      </c>
      <c r="D731">
        <v>1</v>
      </c>
      <c r="E731" t="s">
        <v>2945</v>
      </c>
      <c r="F731" t="s">
        <v>2945</v>
      </c>
      <c r="G731" t="s">
        <v>2945</v>
      </c>
    </row>
    <row r="732" spans="1:7">
      <c r="A732" t="s">
        <v>3286</v>
      </c>
      <c r="B732">
        <v>1</v>
      </c>
      <c r="D732">
        <v>1</v>
      </c>
      <c r="E732" t="s">
        <v>2946</v>
      </c>
      <c r="F732" t="s">
        <v>2946</v>
      </c>
      <c r="G732" t="s">
        <v>2946</v>
      </c>
    </row>
    <row r="733" spans="1:7">
      <c r="A733" t="s">
        <v>3287</v>
      </c>
      <c r="B733">
        <v>1</v>
      </c>
      <c r="D733">
        <v>1</v>
      </c>
      <c r="E733" t="s">
        <v>2947</v>
      </c>
      <c r="F733" t="s">
        <v>2947</v>
      </c>
      <c r="G733" t="s">
        <v>2947</v>
      </c>
    </row>
    <row r="734" spans="1:7">
      <c r="A734" t="s">
        <v>2948</v>
      </c>
      <c r="B734">
        <v>1</v>
      </c>
      <c r="D734">
        <v>1</v>
      </c>
      <c r="E734" t="s">
        <v>2949</v>
      </c>
      <c r="F734" t="s">
        <v>2949</v>
      </c>
      <c r="G734" t="s">
        <v>2949</v>
      </c>
    </row>
    <row r="735" spans="1:7">
      <c r="A735" t="s">
        <v>1221</v>
      </c>
      <c r="B735">
        <v>1</v>
      </c>
      <c r="D735">
        <v>1</v>
      </c>
      <c r="E735">
        <v>1700</v>
      </c>
      <c r="F735">
        <v>1700</v>
      </c>
      <c r="G735">
        <v>1700</v>
      </c>
    </row>
    <row r="736" spans="1:7">
      <c r="A736" t="s">
        <v>3323</v>
      </c>
      <c r="B736">
        <v>2.5</v>
      </c>
      <c r="C736" t="s">
        <v>2697</v>
      </c>
      <c r="D736">
        <v>116</v>
      </c>
      <c r="E736">
        <v>1701</v>
      </c>
      <c r="F736">
        <v>1701</v>
      </c>
      <c r="G736">
        <v>1701</v>
      </c>
    </row>
    <row r="737" spans="1:7">
      <c r="A737" t="s">
        <v>3324</v>
      </c>
      <c r="B737">
        <v>2.5</v>
      </c>
      <c r="C737" t="s">
        <v>2697</v>
      </c>
      <c r="D737">
        <v>108</v>
      </c>
      <c r="E737" t="s">
        <v>2699</v>
      </c>
      <c r="F737" t="s">
        <v>2699</v>
      </c>
      <c r="G737" t="s">
        <v>2699</v>
      </c>
    </row>
    <row r="738" spans="1:7">
      <c r="A738" t="s">
        <v>2696</v>
      </c>
      <c r="B738">
        <v>1</v>
      </c>
      <c r="C738" t="s">
        <v>108</v>
      </c>
      <c r="D738">
        <v>255</v>
      </c>
      <c r="E738" t="s">
        <v>2700</v>
      </c>
      <c r="F738" t="s">
        <v>2700</v>
      </c>
      <c r="G738" t="s">
        <v>2700</v>
      </c>
    </row>
    <row r="739" spans="1:7">
      <c r="A739" t="s">
        <v>2694</v>
      </c>
      <c r="B739">
        <v>1</v>
      </c>
      <c r="C739" t="s">
        <v>108</v>
      </c>
      <c r="D739">
        <v>255</v>
      </c>
      <c r="E739" t="s">
        <v>2701</v>
      </c>
      <c r="F739" t="s">
        <v>2701</v>
      </c>
      <c r="G739" t="s">
        <v>2701</v>
      </c>
    </row>
    <row r="740" spans="1:7">
      <c r="A740" t="s">
        <v>2695</v>
      </c>
      <c r="B740">
        <v>1</v>
      </c>
      <c r="C740" t="s">
        <v>108</v>
      </c>
      <c r="D740">
        <v>1</v>
      </c>
      <c r="E740" t="s">
        <v>2702</v>
      </c>
      <c r="F740" t="s">
        <v>2702</v>
      </c>
      <c r="G740" t="s">
        <v>2702</v>
      </c>
    </row>
    <row r="741" spans="1:7">
      <c r="A741" t="s">
        <v>3325</v>
      </c>
      <c r="B741">
        <v>2.5</v>
      </c>
      <c r="C741" t="s">
        <v>2697</v>
      </c>
      <c r="D741">
        <v>152</v>
      </c>
      <c r="E741" t="s">
        <v>2703</v>
      </c>
      <c r="F741" t="s">
        <v>2703</v>
      </c>
      <c r="G741" t="s">
        <v>2703</v>
      </c>
    </row>
    <row r="742" spans="1:7">
      <c r="A742" t="s">
        <v>2698</v>
      </c>
      <c r="B742">
        <v>1</v>
      </c>
      <c r="C742" t="s">
        <v>108</v>
      </c>
      <c r="D742">
        <v>1</v>
      </c>
      <c r="E742" t="s">
        <v>2531</v>
      </c>
      <c r="F742" t="s">
        <v>2531</v>
      </c>
      <c r="G742" t="s">
        <v>2531</v>
      </c>
    </row>
    <row r="743" spans="1:7">
      <c r="A743" t="s">
        <v>2693</v>
      </c>
      <c r="B743">
        <v>1</v>
      </c>
      <c r="C743" t="s">
        <v>108</v>
      </c>
      <c r="D743">
        <v>5</v>
      </c>
      <c r="E743" t="s">
        <v>2704</v>
      </c>
      <c r="F743" t="s">
        <v>2704</v>
      </c>
      <c r="G743" t="s">
        <v>2704</v>
      </c>
    </row>
    <row r="744" spans="1:7">
      <c r="A744" t="s">
        <v>2532</v>
      </c>
      <c r="B744">
        <v>1</v>
      </c>
      <c r="D744">
        <v>1</v>
      </c>
      <c r="E744" t="s">
        <v>2533</v>
      </c>
      <c r="F744" t="s">
        <v>2533</v>
      </c>
      <c r="G744" t="s">
        <v>2533</v>
      </c>
    </row>
    <row r="745" spans="1:7">
      <c r="A745" t="s">
        <v>80</v>
      </c>
      <c r="B745">
        <v>1</v>
      </c>
      <c r="D745">
        <v>1</v>
      </c>
      <c r="E745" t="s">
        <v>2478</v>
      </c>
      <c r="F745" t="s">
        <v>2478</v>
      </c>
      <c r="G745" t="s">
        <v>2478</v>
      </c>
    </row>
    <row r="746" spans="1:7">
      <c r="A746" t="s">
        <v>397</v>
      </c>
      <c r="B746">
        <v>1</v>
      </c>
      <c r="D746">
        <v>255</v>
      </c>
      <c r="E746" t="s">
        <v>1220</v>
      </c>
      <c r="F746" t="s">
        <v>1220</v>
      </c>
      <c r="G746" t="s">
        <v>1220</v>
      </c>
    </row>
    <row r="747" spans="1:7">
      <c r="A747" t="s">
        <v>398</v>
      </c>
      <c r="B747">
        <v>1</v>
      </c>
      <c r="D747">
        <v>255</v>
      </c>
      <c r="E747" t="s">
        <v>2479</v>
      </c>
      <c r="F747" t="s">
        <v>2479</v>
      </c>
      <c r="G747" t="s">
        <v>2479</v>
      </c>
    </row>
    <row r="748" spans="1:7">
      <c r="A748" t="s">
        <v>399</v>
      </c>
      <c r="B748">
        <v>1</v>
      </c>
      <c r="D748">
        <v>255</v>
      </c>
      <c r="E748" t="s">
        <v>2480</v>
      </c>
      <c r="F748" t="s">
        <v>2480</v>
      </c>
      <c r="G748" t="s">
        <v>2480</v>
      </c>
    </row>
    <row r="749" spans="1:7">
      <c r="A749" t="s">
        <v>400</v>
      </c>
      <c r="B749">
        <v>1</v>
      </c>
      <c r="D749">
        <v>255</v>
      </c>
      <c r="E749" t="s">
        <v>2481</v>
      </c>
      <c r="F749" t="s">
        <v>2481</v>
      </c>
      <c r="G749" t="s">
        <v>2481</v>
      </c>
    </row>
    <row r="750" spans="1:7">
      <c r="A750" t="s">
        <v>401</v>
      </c>
      <c r="B750">
        <v>1</v>
      </c>
      <c r="D750">
        <v>255</v>
      </c>
      <c r="E750" t="s">
        <v>2482</v>
      </c>
      <c r="F750" t="s">
        <v>2482</v>
      </c>
      <c r="G750" t="s">
        <v>2482</v>
      </c>
    </row>
    <row r="751" spans="1:7">
      <c r="A751" t="s">
        <v>402</v>
      </c>
      <c r="B751">
        <v>1</v>
      </c>
      <c r="D751">
        <v>255</v>
      </c>
      <c r="E751" t="s">
        <v>2483</v>
      </c>
      <c r="F751" t="s">
        <v>2483</v>
      </c>
      <c r="G751" t="s">
        <v>2483</v>
      </c>
    </row>
    <row r="752" spans="1:7">
      <c r="A752" t="s">
        <v>403</v>
      </c>
      <c r="B752">
        <v>1</v>
      </c>
      <c r="D752">
        <v>255</v>
      </c>
      <c r="E752" t="s">
        <v>2484</v>
      </c>
      <c r="F752" t="s">
        <v>2484</v>
      </c>
      <c r="G752" t="s">
        <v>2484</v>
      </c>
    </row>
    <row r="753" spans="1:7">
      <c r="A753" t="s">
        <v>404</v>
      </c>
      <c r="B753">
        <v>1</v>
      </c>
      <c r="D753">
        <v>255</v>
      </c>
      <c r="E753" t="s">
        <v>2485</v>
      </c>
      <c r="F753" t="s">
        <v>2485</v>
      </c>
      <c r="G753" t="s">
        <v>2485</v>
      </c>
    </row>
    <row r="754" spans="1:7">
      <c r="A754" t="s">
        <v>405</v>
      </c>
      <c r="B754">
        <v>1</v>
      </c>
      <c r="D754">
        <v>255</v>
      </c>
      <c r="E754" t="s">
        <v>2486</v>
      </c>
      <c r="F754" t="s">
        <v>2486</v>
      </c>
      <c r="G754" t="s">
        <v>2486</v>
      </c>
    </row>
    <row r="755" spans="1:7">
      <c r="A755" t="s">
        <v>406</v>
      </c>
      <c r="B755">
        <v>1</v>
      </c>
      <c r="D755">
        <v>255</v>
      </c>
      <c r="E755" t="s">
        <v>2487</v>
      </c>
      <c r="F755" t="s">
        <v>2487</v>
      </c>
      <c r="G755" t="s">
        <v>2487</v>
      </c>
    </row>
    <row r="756" spans="1:7">
      <c r="A756" t="s">
        <v>407</v>
      </c>
      <c r="B756">
        <v>1</v>
      </c>
      <c r="D756">
        <v>255</v>
      </c>
      <c r="E756" t="s">
        <v>2488</v>
      </c>
      <c r="F756" t="s">
        <v>2488</v>
      </c>
      <c r="G756" t="s">
        <v>2488</v>
      </c>
    </row>
    <row r="757" spans="1:7">
      <c r="A757" t="s">
        <v>408</v>
      </c>
      <c r="B757">
        <v>1</v>
      </c>
      <c r="D757">
        <v>255</v>
      </c>
      <c r="E757" t="s">
        <v>2489</v>
      </c>
      <c r="F757" t="s">
        <v>2489</v>
      </c>
      <c r="G757" t="s">
        <v>2489</v>
      </c>
    </row>
    <row r="758" spans="1:7">
      <c r="A758" t="s">
        <v>409</v>
      </c>
      <c r="B758">
        <v>1</v>
      </c>
      <c r="D758">
        <v>255</v>
      </c>
      <c r="E758" t="s">
        <v>2490</v>
      </c>
      <c r="F758" t="s">
        <v>2490</v>
      </c>
      <c r="G758" t="s">
        <v>2490</v>
      </c>
    </row>
    <row r="759" spans="1:7">
      <c r="A759" t="s">
        <v>410</v>
      </c>
      <c r="B759">
        <v>1</v>
      </c>
      <c r="D759">
        <v>255</v>
      </c>
      <c r="E759" t="s">
        <v>2491</v>
      </c>
      <c r="F759" t="s">
        <v>2491</v>
      </c>
      <c r="G759" t="s">
        <v>2491</v>
      </c>
    </row>
    <row r="760" spans="1:7">
      <c r="A760" t="s">
        <v>411</v>
      </c>
      <c r="B760">
        <v>1</v>
      </c>
      <c r="D760">
        <v>255</v>
      </c>
      <c r="E760" t="s">
        <v>2492</v>
      </c>
      <c r="F760" t="s">
        <v>2492</v>
      </c>
      <c r="G760" t="s">
        <v>2492</v>
      </c>
    </row>
    <row r="761" spans="1:7">
      <c r="A761" t="s">
        <v>412</v>
      </c>
      <c r="B761">
        <v>1</v>
      </c>
      <c r="D761">
        <v>255</v>
      </c>
      <c r="E761" t="s">
        <v>2493</v>
      </c>
      <c r="F761" t="s">
        <v>2493</v>
      </c>
      <c r="G761" t="s">
        <v>2493</v>
      </c>
    </row>
    <row r="762" spans="1:7">
      <c r="A762" t="s">
        <v>413</v>
      </c>
      <c r="B762">
        <v>1</v>
      </c>
      <c r="D762">
        <v>255</v>
      </c>
      <c r="E762" t="s">
        <v>2494</v>
      </c>
      <c r="F762" t="s">
        <v>2494</v>
      </c>
      <c r="G762" t="s">
        <v>2494</v>
      </c>
    </row>
    <row r="763" spans="1:7">
      <c r="A763" t="s">
        <v>414</v>
      </c>
      <c r="B763">
        <v>1</v>
      </c>
      <c r="D763">
        <v>255</v>
      </c>
      <c r="E763" t="s">
        <v>2495</v>
      </c>
      <c r="F763" t="s">
        <v>2495</v>
      </c>
      <c r="G763" t="s">
        <v>2495</v>
      </c>
    </row>
    <row r="764" spans="1:7">
      <c r="A764" t="s">
        <v>415</v>
      </c>
      <c r="B764">
        <v>1</v>
      </c>
      <c r="D764">
        <v>255</v>
      </c>
      <c r="E764" t="s">
        <v>2496</v>
      </c>
      <c r="F764" t="s">
        <v>2496</v>
      </c>
      <c r="G764" t="s">
        <v>2496</v>
      </c>
    </row>
    <row r="765" spans="1:7">
      <c r="A765" t="s">
        <v>416</v>
      </c>
      <c r="B765">
        <v>1</v>
      </c>
      <c r="D765">
        <v>255</v>
      </c>
      <c r="E765" t="s">
        <v>2497</v>
      </c>
      <c r="F765" t="s">
        <v>2497</v>
      </c>
      <c r="G765" t="s">
        <v>2497</v>
      </c>
    </row>
    <row r="766" spans="1:7">
      <c r="A766" t="s">
        <v>509</v>
      </c>
      <c r="B766">
        <v>1</v>
      </c>
      <c r="D766">
        <v>1</v>
      </c>
      <c r="E766" t="s">
        <v>2498</v>
      </c>
      <c r="F766" t="s">
        <v>2498</v>
      </c>
      <c r="G766" t="s">
        <v>2498</v>
      </c>
    </row>
    <row r="767" spans="1:7">
      <c r="A767" t="s">
        <v>2189</v>
      </c>
      <c r="B767">
        <v>1</v>
      </c>
      <c r="D767">
        <v>1</v>
      </c>
      <c r="E767">
        <v>2100</v>
      </c>
      <c r="F767">
        <v>2100</v>
      </c>
      <c r="G767">
        <v>2100</v>
      </c>
    </row>
    <row r="768" spans="1:7">
      <c r="A768" t="s">
        <v>2509</v>
      </c>
      <c r="B768">
        <v>1</v>
      </c>
      <c r="D768">
        <v>0</v>
      </c>
      <c r="E768">
        <v>2101</v>
      </c>
      <c r="F768">
        <v>2101</v>
      </c>
      <c r="G768">
        <v>2101</v>
      </c>
    </row>
    <row r="769" spans="1:7">
      <c r="A769" t="s">
        <v>2510</v>
      </c>
      <c r="B769">
        <v>1</v>
      </c>
      <c r="D769">
        <v>0</v>
      </c>
      <c r="E769" t="s">
        <v>2960</v>
      </c>
      <c r="F769" t="s">
        <v>2960</v>
      </c>
      <c r="G769" t="s">
        <v>2960</v>
      </c>
    </row>
    <row r="770" spans="1:7">
      <c r="A770" t="s">
        <v>2511</v>
      </c>
      <c r="B770">
        <v>1</v>
      </c>
      <c r="D770">
        <v>0</v>
      </c>
      <c r="E770" t="s">
        <v>2961</v>
      </c>
      <c r="F770" t="s">
        <v>2961</v>
      </c>
      <c r="G770" t="s">
        <v>2961</v>
      </c>
    </row>
    <row r="771" spans="1:7">
      <c r="A771" t="s">
        <v>2512</v>
      </c>
      <c r="B771">
        <v>1</v>
      </c>
      <c r="D771">
        <v>0</v>
      </c>
      <c r="E771" t="s">
        <v>2962</v>
      </c>
      <c r="F771" t="s">
        <v>2962</v>
      </c>
      <c r="G771" t="s">
        <v>2962</v>
      </c>
    </row>
    <row r="772" spans="1:7">
      <c r="A772" t="s">
        <v>2963</v>
      </c>
      <c r="B772">
        <v>1</v>
      </c>
      <c r="D772">
        <v>1</v>
      </c>
      <c r="E772" t="s">
        <v>2964</v>
      </c>
      <c r="F772" t="s">
        <v>2964</v>
      </c>
      <c r="G772" t="s">
        <v>2964</v>
      </c>
    </row>
    <row r="773" spans="1:7">
      <c r="A773" t="s">
        <v>621</v>
      </c>
      <c r="B773">
        <v>1</v>
      </c>
      <c r="D773">
        <v>1</v>
      </c>
      <c r="E773">
        <v>3900</v>
      </c>
      <c r="F773">
        <v>3900</v>
      </c>
      <c r="G773">
        <v>3900</v>
      </c>
    </row>
    <row r="774" spans="1:7">
      <c r="A774" t="s">
        <v>629</v>
      </c>
      <c r="B774">
        <v>1</v>
      </c>
      <c r="D774">
        <v>255</v>
      </c>
      <c r="E774">
        <v>3901</v>
      </c>
      <c r="F774">
        <v>3901</v>
      </c>
      <c r="G774">
        <v>3901</v>
      </c>
    </row>
    <row r="775" spans="1:7">
      <c r="A775" t="s">
        <v>630</v>
      </c>
      <c r="B775">
        <v>1</v>
      </c>
      <c r="D775">
        <v>255</v>
      </c>
      <c r="E775" t="s">
        <v>2499</v>
      </c>
      <c r="F775" t="s">
        <v>2499</v>
      </c>
      <c r="G775" t="s">
        <v>2499</v>
      </c>
    </row>
    <row r="776" spans="1:7">
      <c r="A776" t="s">
        <v>631</v>
      </c>
      <c r="B776">
        <v>1</v>
      </c>
      <c r="D776">
        <v>255</v>
      </c>
      <c r="E776" t="s">
        <v>2500</v>
      </c>
      <c r="F776" t="s">
        <v>2500</v>
      </c>
      <c r="G776" t="s">
        <v>2500</v>
      </c>
    </row>
    <row r="777" spans="1:7">
      <c r="A777" t="s">
        <v>632</v>
      </c>
      <c r="B777">
        <v>1</v>
      </c>
      <c r="D777">
        <v>0</v>
      </c>
      <c r="E777" t="s">
        <v>2501</v>
      </c>
      <c r="F777" t="s">
        <v>2501</v>
      </c>
      <c r="G777" t="s">
        <v>2501</v>
      </c>
    </row>
    <row r="778" spans="1:7">
      <c r="A778" t="s">
        <v>633</v>
      </c>
      <c r="B778">
        <v>1</v>
      </c>
      <c r="D778">
        <v>255</v>
      </c>
      <c r="E778" t="s">
        <v>2502</v>
      </c>
      <c r="F778" t="s">
        <v>2502</v>
      </c>
      <c r="G778" t="s">
        <v>2502</v>
      </c>
    </row>
    <row r="779" spans="1:7">
      <c r="A779" t="s">
        <v>634</v>
      </c>
      <c r="B779">
        <v>1</v>
      </c>
      <c r="D779">
        <v>255</v>
      </c>
      <c r="E779" t="s">
        <v>2503</v>
      </c>
      <c r="F779" t="s">
        <v>2503</v>
      </c>
      <c r="G779" t="s">
        <v>2503</v>
      </c>
    </row>
    <row r="780" spans="1:7">
      <c r="A780" t="s">
        <v>635</v>
      </c>
      <c r="B780">
        <v>1</v>
      </c>
      <c r="D780">
        <v>255</v>
      </c>
      <c r="E780" t="s">
        <v>2504</v>
      </c>
      <c r="F780" t="s">
        <v>2504</v>
      </c>
      <c r="G780" t="s">
        <v>2504</v>
      </c>
    </row>
    <row r="781" spans="1:7">
      <c r="A781" t="s">
        <v>715</v>
      </c>
      <c r="B781">
        <v>1</v>
      </c>
      <c r="D781">
        <v>255</v>
      </c>
      <c r="E781" t="s">
        <v>2505</v>
      </c>
      <c r="F781" t="s">
        <v>2505</v>
      </c>
      <c r="G781" t="s">
        <v>2505</v>
      </c>
    </row>
    <row r="782" spans="1:7">
      <c r="A782" t="s">
        <v>716</v>
      </c>
      <c r="B782">
        <v>1</v>
      </c>
      <c r="D782">
        <v>255</v>
      </c>
      <c r="E782" t="s">
        <v>2506</v>
      </c>
      <c r="F782" t="s">
        <v>2506</v>
      </c>
      <c r="G782" t="s">
        <v>2506</v>
      </c>
    </row>
    <row r="783" spans="1:7">
      <c r="A783" t="s">
        <v>717</v>
      </c>
      <c r="B783">
        <v>1</v>
      </c>
      <c r="D783">
        <v>255</v>
      </c>
      <c r="E783" t="s">
        <v>2507</v>
      </c>
      <c r="F783" t="s">
        <v>2507</v>
      </c>
      <c r="G783" t="s">
        <v>2507</v>
      </c>
    </row>
    <row r="784" spans="1:7">
      <c r="A784" t="s">
        <v>636</v>
      </c>
      <c r="B784">
        <v>1</v>
      </c>
      <c r="D784">
        <v>1</v>
      </c>
      <c r="E784" t="s">
        <v>2508</v>
      </c>
      <c r="F784" t="s">
        <v>2508</v>
      </c>
      <c r="G784" t="s">
        <v>2508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0"/>
  <sheetViews>
    <sheetView topLeftCell="A228" workbookViewId="0">
      <selection activeCell="A243" sqref="A243"/>
    </sheetView>
  </sheetViews>
  <sheetFormatPr defaultRowHeight="12.75"/>
  <sheetData>
    <row r="1" spans="1:4">
      <c r="A1" t="s">
        <v>1552</v>
      </c>
      <c r="B1" t="s">
        <v>1553</v>
      </c>
      <c r="C1" t="s">
        <v>1553</v>
      </c>
      <c r="D1" t="s">
        <v>1553</v>
      </c>
    </row>
    <row r="2" spans="1:4">
      <c r="B2">
        <v>0</v>
      </c>
    </row>
    <row r="3" spans="1:4">
      <c r="B3">
        <v>0</v>
      </c>
    </row>
    <row r="4" spans="1:4">
      <c r="B4">
        <v>0</v>
      </c>
    </row>
    <row r="5" spans="1:4">
      <c r="B5">
        <v>0</v>
      </c>
    </row>
    <row r="6" spans="1:4">
      <c r="B6">
        <v>0</v>
      </c>
    </row>
    <row r="7" spans="1:4">
      <c r="B7">
        <v>0</v>
      </c>
    </row>
    <row r="8" spans="1:4">
      <c r="B8">
        <v>0</v>
      </c>
    </row>
    <row r="9" spans="1:4">
      <c r="B9">
        <v>0</v>
      </c>
    </row>
    <row r="10" spans="1:4">
      <c r="A10" t="s">
        <v>501</v>
      </c>
      <c r="B10" t="s">
        <v>90</v>
      </c>
      <c r="C10" t="s">
        <v>90</v>
      </c>
      <c r="D10" t="s">
        <v>90</v>
      </c>
    </row>
    <row r="11" spans="1:4">
      <c r="A11" t="s">
        <v>33</v>
      </c>
      <c r="B11">
        <v>0</v>
      </c>
    </row>
    <row r="12" spans="1:4">
      <c r="A12" t="s">
        <v>1207</v>
      </c>
      <c r="B12">
        <v>1</v>
      </c>
    </row>
    <row r="13" spans="1:4">
      <c r="A13" t="s">
        <v>1125</v>
      </c>
      <c r="B13">
        <v>1</v>
      </c>
    </row>
    <row r="14" spans="1:4">
      <c r="A14" t="s">
        <v>1124</v>
      </c>
      <c r="B14">
        <v>0</v>
      </c>
    </row>
    <row r="15" spans="1:4">
      <c r="A15" t="s">
        <v>1123</v>
      </c>
      <c r="B15">
        <v>1</v>
      </c>
    </row>
    <row r="16" spans="1:4">
      <c r="A16" t="s">
        <v>2571</v>
      </c>
      <c r="B16">
        <v>1</v>
      </c>
    </row>
    <row r="17" spans="1:4">
      <c r="A17" t="s">
        <v>1122</v>
      </c>
      <c r="B17">
        <v>1</v>
      </c>
    </row>
    <row r="18" spans="1:4" ht="153">
      <c r="A18" s="2" t="s">
        <v>1121</v>
      </c>
      <c r="B18">
        <v>1</v>
      </c>
    </row>
    <row r="19" spans="1:4">
      <c r="A19" t="s">
        <v>502</v>
      </c>
      <c r="B19" t="s">
        <v>1716</v>
      </c>
      <c r="C19" t="s">
        <v>1716</v>
      </c>
      <c r="D19" t="s">
        <v>1716</v>
      </c>
    </row>
    <row r="20" spans="1:4">
      <c r="A20" t="s">
        <v>33</v>
      </c>
      <c r="B20">
        <v>0</v>
      </c>
    </row>
    <row r="21" spans="1:4">
      <c r="A21" t="s">
        <v>1132</v>
      </c>
      <c r="B21">
        <v>0</v>
      </c>
    </row>
    <row r="22" spans="1:4">
      <c r="A22" t="s">
        <v>1131</v>
      </c>
      <c r="B22">
        <v>1</v>
      </c>
    </row>
    <row r="23" spans="1:4">
      <c r="A23" t="s">
        <v>1130</v>
      </c>
      <c r="B23">
        <v>1</v>
      </c>
    </row>
    <row r="24" spans="1:4">
      <c r="A24" t="s">
        <v>1129</v>
      </c>
      <c r="B24">
        <v>1</v>
      </c>
    </row>
    <row r="25" spans="1:4">
      <c r="A25" t="s">
        <v>1128</v>
      </c>
      <c r="B25">
        <v>1</v>
      </c>
    </row>
    <row r="26" spans="1:4">
      <c r="A26" t="s">
        <v>1127</v>
      </c>
      <c r="B26">
        <v>0</v>
      </c>
    </row>
    <row r="27" spans="1:4">
      <c r="A27" t="s">
        <v>1126</v>
      </c>
      <c r="B27">
        <v>1</v>
      </c>
    </row>
    <row r="28" spans="1:4">
      <c r="A28" t="s">
        <v>503</v>
      </c>
      <c r="B28" t="s">
        <v>1717</v>
      </c>
      <c r="C28" t="s">
        <v>1717</v>
      </c>
      <c r="D28" t="s">
        <v>1717</v>
      </c>
    </row>
    <row r="29" spans="1:4">
      <c r="A29" t="s">
        <v>33</v>
      </c>
      <c r="B29">
        <v>0</v>
      </c>
    </row>
    <row r="30" spans="1:4">
      <c r="A30" t="s">
        <v>1139</v>
      </c>
      <c r="B30">
        <v>1</v>
      </c>
    </row>
    <row r="31" spans="1:4">
      <c r="A31" t="s">
        <v>1138</v>
      </c>
      <c r="B31">
        <v>0</v>
      </c>
    </row>
    <row r="32" spans="1:4">
      <c r="A32" t="s">
        <v>1137</v>
      </c>
      <c r="B32">
        <v>0</v>
      </c>
    </row>
    <row r="33" spans="1:4">
      <c r="A33" t="s">
        <v>1136</v>
      </c>
      <c r="B33">
        <v>1</v>
      </c>
    </row>
    <row r="34" spans="1:4">
      <c r="A34" t="s">
        <v>1135</v>
      </c>
      <c r="B34">
        <v>1</v>
      </c>
    </row>
    <row r="35" spans="1:4">
      <c r="A35" t="s">
        <v>1134</v>
      </c>
      <c r="B35">
        <v>0</v>
      </c>
    </row>
    <row r="36" spans="1:4">
      <c r="A36" t="s">
        <v>1133</v>
      </c>
      <c r="B36">
        <v>1</v>
      </c>
    </row>
    <row r="37" spans="1:4">
      <c r="A37" t="s">
        <v>504</v>
      </c>
      <c r="B37" t="s">
        <v>1718</v>
      </c>
      <c r="C37" t="s">
        <v>1718</v>
      </c>
      <c r="D37" t="s">
        <v>1718</v>
      </c>
    </row>
    <row r="38" spans="1:4">
      <c r="A38" t="s">
        <v>33</v>
      </c>
      <c r="B38">
        <v>0</v>
      </c>
    </row>
    <row r="39" spans="1:4">
      <c r="A39" t="s">
        <v>1146</v>
      </c>
      <c r="B39">
        <v>0</v>
      </c>
    </row>
    <row r="40" spans="1:4" ht="280.5">
      <c r="A40" s="2" t="s">
        <v>1145</v>
      </c>
      <c r="B40">
        <v>1</v>
      </c>
    </row>
    <row r="41" spans="1:4">
      <c r="A41" t="s">
        <v>1144</v>
      </c>
      <c r="B41">
        <v>0</v>
      </c>
    </row>
    <row r="42" spans="1:4">
      <c r="A42" t="s">
        <v>1143</v>
      </c>
      <c r="B42">
        <v>1</v>
      </c>
    </row>
    <row r="43" spans="1:4">
      <c r="A43" t="s">
        <v>1142</v>
      </c>
      <c r="B43">
        <v>1</v>
      </c>
    </row>
    <row r="44" spans="1:4">
      <c r="A44" t="s">
        <v>1141</v>
      </c>
      <c r="B44">
        <v>1</v>
      </c>
    </row>
    <row r="45" spans="1:4">
      <c r="A45" t="s">
        <v>1140</v>
      </c>
      <c r="B45">
        <v>1</v>
      </c>
    </row>
    <row r="46" spans="1:4">
      <c r="A46" t="s">
        <v>505</v>
      </c>
      <c r="B46" t="s">
        <v>1719</v>
      </c>
      <c r="C46" t="s">
        <v>1719</v>
      </c>
      <c r="D46" t="s">
        <v>1719</v>
      </c>
    </row>
    <row r="47" spans="1:4">
      <c r="A47" t="s">
        <v>33</v>
      </c>
      <c r="B47">
        <v>0</v>
      </c>
    </row>
    <row r="48" spans="1:4">
      <c r="A48" t="s">
        <v>1153</v>
      </c>
      <c r="B48">
        <v>1</v>
      </c>
    </row>
    <row r="49" spans="1:4">
      <c r="A49" t="s">
        <v>1152</v>
      </c>
      <c r="B49">
        <v>1</v>
      </c>
    </row>
    <row r="50" spans="1:4">
      <c r="A50" t="s">
        <v>1151</v>
      </c>
      <c r="B50">
        <v>1</v>
      </c>
    </row>
    <row r="51" spans="1:4">
      <c r="A51" t="s">
        <v>1150</v>
      </c>
      <c r="B51">
        <v>0</v>
      </c>
    </row>
    <row r="52" spans="1:4" ht="165.75">
      <c r="A52" s="2" t="s">
        <v>1149</v>
      </c>
      <c r="B52">
        <v>1</v>
      </c>
    </row>
    <row r="53" spans="1:4" ht="165.75">
      <c r="A53" s="2" t="s">
        <v>1148</v>
      </c>
      <c r="B53">
        <v>1</v>
      </c>
    </row>
    <row r="54" spans="1:4" ht="178.5">
      <c r="A54" s="2" t="s">
        <v>1147</v>
      </c>
      <c r="B54">
        <v>1</v>
      </c>
    </row>
    <row r="55" spans="1:4">
      <c r="A55" t="s">
        <v>506</v>
      </c>
      <c r="B55" t="s">
        <v>1720</v>
      </c>
      <c r="C55" t="s">
        <v>1720</v>
      </c>
      <c r="D55" t="s">
        <v>1720</v>
      </c>
    </row>
    <row r="56" spans="1:4">
      <c r="A56" t="s">
        <v>33</v>
      </c>
      <c r="B56">
        <v>0</v>
      </c>
    </row>
    <row r="57" spans="1:4">
      <c r="A57" t="s">
        <v>1160</v>
      </c>
      <c r="B57">
        <v>0</v>
      </c>
    </row>
    <row r="58" spans="1:4">
      <c r="A58" t="s">
        <v>1159</v>
      </c>
      <c r="B58">
        <v>1</v>
      </c>
    </row>
    <row r="59" spans="1:4">
      <c r="A59" t="s">
        <v>1158</v>
      </c>
      <c r="B59">
        <v>1</v>
      </c>
    </row>
    <row r="60" spans="1:4">
      <c r="A60" t="s">
        <v>1157</v>
      </c>
      <c r="B60">
        <v>1</v>
      </c>
    </row>
    <row r="61" spans="1:4">
      <c r="A61" t="s">
        <v>1156</v>
      </c>
      <c r="B61">
        <v>1</v>
      </c>
    </row>
    <row r="62" spans="1:4">
      <c r="A62" t="s">
        <v>1155</v>
      </c>
      <c r="B62">
        <v>0</v>
      </c>
    </row>
    <row r="63" spans="1:4">
      <c r="A63" t="s">
        <v>1154</v>
      </c>
      <c r="B63">
        <v>1</v>
      </c>
    </row>
    <row r="64" spans="1:4">
      <c r="A64" t="s">
        <v>507</v>
      </c>
      <c r="B64" t="s">
        <v>1721</v>
      </c>
      <c r="C64" t="s">
        <v>1721</v>
      </c>
      <c r="D64" t="s">
        <v>1721</v>
      </c>
    </row>
    <row r="65" spans="1:4">
      <c r="A65" t="s">
        <v>33</v>
      </c>
      <c r="B65">
        <v>0</v>
      </c>
    </row>
    <row r="66" spans="1:4">
      <c r="A66" t="s">
        <v>1165</v>
      </c>
      <c r="B66">
        <v>0</v>
      </c>
    </row>
    <row r="67" spans="1:4">
      <c r="A67" t="s">
        <v>1164</v>
      </c>
      <c r="B67">
        <v>0</v>
      </c>
    </row>
    <row r="68" spans="1:4">
      <c r="A68" t="s">
        <v>2140</v>
      </c>
      <c r="B68">
        <v>1</v>
      </c>
    </row>
    <row r="69" spans="1:4">
      <c r="A69" t="s">
        <v>1163</v>
      </c>
      <c r="B69">
        <v>1</v>
      </c>
    </row>
    <row r="70" spans="1:4">
      <c r="A70" t="s">
        <v>1162</v>
      </c>
      <c r="B70">
        <v>1</v>
      </c>
    </row>
    <row r="71" spans="1:4">
      <c r="A71" t="s">
        <v>1161</v>
      </c>
      <c r="B71">
        <v>1</v>
      </c>
    </row>
    <row r="72" spans="1:4">
      <c r="A72" t="s">
        <v>1208</v>
      </c>
      <c r="B72">
        <v>1</v>
      </c>
    </row>
    <row r="73" spans="1:4">
      <c r="A73" t="s">
        <v>508</v>
      </c>
      <c r="B73" t="s">
        <v>1722</v>
      </c>
      <c r="C73" t="s">
        <v>1722</v>
      </c>
      <c r="D73" t="s">
        <v>1722</v>
      </c>
    </row>
    <row r="74" spans="1:4">
      <c r="A74" t="s">
        <v>33</v>
      </c>
      <c r="B74">
        <v>0</v>
      </c>
    </row>
    <row r="75" spans="1:4">
      <c r="A75" t="s">
        <v>1170</v>
      </c>
      <c r="B75">
        <v>0</v>
      </c>
    </row>
    <row r="76" spans="1:4">
      <c r="A76" t="s">
        <v>1210</v>
      </c>
      <c r="B76">
        <v>1</v>
      </c>
    </row>
    <row r="77" spans="1:4" ht="114.75">
      <c r="A77" s="2" t="s">
        <v>1169</v>
      </c>
      <c r="B77">
        <v>0</v>
      </c>
    </row>
    <row r="78" spans="1:4">
      <c r="A78" t="s">
        <v>1168</v>
      </c>
      <c r="B78">
        <v>0</v>
      </c>
    </row>
    <row r="79" spans="1:4">
      <c r="A79" t="s">
        <v>1167</v>
      </c>
      <c r="B79">
        <v>0</v>
      </c>
    </row>
    <row r="80" spans="1:4">
      <c r="A80" t="s">
        <v>1166</v>
      </c>
      <c r="B80">
        <v>1</v>
      </c>
    </row>
    <row r="81" spans="1:4">
      <c r="A81" t="s">
        <v>1209</v>
      </c>
      <c r="B81">
        <v>1</v>
      </c>
    </row>
    <row r="82" spans="1:4">
      <c r="A82" t="s">
        <v>612</v>
      </c>
      <c r="B82" t="s">
        <v>1723</v>
      </c>
      <c r="C82" t="s">
        <v>1723</v>
      </c>
      <c r="D82" t="s">
        <v>1723</v>
      </c>
    </row>
    <row r="83" spans="1:4">
      <c r="A83" t="s">
        <v>33</v>
      </c>
      <c r="B83">
        <v>0</v>
      </c>
    </row>
    <row r="84" spans="1:4" ht="102">
      <c r="A84" s="2" t="s">
        <v>1177</v>
      </c>
      <c r="B84">
        <v>1</v>
      </c>
    </row>
    <row r="85" spans="1:4" ht="89.25">
      <c r="A85" s="2" t="s">
        <v>1176</v>
      </c>
      <c r="B85">
        <v>0</v>
      </c>
    </row>
    <row r="86" spans="1:4" ht="89.25">
      <c r="A86" s="2" t="s">
        <v>1175</v>
      </c>
      <c r="B86">
        <v>0</v>
      </c>
    </row>
    <row r="87" spans="1:4">
      <c r="A87" t="s">
        <v>1174</v>
      </c>
      <c r="B87">
        <v>1</v>
      </c>
    </row>
    <row r="88" spans="1:4">
      <c r="A88" t="s">
        <v>1173</v>
      </c>
      <c r="B88">
        <v>0</v>
      </c>
    </row>
    <row r="89" spans="1:4">
      <c r="A89" t="s">
        <v>1172</v>
      </c>
      <c r="B89">
        <v>0</v>
      </c>
    </row>
    <row r="90" spans="1:4">
      <c r="A90" t="s">
        <v>1171</v>
      </c>
      <c r="B90">
        <v>1</v>
      </c>
    </row>
    <row r="91" spans="1:4">
      <c r="A91" t="s">
        <v>613</v>
      </c>
      <c r="B91" t="s">
        <v>1724</v>
      </c>
      <c r="C91" t="s">
        <v>1724</v>
      </c>
      <c r="D91" t="s">
        <v>1724</v>
      </c>
    </row>
    <row r="92" spans="1:4">
      <c r="A92" t="s">
        <v>33</v>
      </c>
      <c r="B92">
        <v>0</v>
      </c>
    </row>
    <row r="93" spans="1:4">
      <c r="A93" t="s">
        <v>1183</v>
      </c>
      <c r="B93">
        <v>0</v>
      </c>
    </row>
    <row r="94" spans="1:4">
      <c r="A94" t="s">
        <v>1182</v>
      </c>
      <c r="B94">
        <v>1</v>
      </c>
    </row>
    <row r="95" spans="1:4">
      <c r="A95" t="s">
        <v>1181</v>
      </c>
      <c r="B95">
        <v>1</v>
      </c>
    </row>
    <row r="96" spans="1:4">
      <c r="A96" t="s">
        <v>1180</v>
      </c>
      <c r="B96">
        <v>1</v>
      </c>
    </row>
    <row r="97" spans="1:4">
      <c r="A97" t="s">
        <v>1179</v>
      </c>
      <c r="B97">
        <v>1</v>
      </c>
    </row>
    <row r="98" spans="1:4">
      <c r="A98" t="s">
        <v>1178</v>
      </c>
      <c r="B98">
        <v>1</v>
      </c>
    </row>
    <row r="99" spans="1:4">
      <c r="A99" t="s">
        <v>2063</v>
      </c>
      <c r="B99">
        <v>1</v>
      </c>
    </row>
    <row r="100" spans="1:4">
      <c r="A100" t="s">
        <v>614</v>
      </c>
      <c r="B100" t="s">
        <v>1725</v>
      </c>
      <c r="C100" t="s">
        <v>1725</v>
      </c>
      <c r="D100" t="s">
        <v>1725</v>
      </c>
    </row>
    <row r="101" spans="1:4">
      <c r="A101" t="s">
        <v>33</v>
      </c>
      <c r="B101">
        <v>0</v>
      </c>
    </row>
    <row r="102" spans="1:4">
      <c r="A102" t="s">
        <v>1190</v>
      </c>
      <c r="B102">
        <v>0</v>
      </c>
    </row>
    <row r="103" spans="1:4">
      <c r="A103" t="s">
        <v>1189</v>
      </c>
      <c r="B103">
        <v>0</v>
      </c>
    </row>
    <row r="104" spans="1:4">
      <c r="A104" t="s">
        <v>1188</v>
      </c>
      <c r="B104">
        <v>0</v>
      </c>
    </row>
    <row r="105" spans="1:4">
      <c r="A105" t="s">
        <v>1187</v>
      </c>
      <c r="B105">
        <v>1</v>
      </c>
    </row>
    <row r="106" spans="1:4">
      <c r="A106" t="s">
        <v>1186</v>
      </c>
      <c r="B106">
        <v>1</v>
      </c>
    </row>
    <row r="107" spans="1:4">
      <c r="A107" t="s">
        <v>1185</v>
      </c>
      <c r="B107">
        <v>1</v>
      </c>
    </row>
    <row r="108" spans="1:4">
      <c r="A108" t="s">
        <v>1184</v>
      </c>
      <c r="B108">
        <v>1</v>
      </c>
    </row>
    <row r="109" spans="1:4">
      <c r="A109" t="s">
        <v>615</v>
      </c>
      <c r="B109" t="s">
        <v>1726</v>
      </c>
      <c r="C109" t="s">
        <v>1726</v>
      </c>
      <c r="D109" t="s">
        <v>1726</v>
      </c>
    </row>
    <row r="110" spans="1:4">
      <c r="A110" t="s">
        <v>33</v>
      </c>
      <c r="B110">
        <v>0</v>
      </c>
    </row>
    <row r="111" spans="1:4">
      <c r="A111" t="s">
        <v>2438</v>
      </c>
      <c r="B111">
        <v>1</v>
      </c>
    </row>
    <row r="112" spans="1:4">
      <c r="A112" t="s">
        <v>1196</v>
      </c>
      <c r="B112">
        <v>1</v>
      </c>
    </row>
    <row r="113" spans="1:4">
      <c r="A113" t="s">
        <v>1195</v>
      </c>
      <c r="B113">
        <v>1</v>
      </c>
    </row>
    <row r="114" spans="1:4">
      <c r="A114" t="s">
        <v>1194</v>
      </c>
      <c r="B114">
        <v>1</v>
      </c>
    </row>
    <row r="115" spans="1:4">
      <c r="A115" t="s">
        <v>1193</v>
      </c>
      <c r="B115">
        <v>0</v>
      </c>
    </row>
    <row r="116" spans="1:4">
      <c r="A116" t="s">
        <v>1192</v>
      </c>
      <c r="B116">
        <v>1</v>
      </c>
    </row>
    <row r="117" spans="1:4">
      <c r="A117" t="s">
        <v>1191</v>
      </c>
      <c r="B117">
        <v>0</v>
      </c>
    </row>
    <row r="118" spans="1:4">
      <c r="A118" t="s">
        <v>616</v>
      </c>
      <c r="B118" t="s">
        <v>1727</v>
      </c>
      <c r="C118" t="s">
        <v>1727</v>
      </c>
      <c r="D118" t="s">
        <v>1727</v>
      </c>
    </row>
    <row r="119" spans="1:4">
      <c r="A119" t="s">
        <v>33</v>
      </c>
      <c r="B119">
        <v>0</v>
      </c>
    </row>
    <row r="120" spans="1:4">
      <c r="A120" t="s">
        <v>1202</v>
      </c>
      <c r="B120">
        <v>1</v>
      </c>
    </row>
    <row r="121" spans="1:4">
      <c r="A121" t="s">
        <v>1201</v>
      </c>
      <c r="B121">
        <v>0</v>
      </c>
    </row>
    <row r="122" spans="1:4">
      <c r="A122" t="s">
        <v>1200</v>
      </c>
      <c r="B122">
        <v>1</v>
      </c>
    </row>
    <row r="123" spans="1:4">
      <c r="A123" t="s">
        <v>1199</v>
      </c>
      <c r="B123">
        <v>0</v>
      </c>
    </row>
    <row r="124" spans="1:4">
      <c r="A124" t="s">
        <v>2573</v>
      </c>
      <c r="B124">
        <v>1</v>
      </c>
    </row>
    <row r="125" spans="1:4">
      <c r="A125" t="s">
        <v>1198</v>
      </c>
      <c r="B125">
        <v>0</v>
      </c>
    </row>
    <row r="126" spans="1:4">
      <c r="A126" t="s">
        <v>1197</v>
      </c>
      <c r="B126">
        <v>1</v>
      </c>
    </row>
    <row r="127" spans="1:4">
      <c r="A127" t="s">
        <v>617</v>
      </c>
      <c r="B127" t="s">
        <v>1728</v>
      </c>
      <c r="C127" t="s">
        <v>1728</v>
      </c>
      <c r="D127" t="s">
        <v>1728</v>
      </c>
    </row>
    <row r="128" spans="1:4">
      <c r="A128" t="s">
        <v>33</v>
      </c>
      <c r="B128">
        <v>0</v>
      </c>
    </row>
    <row r="129" spans="1:4">
      <c r="A129" t="s">
        <v>2176</v>
      </c>
      <c r="B129">
        <v>1</v>
      </c>
    </row>
    <row r="130" spans="1:4">
      <c r="A130" t="s">
        <v>2174</v>
      </c>
      <c r="B130">
        <v>1</v>
      </c>
    </row>
    <row r="131" spans="1:4" ht="140.25">
      <c r="A131" s="2" t="s">
        <v>1950</v>
      </c>
      <c r="B131">
        <v>0</v>
      </c>
    </row>
    <row r="132" spans="1:4">
      <c r="A132" t="s">
        <v>2065</v>
      </c>
      <c r="B132">
        <v>0</v>
      </c>
    </row>
    <row r="133" spans="1:4">
      <c r="A133" t="s">
        <v>2064</v>
      </c>
      <c r="B133">
        <v>1</v>
      </c>
    </row>
    <row r="134" spans="1:4">
      <c r="A134" t="s">
        <v>2151</v>
      </c>
      <c r="B134">
        <v>1</v>
      </c>
    </row>
    <row r="135" spans="1:4">
      <c r="A135" t="s">
        <v>1203</v>
      </c>
      <c r="B135">
        <v>0</v>
      </c>
    </row>
    <row r="136" spans="1:4">
      <c r="A136" t="s">
        <v>618</v>
      </c>
      <c r="B136" t="s">
        <v>1729</v>
      </c>
      <c r="C136" t="s">
        <v>1729</v>
      </c>
      <c r="D136" t="s">
        <v>1729</v>
      </c>
    </row>
    <row r="137" spans="1:4">
      <c r="A137" t="s">
        <v>33</v>
      </c>
      <c r="B137">
        <v>0</v>
      </c>
    </row>
    <row r="138" spans="1:4">
      <c r="A138" t="s">
        <v>2541</v>
      </c>
      <c r="B138">
        <v>0</v>
      </c>
    </row>
    <row r="139" spans="1:4">
      <c r="A139" t="s">
        <v>2537</v>
      </c>
      <c r="B139">
        <v>0</v>
      </c>
    </row>
    <row r="140" spans="1:4">
      <c r="A140" t="s">
        <v>2535</v>
      </c>
      <c r="B140">
        <v>0</v>
      </c>
    </row>
    <row r="141" spans="1:4">
      <c r="A141" t="s">
        <v>2449</v>
      </c>
      <c r="B141">
        <v>1</v>
      </c>
    </row>
    <row r="142" spans="1:4">
      <c r="A142" t="s">
        <v>2447</v>
      </c>
      <c r="B142">
        <v>1</v>
      </c>
    </row>
    <row r="143" spans="1:4">
      <c r="A143" t="s">
        <v>2180</v>
      </c>
      <c r="B143">
        <v>1</v>
      </c>
    </row>
    <row r="144" spans="1:4">
      <c r="A144" t="s">
        <v>2178</v>
      </c>
      <c r="B144">
        <v>1</v>
      </c>
    </row>
    <row r="145" spans="1:4">
      <c r="A145" t="s">
        <v>619</v>
      </c>
      <c r="B145" t="s">
        <v>1730</v>
      </c>
      <c r="C145" t="s">
        <v>1730</v>
      </c>
      <c r="D145" t="s">
        <v>1730</v>
      </c>
    </row>
    <row r="146" spans="1:4">
      <c r="A146" t="s">
        <v>33</v>
      </c>
      <c r="B146">
        <v>0</v>
      </c>
    </row>
    <row r="147" spans="1:4">
      <c r="A147" t="s">
        <v>2600</v>
      </c>
      <c r="B147">
        <v>0</v>
      </c>
    </row>
    <row r="148" spans="1:4">
      <c r="A148" t="s">
        <v>2598</v>
      </c>
      <c r="B148">
        <v>0</v>
      </c>
    </row>
    <row r="149" spans="1:4">
      <c r="A149" t="s">
        <v>2590</v>
      </c>
      <c r="B149">
        <v>1</v>
      </c>
    </row>
    <row r="150" spans="1:4">
      <c r="A150" t="s">
        <v>2588</v>
      </c>
      <c r="B150">
        <v>1</v>
      </c>
    </row>
    <row r="151" spans="1:4">
      <c r="A151" t="s">
        <v>2581</v>
      </c>
      <c r="B151">
        <v>0</v>
      </c>
    </row>
    <row r="152" spans="1:4">
      <c r="A152" t="s">
        <v>2577</v>
      </c>
      <c r="B152">
        <v>0</v>
      </c>
    </row>
    <row r="153" spans="1:4">
      <c r="A153" t="s">
        <v>2579</v>
      </c>
      <c r="B153">
        <v>1</v>
      </c>
    </row>
    <row r="154" spans="1:4">
      <c r="A154" t="s">
        <v>1554</v>
      </c>
      <c r="B154" t="s">
        <v>1555</v>
      </c>
      <c r="C154" t="s">
        <v>1555</v>
      </c>
      <c r="D154" t="s">
        <v>1555</v>
      </c>
    </row>
    <row r="155" spans="1:4">
      <c r="B155">
        <v>1</v>
      </c>
    </row>
    <row r="156" spans="1:4">
      <c r="B156">
        <v>1</v>
      </c>
    </row>
    <row r="157" spans="1:4">
      <c r="B157">
        <v>1</v>
      </c>
    </row>
    <row r="158" spans="1:4">
      <c r="B158">
        <v>1</v>
      </c>
    </row>
    <row r="159" spans="1:4">
      <c r="B159">
        <v>1</v>
      </c>
    </row>
    <row r="160" spans="1:4">
      <c r="B160">
        <v>1</v>
      </c>
    </row>
    <row r="161" spans="1:4">
      <c r="B161">
        <v>1</v>
      </c>
    </row>
    <row r="162" spans="1:4">
      <c r="B162">
        <v>1</v>
      </c>
    </row>
    <row r="163" spans="1:4">
      <c r="A163" t="s">
        <v>1556</v>
      </c>
      <c r="B163" t="s">
        <v>1557</v>
      </c>
      <c r="C163" t="s">
        <v>1557</v>
      </c>
      <c r="D163" t="s">
        <v>1557</v>
      </c>
    </row>
    <row r="164" spans="1:4">
      <c r="B164">
        <v>0</v>
      </c>
    </row>
    <row r="165" spans="1:4">
      <c r="B165">
        <v>0</v>
      </c>
    </row>
    <row r="166" spans="1:4">
      <c r="B166">
        <v>0</v>
      </c>
    </row>
    <row r="167" spans="1:4">
      <c r="B167">
        <v>0</v>
      </c>
    </row>
    <row r="168" spans="1:4">
      <c r="B168">
        <v>0</v>
      </c>
    </row>
    <row r="169" spans="1:4">
      <c r="B169">
        <v>0</v>
      </c>
    </row>
    <row r="170" spans="1:4">
      <c r="B170">
        <v>0</v>
      </c>
    </row>
    <row r="171" spans="1:4">
      <c r="B171">
        <v>0</v>
      </c>
    </row>
    <row r="172" spans="1:4">
      <c r="A172" t="s">
        <v>501</v>
      </c>
      <c r="B172" t="s">
        <v>91</v>
      </c>
      <c r="C172" t="s">
        <v>91</v>
      </c>
      <c r="D172" t="s">
        <v>91</v>
      </c>
    </row>
    <row r="173" spans="1:4">
      <c r="A173" t="s">
        <v>33</v>
      </c>
      <c r="B173">
        <v>0</v>
      </c>
    </row>
    <row r="174" spans="1:4" ht="178.5">
      <c r="A174" s="2" t="s">
        <v>1111</v>
      </c>
      <c r="B174">
        <v>1</v>
      </c>
    </row>
    <row r="175" spans="1:4">
      <c r="A175" t="s">
        <v>1211</v>
      </c>
      <c r="B175">
        <v>0</v>
      </c>
    </row>
    <row r="176" spans="1:4">
      <c r="A176" t="s">
        <v>1110</v>
      </c>
      <c r="B176">
        <v>0</v>
      </c>
    </row>
    <row r="177" spans="1:4">
      <c r="A177" t="s">
        <v>1109</v>
      </c>
      <c r="B177">
        <v>1</v>
      </c>
    </row>
    <row r="178" spans="1:4">
      <c r="A178" t="s">
        <v>1108</v>
      </c>
      <c r="B178">
        <v>1</v>
      </c>
    </row>
    <row r="179" spans="1:4">
      <c r="A179" t="s">
        <v>1107</v>
      </c>
      <c r="B179">
        <v>1</v>
      </c>
    </row>
    <row r="180" spans="1:4">
      <c r="A180" t="s">
        <v>1106</v>
      </c>
      <c r="B180">
        <v>1</v>
      </c>
    </row>
    <row r="181" spans="1:4">
      <c r="A181" t="s">
        <v>502</v>
      </c>
      <c r="B181" t="s">
        <v>1731</v>
      </c>
      <c r="C181" t="s">
        <v>1731</v>
      </c>
      <c r="D181" t="s">
        <v>1731</v>
      </c>
    </row>
    <row r="182" spans="1:4">
      <c r="A182" t="s">
        <v>33</v>
      </c>
      <c r="B182">
        <v>0</v>
      </c>
    </row>
    <row r="183" spans="1:4">
      <c r="A183" t="s">
        <v>1117</v>
      </c>
      <c r="B183">
        <v>1</v>
      </c>
    </row>
    <row r="184" spans="1:4">
      <c r="A184" t="s">
        <v>1116</v>
      </c>
      <c r="B184">
        <v>0</v>
      </c>
    </row>
    <row r="185" spans="1:4">
      <c r="A185" t="s">
        <v>1120</v>
      </c>
      <c r="B185">
        <v>1</v>
      </c>
    </row>
    <row r="186" spans="1:4">
      <c r="A186" t="s">
        <v>1115</v>
      </c>
      <c r="B186">
        <v>1</v>
      </c>
    </row>
    <row r="187" spans="1:4">
      <c r="A187" t="s">
        <v>1114</v>
      </c>
      <c r="B187">
        <v>0</v>
      </c>
    </row>
    <row r="188" spans="1:4">
      <c r="A188" t="s">
        <v>1113</v>
      </c>
      <c r="B188">
        <v>0</v>
      </c>
    </row>
    <row r="189" spans="1:4" ht="127.5">
      <c r="A189" s="2" t="s">
        <v>1112</v>
      </c>
      <c r="B189">
        <v>0</v>
      </c>
    </row>
    <row r="190" spans="1:4">
      <c r="A190" t="s">
        <v>503</v>
      </c>
      <c r="B190" t="s">
        <v>1732</v>
      </c>
      <c r="C190" t="s">
        <v>1732</v>
      </c>
      <c r="D190" t="s">
        <v>1732</v>
      </c>
    </row>
    <row r="191" spans="1:4">
      <c r="A191" t="s">
        <v>33</v>
      </c>
      <c r="B191">
        <v>0</v>
      </c>
    </row>
    <row r="192" spans="1:4">
      <c r="A192" t="s">
        <v>2444</v>
      </c>
      <c r="B192">
        <v>0</v>
      </c>
    </row>
    <row r="193" spans="1:4">
      <c r="A193" t="s">
        <v>1946</v>
      </c>
      <c r="B193">
        <v>1</v>
      </c>
    </row>
    <row r="194" spans="1:4">
      <c r="A194" t="s">
        <v>1901</v>
      </c>
      <c r="B194">
        <v>0</v>
      </c>
    </row>
    <row r="195" spans="1:4">
      <c r="A195" t="s">
        <v>1205</v>
      </c>
      <c r="B195">
        <v>0</v>
      </c>
    </row>
    <row r="196" spans="1:4">
      <c r="A196" t="s">
        <v>1204</v>
      </c>
      <c r="B196">
        <v>0</v>
      </c>
    </row>
    <row r="197" spans="1:4">
      <c r="A197" t="s">
        <v>1119</v>
      </c>
      <c r="B197">
        <v>1</v>
      </c>
    </row>
    <row r="198" spans="1:4">
      <c r="A198" t="s">
        <v>1118</v>
      </c>
      <c r="B198">
        <v>0</v>
      </c>
    </row>
    <row r="199" spans="1:4">
      <c r="A199" t="s">
        <v>504</v>
      </c>
      <c r="B199" t="s">
        <v>1733</v>
      </c>
      <c r="C199" t="s">
        <v>1733</v>
      </c>
      <c r="D199" t="s">
        <v>1733</v>
      </c>
    </row>
    <row r="200" spans="1:4">
      <c r="A200" t="s">
        <v>33</v>
      </c>
      <c r="B200">
        <v>0</v>
      </c>
    </row>
    <row r="201" spans="1:4">
      <c r="A201" t="s">
        <v>3019</v>
      </c>
      <c r="B201">
        <v>1</v>
      </c>
    </row>
    <row r="202" spans="1:4">
      <c r="A202" t="s">
        <v>3018</v>
      </c>
      <c r="B202">
        <v>1</v>
      </c>
    </row>
    <row r="203" spans="1:4">
      <c r="A203" t="s">
        <v>2583</v>
      </c>
      <c r="B203">
        <v>1</v>
      </c>
    </row>
    <row r="204" spans="1:4">
      <c r="A204" t="s">
        <v>2576</v>
      </c>
      <c r="B204">
        <v>0</v>
      </c>
    </row>
    <row r="205" spans="1:4">
      <c r="A205" t="s">
        <v>2066</v>
      </c>
      <c r="B205">
        <v>1</v>
      </c>
    </row>
    <row r="206" spans="1:4">
      <c r="A206" t="s">
        <v>2569</v>
      </c>
      <c r="B206">
        <v>0</v>
      </c>
    </row>
    <row r="207" spans="1:4">
      <c r="A207" t="s">
        <v>2062</v>
      </c>
      <c r="B207">
        <v>1</v>
      </c>
    </row>
    <row r="208" spans="1:4">
      <c r="A208" t="s">
        <v>1558</v>
      </c>
      <c r="B208" t="s">
        <v>1559</v>
      </c>
      <c r="C208" t="s">
        <v>1559</v>
      </c>
      <c r="D208" t="s">
        <v>1559</v>
      </c>
    </row>
    <row r="209" spans="1:4">
      <c r="B209">
        <v>1</v>
      </c>
    </row>
    <row r="210" spans="1:4">
      <c r="B210">
        <v>1</v>
      </c>
    </row>
    <row r="211" spans="1:4">
      <c r="B211">
        <v>1</v>
      </c>
    </row>
    <row r="212" spans="1:4">
      <c r="B212">
        <v>1</v>
      </c>
    </row>
    <row r="213" spans="1:4">
      <c r="B213">
        <v>1</v>
      </c>
    </row>
    <row r="214" spans="1:4">
      <c r="B214">
        <v>1</v>
      </c>
    </row>
    <row r="215" spans="1:4">
      <c r="B215">
        <v>1</v>
      </c>
    </row>
    <row r="216" spans="1:4">
      <c r="B216">
        <v>1</v>
      </c>
    </row>
    <row r="217" spans="1:4">
      <c r="A217" t="s">
        <v>1560</v>
      </c>
      <c r="B217" t="s">
        <v>1561</v>
      </c>
      <c r="C217" t="s">
        <v>1561</v>
      </c>
      <c r="D217" t="s">
        <v>1561</v>
      </c>
    </row>
    <row r="218" spans="1:4">
      <c r="B218">
        <v>0</v>
      </c>
    </row>
    <row r="219" spans="1:4">
      <c r="B219">
        <v>0</v>
      </c>
    </row>
    <row r="220" spans="1:4">
      <c r="B220">
        <v>0</v>
      </c>
    </row>
    <row r="221" spans="1:4">
      <c r="B221">
        <v>0</v>
      </c>
    </row>
    <row r="222" spans="1:4">
      <c r="B222">
        <v>0</v>
      </c>
    </row>
    <row r="223" spans="1:4">
      <c r="B223">
        <v>0</v>
      </c>
    </row>
    <row r="224" spans="1:4">
      <c r="B224">
        <v>0</v>
      </c>
    </row>
    <row r="225" spans="1:4">
      <c r="B225">
        <v>0</v>
      </c>
    </row>
    <row r="226" spans="1:4">
      <c r="A226" t="s">
        <v>501</v>
      </c>
      <c r="B226" t="s">
        <v>513</v>
      </c>
      <c r="C226" t="s">
        <v>513</v>
      </c>
      <c r="D226" t="s">
        <v>513</v>
      </c>
    </row>
    <row r="227" spans="1:4">
      <c r="A227" t="s">
        <v>33</v>
      </c>
      <c r="B227">
        <v>0</v>
      </c>
    </row>
    <row r="228" spans="1:4">
      <c r="A228" t="s">
        <v>3022</v>
      </c>
      <c r="B228">
        <v>1</v>
      </c>
    </row>
    <row r="229" spans="1:4">
      <c r="A229" t="s">
        <v>2143</v>
      </c>
      <c r="B229">
        <v>1</v>
      </c>
    </row>
    <row r="230" spans="1:4">
      <c r="A230" t="s">
        <v>2141</v>
      </c>
      <c r="B230">
        <v>0</v>
      </c>
    </row>
    <row r="231" spans="1:4">
      <c r="A231" t="s">
        <v>642</v>
      </c>
      <c r="B231">
        <v>1</v>
      </c>
    </row>
    <row r="232" spans="1:4">
      <c r="A232" t="s">
        <v>331</v>
      </c>
      <c r="B232">
        <v>1</v>
      </c>
    </row>
    <row r="233" spans="1:4">
      <c r="A233" t="s">
        <v>601</v>
      </c>
      <c r="B233">
        <v>1</v>
      </c>
    </row>
    <row r="234" spans="1:4">
      <c r="A234" t="s">
        <v>600</v>
      </c>
      <c r="B234">
        <v>1</v>
      </c>
    </row>
    <row r="235" spans="1:4">
      <c r="A235" t="s">
        <v>502</v>
      </c>
      <c r="B235" t="s">
        <v>1734</v>
      </c>
      <c r="C235" t="s">
        <v>1734</v>
      </c>
      <c r="D235" t="s">
        <v>1734</v>
      </c>
    </row>
    <row r="236" spans="1:4">
      <c r="A236" t="s">
        <v>33</v>
      </c>
      <c r="B236">
        <v>0</v>
      </c>
    </row>
    <row r="237" spans="1:4">
      <c r="B237">
        <v>0</v>
      </c>
    </row>
    <row r="238" spans="1:4">
      <c r="B238">
        <v>0</v>
      </c>
    </row>
    <row r="239" spans="1:4">
      <c r="B239">
        <v>0</v>
      </c>
    </row>
    <row r="240" spans="1:4">
      <c r="B240">
        <v>0</v>
      </c>
    </row>
    <row r="241" spans="1:4">
      <c r="B241">
        <v>0</v>
      </c>
    </row>
    <row r="242" spans="1:4">
      <c r="B242">
        <v>0</v>
      </c>
    </row>
    <row r="243" spans="1:4">
      <c r="A243" t="s">
        <v>3024</v>
      </c>
      <c r="B243">
        <v>0</v>
      </c>
    </row>
    <row r="244" spans="1:4">
      <c r="A244" t="s">
        <v>503</v>
      </c>
      <c r="B244" t="s">
        <v>1735</v>
      </c>
      <c r="C244" t="s">
        <v>1735</v>
      </c>
      <c r="D244" t="s">
        <v>1735</v>
      </c>
    </row>
    <row r="245" spans="1:4">
      <c r="A245" t="s">
        <v>33</v>
      </c>
      <c r="B245">
        <v>0</v>
      </c>
    </row>
    <row r="246" spans="1:4">
      <c r="B246">
        <v>0</v>
      </c>
    </row>
    <row r="247" spans="1:4">
      <c r="B247">
        <v>0</v>
      </c>
    </row>
    <row r="248" spans="1:4">
      <c r="B248">
        <v>0</v>
      </c>
    </row>
    <row r="249" spans="1:4">
      <c r="B249">
        <v>0</v>
      </c>
    </row>
    <row r="250" spans="1:4">
      <c r="B250">
        <v>0</v>
      </c>
    </row>
    <row r="251" spans="1:4">
      <c r="B251">
        <v>0</v>
      </c>
    </row>
    <row r="252" spans="1:4">
      <c r="B252">
        <v>0</v>
      </c>
    </row>
    <row r="253" spans="1:4">
      <c r="A253" t="s">
        <v>504</v>
      </c>
      <c r="B253" t="s">
        <v>1736</v>
      </c>
      <c r="C253" t="s">
        <v>1736</v>
      </c>
      <c r="D253" t="s">
        <v>1736</v>
      </c>
    </row>
    <row r="254" spans="1:4">
      <c r="A254" t="s">
        <v>33</v>
      </c>
      <c r="B254">
        <v>0</v>
      </c>
    </row>
    <row r="255" spans="1:4">
      <c r="B255">
        <v>0</v>
      </c>
    </row>
    <row r="256" spans="1:4">
      <c r="B256">
        <v>0</v>
      </c>
    </row>
    <row r="257" spans="1:4">
      <c r="B257">
        <v>0</v>
      </c>
    </row>
    <row r="258" spans="1:4">
      <c r="B258">
        <v>0</v>
      </c>
    </row>
    <row r="259" spans="1:4">
      <c r="B259">
        <v>0</v>
      </c>
    </row>
    <row r="260" spans="1:4">
      <c r="B260">
        <v>0</v>
      </c>
    </row>
    <row r="261" spans="1:4">
      <c r="B261">
        <v>0</v>
      </c>
    </row>
    <row r="262" spans="1:4">
      <c r="A262" t="s">
        <v>1562</v>
      </c>
      <c r="B262" t="s">
        <v>1563</v>
      </c>
      <c r="C262" t="s">
        <v>1563</v>
      </c>
      <c r="D262" t="s">
        <v>1563</v>
      </c>
    </row>
    <row r="263" spans="1:4">
      <c r="B263">
        <v>1</v>
      </c>
    </row>
    <row r="264" spans="1:4">
      <c r="B264">
        <v>1</v>
      </c>
    </row>
    <row r="265" spans="1:4">
      <c r="B265">
        <v>1</v>
      </c>
    </row>
    <row r="266" spans="1:4">
      <c r="B266">
        <v>1</v>
      </c>
    </row>
    <row r="267" spans="1:4">
      <c r="B267">
        <v>1</v>
      </c>
    </row>
    <row r="268" spans="1:4">
      <c r="B268">
        <v>1</v>
      </c>
    </row>
    <row r="269" spans="1:4">
      <c r="B269">
        <v>1</v>
      </c>
    </row>
    <row r="270" spans="1:4">
      <c r="B270">
        <v>1</v>
      </c>
    </row>
    <row r="271" spans="1:4">
      <c r="A271" t="s">
        <v>1216</v>
      </c>
      <c r="B271">
        <v>1300</v>
      </c>
      <c r="C271">
        <v>1300</v>
      </c>
      <c r="D271">
        <v>1300</v>
      </c>
    </row>
    <row r="272" spans="1:4">
      <c r="B272">
        <v>0</v>
      </c>
    </row>
    <row r="273" spans="1:4">
      <c r="B273">
        <v>0</v>
      </c>
    </row>
    <row r="274" spans="1:4">
      <c r="B274">
        <v>0</v>
      </c>
    </row>
    <row r="275" spans="1:4">
      <c r="B275">
        <v>0</v>
      </c>
    </row>
    <row r="276" spans="1:4">
      <c r="B276">
        <v>0</v>
      </c>
    </row>
    <row r="277" spans="1:4">
      <c r="B277">
        <v>0</v>
      </c>
    </row>
    <row r="278" spans="1:4">
      <c r="B278">
        <v>0</v>
      </c>
    </row>
    <row r="279" spans="1:4">
      <c r="B279">
        <v>0</v>
      </c>
    </row>
    <row r="280" spans="1:4">
      <c r="A280" t="s">
        <v>501</v>
      </c>
      <c r="B280">
        <v>1301</v>
      </c>
      <c r="C280">
        <v>1301</v>
      </c>
      <c r="D280">
        <v>1301</v>
      </c>
    </row>
    <row r="281" spans="1:4">
      <c r="A281" t="s">
        <v>33</v>
      </c>
      <c r="B281">
        <v>0</v>
      </c>
    </row>
    <row r="282" spans="1:4">
      <c r="B282">
        <v>0</v>
      </c>
    </row>
    <row r="283" spans="1:4">
      <c r="B283">
        <v>0</v>
      </c>
    </row>
    <row r="284" spans="1:4">
      <c r="B284">
        <v>0</v>
      </c>
    </row>
    <row r="285" spans="1:4">
      <c r="B285">
        <v>0</v>
      </c>
    </row>
    <row r="286" spans="1:4">
      <c r="B286">
        <v>0</v>
      </c>
    </row>
    <row r="287" spans="1:4">
      <c r="B287">
        <v>0</v>
      </c>
    </row>
    <row r="288" spans="1:4">
      <c r="B288">
        <v>0</v>
      </c>
    </row>
    <row r="289" spans="1:4">
      <c r="A289" t="s">
        <v>502</v>
      </c>
      <c r="B289">
        <v>1302</v>
      </c>
      <c r="C289">
        <v>1302</v>
      </c>
      <c r="D289">
        <v>1302</v>
      </c>
    </row>
    <row r="290" spans="1:4">
      <c r="A290" t="s">
        <v>33</v>
      </c>
      <c r="B290">
        <v>0</v>
      </c>
    </row>
    <row r="291" spans="1:4">
      <c r="A291" t="s">
        <v>378</v>
      </c>
      <c r="B291">
        <v>1</v>
      </c>
    </row>
    <row r="292" spans="1:4">
      <c r="A292" t="s">
        <v>377</v>
      </c>
      <c r="B292">
        <v>1</v>
      </c>
    </row>
    <row r="293" spans="1:4">
      <c r="A293" t="s">
        <v>376</v>
      </c>
      <c r="B293">
        <v>1</v>
      </c>
    </row>
    <row r="294" spans="1:4">
      <c r="A294" t="s">
        <v>375</v>
      </c>
      <c r="B294">
        <v>1</v>
      </c>
    </row>
    <row r="295" spans="1:4">
      <c r="A295" t="s">
        <v>374</v>
      </c>
      <c r="B295">
        <v>0</v>
      </c>
    </row>
    <row r="296" spans="1:4">
      <c r="A296" t="s">
        <v>373</v>
      </c>
      <c r="B296">
        <v>0</v>
      </c>
    </row>
    <row r="297" spans="1:4">
      <c r="A297" t="s">
        <v>372</v>
      </c>
      <c r="B297">
        <v>1</v>
      </c>
    </row>
    <row r="298" spans="1:4">
      <c r="A298" t="s">
        <v>503</v>
      </c>
      <c r="B298">
        <v>1303</v>
      </c>
      <c r="C298">
        <v>1303</v>
      </c>
      <c r="D298">
        <v>1303</v>
      </c>
    </row>
    <row r="299" spans="1:4">
      <c r="A299" t="s">
        <v>33</v>
      </c>
      <c r="B299">
        <v>0</v>
      </c>
    </row>
    <row r="300" spans="1:4">
      <c r="B300">
        <v>0</v>
      </c>
    </row>
    <row r="301" spans="1:4">
      <c r="B301">
        <v>0</v>
      </c>
    </row>
    <row r="302" spans="1:4">
      <c r="B302">
        <v>0</v>
      </c>
    </row>
    <row r="303" spans="1:4">
      <c r="B303">
        <v>0</v>
      </c>
    </row>
    <row r="304" spans="1:4">
      <c r="A304" t="s">
        <v>640</v>
      </c>
      <c r="B304">
        <v>1</v>
      </c>
    </row>
    <row r="305" spans="1:4">
      <c r="A305" t="s">
        <v>639</v>
      </c>
      <c r="B305">
        <v>1</v>
      </c>
    </row>
    <row r="306" spans="1:4">
      <c r="A306" t="s">
        <v>379</v>
      </c>
      <c r="B306">
        <v>1</v>
      </c>
    </row>
    <row r="307" spans="1:4">
      <c r="A307" t="s">
        <v>504</v>
      </c>
      <c r="B307">
        <v>1304</v>
      </c>
      <c r="C307">
        <v>1304</v>
      </c>
      <c r="D307">
        <v>1304</v>
      </c>
    </row>
    <row r="308" spans="1:4">
      <c r="A308" t="s">
        <v>33</v>
      </c>
      <c r="B308">
        <v>0</v>
      </c>
    </row>
    <row r="309" spans="1:4">
      <c r="A309" t="s">
        <v>385</v>
      </c>
      <c r="B309">
        <v>0</v>
      </c>
    </row>
    <row r="310" spans="1:4">
      <c r="A310" t="s">
        <v>384</v>
      </c>
      <c r="B310">
        <v>0</v>
      </c>
    </row>
    <row r="311" spans="1:4">
      <c r="A311" t="s">
        <v>383</v>
      </c>
      <c r="B311">
        <v>0</v>
      </c>
    </row>
    <row r="312" spans="1:4">
      <c r="A312" t="s">
        <v>382</v>
      </c>
      <c r="B312">
        <v>0</v>
      </c>
    </row>
    <row r="313" spans="1:4">
      <c r="A313" t="s">
        <v>381</v>
      </c>
      <c r="B313">
        <v>0</v>
      </c>
    </row>
    <row r="314" spans="1:4">
      <c r="A314" t="s">
        <v>380</v>
      </c>
      <c r="B314">
        <v>0</v>
      </c>
    </row>
    <row r="315" spans="1:4">
      <c r="A315" t="s">
        <v>370</v>
      </c>
      <c r="B315">
        <v>1</v>
      </c>
    </row>
    <row r="316" spans="1:4">
      <c r="A316" t="s">
        <v>505</v>
      </c>
      <c r="B316">
        <v>1305</v>
      </c>
      <c r="C316">
        <v>1305</v>
      </c>
      <c r="D316">
        <v>1305</v>
      </c>
    </row>
    <row r="317" spans="1:4">
      <c r="A317" t="s">
        <v>33</v>
      </c>
      <c r="B317">
        <v>0</v>
      </c>
    </row>
    <row r="318" spans="1:4">
      <c r="B318">
        <v>0</v>
      </c>
    </row>
    <row r="319" spans="1:4">
      <c r="B319">
        <v>0</v>
      </c>
    </row>
    <row r="320" spans="1:4">
      <c r="B320">
        <v>0</v>
      </c>
    </row>
    <row r="321" spans="1:4">
      <c r="B321">
        <v>0</v>
      </c>
    </row>
    <row r="322" spans="1:4">
      <c r="B322">
        <v>0</v>
      </c>
    </row>
    <row r="323" spans="1:4">
      <c r="B323">
        <v>0</v>
      </c>
    </row>
    <row r="324" spans="1:4">
      <c r="B324">
        <v>0</v>
      </c>
    </row>
    <row r="325" spans="1:4">
      <c r="A325" t="s">
        <v>506</v>
      </c>
      <c r="B325">
        <v>1306</v>
      </c>
      <c r="C325">
        <v>1306</v>
      </c>
      <c r="D325">
        <v>1306</v>
      </c>
    </row>
    <row r="326" spans="1:4">
      <c r="A326" t="s">
        <v>33</v>
      </c>
      <c r="B326">
        <v>0</v>
      </c>
    </row>
    <row r="327" spans="1:4">
      <c r="B327">
        <v>0</v>
      </c>
    </row>
    <row r="328" spans="1:4">
      <c r="B328">
        <v>0</v>
      </c>
    </row>
    <row r="329" spans="1:4">
      <c r="B329">
        <v>0</v>
      </c>
    </row>
    <row r="330" spans="1:4">
      <c r="B330">
        <v>0</v>
      </c>
    </row>
    <row r="331" spans="1:4">
      <c r="B331">
        <v>0</v>
      </c>
    </row>
    <row r="332" spans="1:4">
      <c r="B332">
        <v>0</v>
      </c>
    </row>
    <row r="333" spans="1:4">
      <c r="A333" t="s">
        <v>371</v>
      </c>
      <c r="B333">
        <v>0</v>
      </c>
    </row>
    <row r="334" spans="1:4">
      <c r="A334" t="s">
        <v>507</v>
      </c>
      <c r="B334">
        <v>1307</v>
      </c>
      <c r="C334">
        <v>1307</v>
      </c>
      <c r="D334">
        <v>1307</v>
      </c>
    </row>
    <row r="335" spans="1:4">
      <c r="A335" t="s">
        <v>33</v>
      </c>
      <c r="B335">
        <v>0</v>
      </c>
    </row>
    <row r="336" spans="1:4">
      <c r="B336">
        <v>0</v>
      </c>
    </row>
    <row r="337" spans="1:4">
      <c r="B337">
        <v>0</v>
      </c>
    </row>
    <row r="338" spans="1:4">
      <c r="B338">
        <v>0</v>
      </c>
    </row>
    <row r="339" spans="1:4">
      <c r="B339">
        <v>0</v>
      </c>
    </row>
    <row r="340" spans="1:4">
      <c r="B340">
        <v>0</v>
      </c>
    </row>
    <row r="341" spans="1:4">
      <c r="B341">
        <v>0</v>
      </c>
    </row>
    <row r="342" spans="1:4">
      <c r="B342">
        <v>0</v>
      </c>
    </row>
    <row r="343" spans="1:4">
      <c r="A343" t="s">
        <v>508</v>
      </c>
      <c r="B343">
        <v>1308</v>
      </c>
      <c r="C343">
        <v>1308</v>
      </c>
      <c r="D343">
        <v>1308</v>
      </c>
    </row>
    <row r="344" spans="1:4">
      <c r="A344" t="s">
        <v>33</v>
      </c>
      <c r="B344">
        <v>0</v>
      </c>
    </row>
    <row r="345" spans="1:4">
      <c r="B345">
        <v>0</v>
      </c>
    </row>
    <row r="346" spans="1:4">
      <c r="B346">
        <v>0</v>
      </c>
    </row>
    <row r="347" spans="1:4">
      <c r="B347">
        <v>0</v>
      </c>
    </row>
    <row r="348" spans="1:4">
      <c r="B348">
        <v>0</v>
      </c>
    </row>
    <row r="349" spans="1:4">
      <c r="B349">
        <v>0</v>
      </c>
    </row>
    <row r="350" spans="1:4">
      <c r="B350">
        <v>0</v>
      </c>
    </row>
    <row r="351" spans="1:4">
      <c r="B351">
        <v>0</v>
      </c>
    </row>
    <row r="352" spans="1:4">
      <c r="A352" t="s">
        <v>1217</v>
      </c>
      <c r="B352" t="s">
        <v>760</v>
      </c>
      <c r="C352" t="s">
        <v>760</v>
      </c>
      <c r="D352" t="s">
        <v>760</v>
      </c>
    </row>
    <row r="353" spans="2:2">
      <c r="B353">
        <v>1</v>
      </c>
    </row>
    <row r="354" spans="2:2">
      <c r="B354">
        <v>1</v>
      </c>
    </row>
    <row r="355" spans="2:2">
      <c r="B355">
        <v>1</v>
      </c>
    </row>
    <row r="356" spans="2:2">
      <c r="B356">
        <v>1</v>
      </c>
    </row>
    <row r="357" spans="2:2">
      <c r="B357">
        <v>1</v>
      </c>
    </row>
    <row r="358" spans="2:2">
      <c r="B358">
        <v>1</v>
      </c>
    </row>
    <row r="359" spans="2:2">
      <c r="B359">
        <v>1</v>
      </c>
    </row>
    <row r="360" spans="2:2">
      <c r="B360">
        <v>1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rgb="FFFF0000"/>
    <pageSetUpPr fitToPage="1"/>
  </sheetPr>
  <dimension ref="A1:J5"/>
  <sheetViews>
    <sheetView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">
        <v>92</v>
      </c>
      <c r="C2" s="59">
        <v>0</v>
      </c>
      <c r="D2" s="60">
        <v>0</v>
      </c>
      <c r="E2" s="59">
        <v>0</v>
      </c>
      <c r="F2" s="59">
        <v>254</v>
      </c>
      <c r="G2" s="76" t="s">
        <v>94</v>
      </c>
      <c r="H2" s="63">
        <v>201</v>
      </c>
      <c r="I2" s="59">
        <v>1</v>
      </c>
      <c r="J2" s="61"/>
    </row>
    <row r="3" spans="1:10" s="25" customFormat="1" ht="27" customHeight="1">
      <c r="A3" s="65">
        <f>A2+1</f>
        <v>1</v>
      </c>
      <c r="B3" s="76" t="s">
        <v>93</v>
      </c>
      <c r="C3" s="59">
        <v>1</v>
      </c>
      <c r="D3" s="60">
        <v>1</v>
      </c>
      <c r="E3" s="59">
        <v>0</v>
      </c>
      <c r="F3" s="59">
        <v>254</v>
      </c>
      <c r="G3" s="76" t="s">
        <v>1084</v>
      </c>
      <c r="H3" s="64" t="str">
        <f>DEC2HEX((HEX2DEC(H2)+1),4)</f>
        <v>0202</v>
      </c>
      <c r="I3" s="59">
        <v>1</v>
      </c>
      <c r="J3" s="61"/>
    </row>
    <row r="4" spans="1:10" s="25" customFormat="1" ht="27" customHeight="1">
      <c r="A4" s="65">
        <f>A3+1</f>
        <v>2</v>
      </c>
      <c r="B4" s="76" t="str">
        <f>"reserved_byte" &amp;TEXT(A4,0)</f>
        <v>reserved_byte2</v>
      </c>
      <c r="C4" s="59">
        <v>0</v>
      </c>
      <c r="D4" s="60">
        <v>0</v>
      </c>
      <c r="E4" s="59">
        <v>0</v>
      </c>
      <c r="F4" s="59">
        <v>254</v>
      </c>
      <c r="G4" s="76" t="s">
        <v>59</v>
      </c>
      <c r="H4" s="64" t="str">
        <f>DEC2HEX((HEX2DEC(H3)+1),4)</f>
        <v>0203</v>
      </c>
      <c r="I4" s="59">
        <v>1</v>
      </c>
      <c r="J4" s="61"/>
    </row>
    <row r="5" spans="1:10" s="25" customFormat="1" ht="27" customHeight="1">
      <c r="A5" s="65">
        <f>A4+1</f>
        <v>3</v>
      </c>
      <c r="B5" s="76" t="str">
        <f>"reserved_byte" &amp;TEXT(A5,0)</f>
        <v>reserved_byte3</v>
      </c>
      <c r="C5" s="59">
        <v>0</v>
      </c>
      <c r="D5" s="60">
        <v>0</v>
      </c>
      <c r="E5" s="59">
        <v>0</v>
      </c>
      <c r="F5" s="59">
        <v>254</v>
      </c>
      <c r="G5" s="76" t="s">
        <v>59</v>
      </c>
      <c r="H5" s="64" t="str">
        <f>DEC2HEX((HEX2DEC(H4)+1),4)</f>
        <v>0204</v>
      </c>
      <c r="I5" s="59">
        <v>1</v>
      </c>
      <c r="J5" s="61"/>
    </row>
  </sheetData>
  <dataValidations count="3">
    <dataValidation type="decimal" operator="lessThan" allowBlank="1" showInputMessage="1" showErrorMessage="1" sqref="F2:F5">
      <formula1>255</formula1>
    </dataValidation>
    <dataValidation type="decimal" allowBlank="1" showInputMessage="1" showErrorMessage="1" sqref="D2:D5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rgb="FFFF0000"/>
    <pageSetUpPr fitToPage="1"/>
  </sheetPr>
  <dimension ref="A1:J221"/>
  <sheetViews>
    <sheetView topLeftCell="A40" zoomScale="40" zoomScaleNormal="40" workbookViewId="0"/>
  </sheetViews>
  <sheetFormatPr defaultColWidth="11.42578125" defaultRowHeight="15"/>
  <cols>
    <col min="1" max="1" width="10.5703125" style="57" customWidth="1"/>
    <col min="2" max="2" width="50.7109375" style="350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349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">
        <v>2615</v>
      </c>
      <c r="C2" s="59">
        <v>1</v>
      </c>
      <c r="D2" s="59">
        <v>1</v>
      </c>
      <c r="E2" s="59">
        <v>0</v>
      </c>
      <c r="F2" s="59">
        <v>254</v>
      </c>
      <c r="G2" s="76" t="s">
        <v>3144</v>
      </c>
      <c r="H2" s="63">
        <v>1201</v>
      </c>
      <c r="I2" s="59">
        <v>1</v>
      </c>
      <c r="J2" s="61"/>
    </row>
    <row r="3" spans="1:10" s="25" customFormat="1" ht="27" customHeight="1">
      <c r="A3" s="65">
        <f t="shared" ref="A3:A66" si="0">A2+1</f>
        <v>1</v>
      </c>
      <c r="B3" s="76" t="s">
        <v>2616</v>
      </c>
      <c r="C3" s="59">
        <v>1</v>
      </c>
      <c r="D3" s="59">
        <v>1</v>
      </c>
      <c r="E3" s="59">
        <v>0</v>
      </c>
      <c r="F3" s="59">
        <v>254</v>
      </c>
      <c r="G3" s="76" t="s">
        <v>3145</v>
      </c>
      <c r="H3" s="64" t="str">
        <f t="shared" ref="H3:H66" si="1">DEC2HEX((HEX2DEC(H2)+1),4)</f>
        <v>1202</v>
      </c>
      <c r="I3" s="59">
        <v>1</v>
      </c>
      <c r="J3" s="61"/>
    </row>
    <row r="4" spans="1:10" s="25" customFormat="1" ht="27" customHeight="1">
      <c r="A4" s="65">
        <f t="shared" si="0"/>
        <v>2</v>
      </c>
      <c r="B4" s="76" t="s">
        <v>2617</v>
      </c>
      <c r="C4" s="59">
        <v>1</v>
      </c>
      <c r="D4" s="59">
        <v>1</v>
      </c>
      <c r="E4" s="59">
        <v>0</v>
      </c>
      <c r="F4" s="59">
        <v>254</v>
      </c>
      <c r="G4" s="76" t="s">
        <v>3146</v>
      </c>
      <c r="H4" s="64" t="str">
        <f t="shared" si="1"/>
        <v>1203</v>
      </c>
      <c r="I4" s="59">
        <v>1</v>
      </c>
      <c r="J4" s="61"/>
    </row>
    <row r="5" spans="1:10" s="25" customFormat="1" ht="27" customHeight="1">
      <c r="A5" s="65">
        <f t="shared" si="0"/>
        <v>3</v>
      </c>
      <c r="B5" s="76" t="s">
        <v>2618</v>
      </c>
      <c r="C5" s="59">
        <v>1</v>
      </c>
      <c r="D5" s="59">
        <v>1</v>
      </c>
      <c r="E5" s="59">
        <v>0</v>
      </c>
      <c r="F5" s="59">
        <v>254</v>
      </c>
      <c r="G5" s="76" t="s">
        <v>3147</v>
      </c>
      <c r="H5" s="64" t="str">
        <f t="shared" si="1"/>
        <v>1204</v>
      </c>
      <c r="I5" s="59">
        <v>1</v>
      </c>
      <c r="J5" s="61"/>
    </row>
    <row r="6" spans="1:10" s="25" customFormat="1" ht="27" customHeight="1">
      <c r="A6" s="65">
        <f t="shared" si="0"/>
        <v>4</v>
      </c>
      <c r="B6" s="76" t="s">
        <v>2619</v>
      </c>
      <c r="C6" s="59">
        <v>1</v>
      </c>
      <c r="D6" s="59">
        <v>1</v>
      </c>
      <c r="E6" s="59">
        <v>0</v>
      </c>
      <c r="F6" s="59">
        <v>254</v>
      </c>
      <c r="G6" s="76" t="s">
        <v>3148</v>
      </c>
      <c r="H6" s="64" t="str">
        <f t="shared" si="1"/>
        <v>1205</v>
      </c>
      <c r="I6" s="59">
        <v>1</v>
      </c>
      <c r="J6" s="61"/>
    </row>
    <row r="7" spans="1:10" s="25" customFormat="1" ht="27" customHeight="1">
      <c r="A7" s="65">
        <f t="shared" si="0"/>
        <v>5</v>
      </c>
      <c r="B7" s="76" t="s">
        <v>2620</v>
      </c>
      <c r="C7" s="59">
        <v>1</v>
      </c>
      <c r="D7" s="59">
        <v>1</v>
      </c>
      <c r="E7" s="59">
        <v>0</v>
      </c>
      <c r="F7" s="59">
        <v>254</v>
      </c>
      <c r="G7" s="76" t="s">
        <v>3149</v>
      </c>
      <c r="H7" s="64" t="str">
        <f t="shared" si="1"/>
        <v>1206</v>
      </c>
      <c r="I7" s="59">
        <v>1</v>
      </c>
      <c r="J7" s="61"/>
    </row>
    <row r="8" spans="1:10" s="25" customFormat="1" ht="27" customHeight="1">
      <c r="A8" s="65">
        <f t="shared" si="0"/>
        <v>6</v>
      </c>
      <c r="B8" s="76" t="s">
        <v>2621</v>
      </c>
      <c r="C8" s="59">
        <v>1</v>
      </c>
      <c r="D8" s="59">
        <v>1</v>
      </c>
      <c r="E8" s="59">
        <v>0</v>
      </c>
      <c r="F8" s="59">
        <v>254</v>
      </c>
      <c r="G8" s="76" t="s">
        <v>3150</v>
      </c>
      <c r="H8" s="64" t="str">
        <f t="shared" si="1"/>
        <v>1207</v>
      </c>
      <c r="I8" s="59">
        <v>1</v>
      </c>
      <c r="J8" s="61"/>
    </row>
    <row r="9" spans="1:10" s="25" customFormat="1" ht="27" customHeight="1">
      <c r="A9" s="65">
        <f t="shared" si="0"/>
        <v>7</v>
      </c>
      <c r="B9" s="76" t="s">
        <v>2622</v>
      </c>
      <c r="C9" s="59">
        <v>1</v>
      </c>
      <c r="D9" s="59">
        <v>1</v>
      </c>
      <c r="E9" s="59">
        <v>0</v>
      </c>
      <c r="F9" s="59">
        <v>254</v>
      </c>
      <c r="G9" s="76" t="s">
        <v>3151</v>
      </c>
      <c r="H9" s="64" t="str">
        <f t="shared" si="1"/>
        <v>1208</v>
      </c>
      <c r="I9" s="59">
        <v>1</v>
      </c>
      <c r="J9" s="61"/>
    </row>
    <row r="10" spans="1:10" s="25" customFormat="1" ht="27" customHeight="1">
      <c r="A10" s="65">
        <f t="shared" si="0"/>
        <v>8</v>
      </c>
      <c r="B10" s="76" t="s">
        <v>2623</v>
      </c>
      <c r="C10" s="59">
        <v>1</v>
      </c>
      <c r="D10" s="59">
        <v>1</v>
      </c>
      <c r="E10" s="59">
        <v>0</v>
      </c>
      <c r="F10" s="59">
        <v>254</v>
      </c>
      <c r="G10" s="76" t="s">
        <v>3152</v>
      </c>
      <c r="H10" s="64" t="str">
        <f t="shared" si="1"/>
        <v>1209</v>
      </c>
      <c r="I10" s="59">
        <v>1</v>
      </c>
      <c r="J10" s="61"/>
    </row>
    <row r="11" spans="1:10" s="25" customFormat="1" ht="27" customHeight="1">
      <c r="A11" s="65">
        <f t="shared" si="0"/>
        <v>9</v>
      </c>
      <c r="B11" s="76" t="s">
        <v>2624</v>
      </c>
      <c r="C11" s="59">
        <v>1</v>
      </c>
      <c r="D11" s="59">
        <v>1</v>
      </c>
      <c r="E11" s="59">
        <v>0</v>
      </c>
      <c r="F11" s="59">
        <v>254</v>
      </c>
      <c r="G11" s="76" t="s">
        <v>3153</v>
      </c>
      <c r="H11" s="64" t="str">
        <f t="shared" si="1"/>
        <v>120A</v>
      </c>
      <c r="I11" s="59">
        <v>1</v>
      </c>
      <c r="J11" s="61"/>
    </row>
    <row r="12" spans="1:10" s="25" customFormat="1" ht="27" customHeight="1">
      <c r="A12" s="65">
        <f t="shared" si="0"/>
        <v>10</v>
      </c>
      <c r="B12" s="76" t="s">
        <v>2625</v>
      </c>
      <c r="C12" s="59">
        <v>1</v>
      </c>
      <c r="D12" s="59">
        <v>1</v>
      </c>
      <c r="E12" s="59">
        <v>0</v>
      </c>
      <c r="F12" s="59">
        <v>254</v>
      </c>
      <c r="G12" s="76" t="s">
        <v>3154</v>
      </c>
      <c r="H12" s="64" t="str">
        <f t="shared" si="1"/>
        <v>120B</v>
      </c>
      <c r="I12" s="59">
        <v>1</v>
      </c>
      <c r="J12" s="61"/>
    </row>
    <row r="13" spans="1:10" s="25" customFormat="1" ht="27" customHeight="1">
      <c r="A13" s="65">
        <f t="shared" si="0"/>
        <v>11</v>
      </c>
      <c r="B13" s="76" t="s">
        <v>2626</v>
      </c>
      <c r="C13" s="59">
        <v>1</v>
      </c>
      <c r="D13" s="59">
        <v>1</v>
      </c>
      <c r="E13" s="59">
        <v>0</v>
      </c>
      <c r="F13" s="59">
        <v>254</v>
      </c>
      <c r="G13" s="76" t="s">
        <v>3155</v>
      </c>
      <c r="H13" s="64" t="str">
        <f t="shared" si="1"/>
        <v>120C</v>
      </c>
      <c r="I13" s="59">
        <v>1</v>
      </c>
      <c r="J13" s="61"/>
    </row>
    <row r="14" spans="1:10" s="25" customFormat="1" ht="27" customHeight="1">
      <c r="A14" s="65">
        <f t="shared" si="0"/>
        <v>12</v>
      </c>
      <c r="B14" s="76" t="s">
        <v>2627</v>
      </c>
      <c r="C14" s="59">
        <v>1</v>
      </c>
      <c r="D14" s="59">
        <v>1</v>
      </c>
      <c r="E14" s="59">
        <v>0</v>
      </c>
      <c r="F14" s="59">
        <v>254</v>
      </c>
      <c r="G14" s="76" t="s">
        <v>3156</v>
      </c>
      <c r="H14" s="64" t="str">
        <f t="shared" si="1"/>
        <v>120D</v>
      </c>
      <c r="I14" s="59">
        <v>1</v>
      </c>
      <c r="J14" s="61"/>
    </row>
    <row r="15" spans="1:10" s="25" customFormat="1" ht="27" customHeight="1">
      <c r="A15" s="65">
        <f t="shared" si="0"/>
        <v>13</v>
      </c>
      <c r="B15" s="76" t="s">
        <v>2628</v>
      </c>
      <c r="C15" s="59">
        <v>1</v>
      </c>
      <c r="D15" s="59">
        <v>1</v>
      </c>
      <c r="E15" s="59">
        <v>0</v>
      </c>
      <c r="F15" s="59">
        <v>254</v>
      </c>
      <c r="G15" s="76" t="s">
        <v>3157</v>
      </c>
      <c r="H15" s="64" t="str">
        <f t="shared" si="1"/>
        <v>120E</v>
      </c>
      <c r="I15" s="59">
        <v>1</v>
      </c>
      <c r="J15" s="61"/>
    </row>
    <row r="16" spans="1:10" s="25" customFormat="1" ht="27" customHeight="1">
      <c r="A16" s="65">
        <f t="shared" si="0"/>
        <v>14</v>
      </c>
      <c r="B16" s="76" t="s">
        <v>2629</v>
      </c>
      <c r="C16" s="59">
        <v>1</v>
      </c>
      <c r="D16" s="59">
        <v>1</v>
      </c>
      <c r="E16" s="59">
        <v>0</v>
      </c>
      <c r="F16" s="59">
        <v>254</v>
      </c>
      <c r="G16" s="76" t="s">
        <v>3158</v>
      </c>
      <c r="H16" s="64" t="str">
        <f t="shared" si="1"/>
        <v>120F</v>
      </c>
      <c r="I16" s="59">
        <v>1</v>
      </c>
      <c r="J16" s="61"/>
    </row>
    <row r="17" spans="1:10" s="25" customFormat="1" ht="27" customHeight="1">
      <c r="A17" s="65">
        <f t="shared" si="0"/>
        <v>15</v>
      </c>
      <c r="B17" s="76" t="s">
        <v>2630</v>
      </c>
      <c r="C17" s="59">
        <v>1</v>
      </c>
      <c r="D17" s="59">
        <v>1</v>
      </c>
      <c r="E17" s="59">
        <v>0</v>
      </c>
      <c r="F17" s="59">
        <v>254</v>
      </c>
      <c r="G17" s="76" t="s">
        <v>3159</v>
      </c>
      <c r="H17" s="64" t="str">
        <f t="shared" si="1"/>
        <v>1210</v>
      </c>
      <c r="I17" s="59">
        <v>1</v>
      </c>
      <c r="J17" s="61"/>
    </row>
    <row r="18" spans="1:10" s="25" customFormat="1" ht="27" customHeight="1">
      <c r="A18" s="65">
        <f t="shared" si="0"/>
        <v>16</v>
      </c>
      <c r="B18" s="76" t="s">
        <v>2631</v>
      </c>
      <c r="C18" s="59">
        <v>1</v>
      </c>
      <c r="D18" s="59">
        <v>1</v>
      </c>
      <c r="E18" s="59">
        <v>0</v>
      </c>
      <c r="F18" s="59">
        <v>254</v>
      </c>
      <c r="G18" s="76" t="s">
        <v>3160</v>
      </c>
      <c r="H18" s="64" t="str">
        <f t="shared" si="1"/>
        <v>1211</v>
      </c>
      <c r="I18" s="59">
        <v>1</v>
      </c>
      <c r="J18" s="61"/>
    </row>
    <row r="19" spans="1:10" s="25" customFormat="1" ht="27" customHeight="1">
      <c r="A19" s="65">
        <f t="shared" si="0"/>
        <v>17</v>
      </c>
      <c r="B19" s="76" t="s">
        <v>2635</v>
      </c>
      <c r="C19" s="59">
        <v>1</v>
      </c>
      <c r="D19" s="59">
        <v>1</v>
      </c>
      <c r="E19" s="59">
        <v>0</v>
      </c>
      <c r="F19" s="59">
        <v>254</v>
      </c>
      <c r="G19" s="76" t="s">
        <v>3161</v>
      </c>
      <c r="H19" s="64" t="str">
        <f t="shared" si="1"/>
        <v>1212</v>
      </c>
      <c r="I19" s="59">
        <v>1</v>
      </c>
      <c r="J19" s="61"/>
    </row>
    <row r="20" spans="1:10" s="25" customFormat="1" ht="27" customHeight="1">
      <c r="A20" s="65">
        <f t="shared" si="0"/>
        <v>18</v>
      </c>
      <c r="B20" s="76" t="s">
        <v>2636</v>
      </c>
      <c r="C20" s="59">
        <v>1</v>
      </c>
      <c r="D20" s="59">
        <v>1</v>
      </c>
      <c r="E20" s="59">
        <v>0</v>
      </c>
      <c r="F20" s="59">
        <v>254</v>
      </c>
      <c r="G20" s="76" t="s">
        <v>3143</v>
      </c>
      <c r="H20" s="64" t="str">
        <f t="shared" si="1"/>
        <v>1213</v>
      </c>
      <c r="I20" s="59">
        <v>1</v>
      </c>
      <c r="J20" s="61"/>
    </row>
    <row r="21" spans="1:10" s="25" customFormat="1" ht="27" customHeight="1">
      <c r="A21" s="65">
        <f t="shared" si="0"/>
        <v>19</v>
      </c>
      <c r="B21" s="76" t="s">
        <v>2632</v>
      </c>
      <c r="C21" s="59">
        <v>1</v>
      </c>
      <c r="D21" s="59">
        <v>1</v>
      </c>
      <c r="E21" s="59">
        <v>0</v>
      </c>
      <c r="F21" s="59">
        <v>254</v>
      </c>
      <c r="G21" s="76" t="s">
        <v>3162</v>
      </c>
      <c r="H21" s="64" t="str">
        <f t="shared" si="1"/>
        <v>1214</v>
      </c>
      <c r="I21" s="59">
        <v>1</v>
      </c>
      <c r="J21" s="61"/>
    </row>
    <row r="22" spans="1:10" s="25" customFormat="1" ht="27" customHeight="1">
      <c r="A22" s="65">
        <f t="shared" si="0"/>
        <v>20</v>
      </c>
      <c r="B22" s="76" t="s">
        <v>2633</v>
      </c>
      <c r="C22" s="59">
        <v>1</v>
      </c>
      <c r="D22" s="59">
        <v>1</v>
      </c>
      <c r="E22" s="59">
        <v>0</v>
      </c>
      <c r="F22" s="59">
        <v>254</v>
      </c>
      <c r="G22" s="76" t="s">
        <v>3163</v>
      </c>
      <c r="H22" s="64" t="str">
        <f t="shared" si="1"/>
        <v>1215</v>
      </c>
      <c r="I22" s="59">
        <v>1</v>
      </c>
      <c r="J22" s="61"/>
    </row>
    <row r="23" spans="1:10" s="25" customFormat="1" ht="27" customHeight="1">
      <c r="A23" s="65">
        <f t="shared" si="0"/>
        <v>21</v>
      </c>
      <c r="B23" s="76" t="s">
        <v>2634</v>
      </c>
      <c r="C23" s="59">
        <v>1</v>
      </c>
      <c r="D23" s="59">
        <v>1</v>
      </c>
      <c r="E23" s="59">
        <v>0</v>
      </c>
      <c r="F23" s="59">
        <v>254</v>
      </c>
      <c r="G23" s="76" t="s">
        <v>3164</v>
      </c>
      <c r="H23" s="64" t="str">
        <f t="shared" si="1"/>
        <v>1216</v>
      </c>
      <c r="I23" s="59">
        <v>1</v>
      </c>
      <c r="J23" s="61"/>
    </row>
    <row r="24" spans="1:10" s="25" customFormat="1" ht="27" customHeight="1">
      <c r="A24" s="65">
        <f t="shared" si="0"/>
        <v>22</v>
      </c>
      <c r="B24" s="76" t="s">
        <v>2637</v>
      </c>
      <c r="C24" s="59">
        <v>1</v>
      </c>
      <c r="D24" s="59">
        <v>1</v>
      </c>
      <c r="E24" s="59">
        <v>0</v>
      </c>
      <c r="F24" s="59">
        <v>254</v>
      </c>
      <c r="G24" s="76" t="s">
        <v>3165</v>
      </c>
      <c r="H24" s="64" t="str">
        <f t="shared" si="1"/>
        <v>1217</v>
      </c>
      <c r="I24" s="59">
        <v>1</v>
      </c>
      <c r="J24" s="61"/>
    </row>
    <row r="25" spans="1:10" s="25" customFormat="1" ht="27" customHeight="1">
      <c r="A25" s="65">
        <f t="shared" si="0"/>
        <v>23</v>
      </c>
      <c r="B25" s="76" t="s">
        <v>2638</v>
      </c>
      <c r="C25" s="59">
        <v>1</v>
      </c>
      <c r="D25" s="59">
        <v>1</v>
      </c>
      <c r="E25" s="59">
        <v>0</v>
      </c>
      <c r="F25" s="59">
        <v>254</v>
      </c>
      <c r="G25" s="76" t="s">
        <v>3166</v>
      </c>
      <c r="H25" s="64" t="str">
        <f t="shared" si="1"/>
        <v>1218</v>
      </c>
      <c r="I25" s="59">
        <v>1</v>
      </c>
      <c r="J25" s="61"/>
    </row>
    <row r="26" spans="1:10" s="25" customFormat="1" ht="27" customHeight="1">
      <c r="A26" s="65">
        <f t="shared" si="0"/>
        <v>24</v>
      </c>
      <c r="B26" s="76" t="s">
        <v>3105</v>
      </c>
      <c r="C26" s="59">
        <v>1</v>
      </c>
      <c r="D26" s="59">
        <v>1</v>
      </c>
      <c r="E26" s="59">
        <v>0</v>
      </c>
      <c r="F26" s="59">
        <v>254</v>
      </c>
      <c r="G26" s="76" t="s">
        <v>3167</v>
      </c>
      <c r="H26" s="64" t="str">
        <f t="shared" si="1"/>
        <v>1219</v>
      </c>
      <c r="I26" s="59">
        <v>1</v>
      </c>
      <c r="J26" s="61"/>
    </row>
    <row r="27" spans="1:10" s="25" customFormat="1" ht="27" customHeight="1">
      <c r="A27" s="65">
        <f t="shared" si="0"/>
        <v>25</v>
      </c>
      <c r="B27" s="76" t="s">
        <v>3106</v>
      </c>
      <c r="C27" s="59">
        <v>1</v>
      </c>
      <c r="D27" s="59">
        <v>1</v>
      </c>
      <c r="E27" s="59">
        <v>0</v>
      </c>
      <c r="F27" s="59">
        <v>254</v>
      </c>
      <c r="G27" s="76" t="s">
        <v>3168</v>
      </c>
      <c r="H27" s="64" t="str">
        <f t="shared" si="1"/>
        <v>121A</v>
      </c>
      <c r="I27" s="59">
        <v>1</v>
      </c>
      <c r="J27" s="61"/>
    </row>
    <row r="28" spans="1:10" s="25" customFormat="1" ht="27" customHeight="1">
      <c r="A28" s="65">
        <f t="shared" si="0"/>
        <v>26</v>
      </c>
      <c r="B28" s="76" t="s">
        <v>3107</v>
      </c>
      <c r="C28" s="59">
        <v>1</v>
      </c>
      <c r="D28" s="59">
        <v>1</v>
      </c>
      <c r="E28" s="59">
        <v>0</v>
      </c>
      <c r="F28" s="59">
        <v>254</v>
      </c>
      <c r="G28" s="76" t="s">
        <v>3169</v>
      </c>
      <c r="H28" s="64" t="str">
        <f t="shared" si="1"/>
        <v>121B</v>
      </c>
      <c r="I28" s="59">
        <v>1</v>
      </c>
      <c r="J28" s="61"/>
    </row>
    <row r="29" spans="1:10" s="25" customFormat="1" ht="27" customHeight="1">
      <c r="A29" s="65">
        <f t="shared" si="0"/>
        <v>27</v>
      </c>
      <c r="B29" s="76" t="s">
        <v>3108</v>
      </c>
      <c r="C29" s="59">
        <v>1</v>
      </c>
      <c r="D29" s="59">
        <v>1</v>
      </c>
      <c r="E29" s="59">
        <v>0</v>
      </c>
      <c r="F29" s="59">
        <v>254</v>
      </c>
      <c r="G29" s="76" t="s">
        <v>3170</v>
      </c>
      <c r="H29" s="64" t="str">
        <f t="shared" si="1"/>
        <v>121C</v>
      </c>
      <c r="I29" s="59">
        <v>1</v>
      </c>
      <c r="J29" s="61"/>
    </row>
    <row r="30" spans="1:10" s="25" customFormat="1" ht="27" customHeight="1">
      <c r="A30" s="65">
        <f t="shared" si="0"/>
        <v>28</v>
      </c>
      <c r="B30" s="76" t="s">
        <v>3109</v>
      </c>
      <c r="C30" s="59">
        <v>1</v>
      </c>
      <c r="D30" s="59">
        <v>1</v>
      </c>
      <c r="E30" s="59">
        <v>0</v>
      </c>
      <c r="F30" s="59">
        <v>254</v>
      </c>
      <c r="G30" s="76" t="s">
        <v>3171</v>
      </c>
      <c r="H30" s="64" t="str">
        <f t="shared" si="1"/>
        <v>121D</v>
      </c>
      <c r="I30" s="59">
        <v>1</v>
      </c>
      <c r="J30" s="61"/>
    </row>
    <row r="31" spans="1:10" s="25" customFormat="1" ht="27" customHeight="1">
      <c r="A31" s="65">
        <f t="shared" si="0"/>
        <v>29</v>
      </c>
      <c r="B31" s="76" t="s">
        <v>3110</v>
      </c>
      <c r="C31" s="59">
        <v>1</v>
      </c>
      <c r="D31" s="59">
        <v>1</v>
      </c>
      <c r="E31" s="59">
        <v>0</v>
      </c>
      <c r="F31" s="59">
        <v>254</v>
      </c>
      <c r="G31" s="76" t="s">
        <v>3172</v>
      </c>
      <c r="H31" s="64" t="str">
        <f t="shared" si="1"/>
        <v>121E</v>
      </c>
      <c r="I31" s="59">
        <v>1</v>
      </c>
      <c r="J31" s="61"/>
    </row>
    <row r="32" spans="1:10" s="25" customFormat="1" ht="27" customHeight="1">
      <c r="A32" s="65">
        <f t="shared" si="0"/>
        <v>30</v>
      </c>
      <c r="B32" s="76" t="s">
        <v>3111</v>
      </c>
      <c r="C32" s="59">
        <v>1</v>
      </c>
      <c r="D32" s="59">
        <v>1</v>
      </c>
      <c r="E32" s="59">
        <v>0</v>
      </c>
      <c r="F32" s="59">
        <v>254</v>
      </c>
      <c r="G32" s="76" t="s">
        <v>3173</v>
      </c>
      <c r="H32" s="64" t="str">
        <f t="shared" si="1"/>
        <v>121F</v>
      </c>
      <c r="I32" s="59">
        <v>1</v>
      </c>
      <c r="J32" s="61"/>
    </row>
    <row r="33" spans="1:10" s="25" customFormat="1" ht="27" customHeight="1">
      <c r="A33" s="65">
        <f t="shared" si="0"/>
        <v>31</v>
      </c>
      <c r="B33" s="76" t="s">
        <v>3112</v>
      </c>
      <c r="C33" s="59">
        <v>1</v>
      </c>
      <c r="D33" s="59">
        <v>1</v>
      </c>
      <c r="E33" s="59">
        <v>0</v>
      </c>
      <c r="F33" s="59">
        <v>254</v>
      </c>
      <c r="G33" s="76" t="s">
        <v>3174</v>
      </c>
      <c r="H33" s="64" t="str">
        <f t="shared" si="1"/>
        <v>1220</v>
      </c>
      <c r="I33" s="59">
        <v>1</v>
      </c>
      <c r="J33" s="61"/>
    </row>
    <row r="34" spans="1:10" s="25" customFormat="1" ht="27" customHeight="1">
      <c r="A34" s="65">
        <f t="shared" si="0"/>
        <v>32</v>
      </c>
      <c r="B34" s="76" t="s">
        <v>3113</v>
      </c>
      <c r="C34" s="59">
        <v>1</v>
      </c>
      <c r="D34" s="59">
        <v>1</v>
      </c>
      <c r="E34" s="59">
        <v>0</v>
      </c>
      <c r="F34" s="59">
        <v>254</v>
      </c>
      <c r="G34" s="76" t="s">
        <v>3175</v>
      </c>
      <c r="H34" s="64" t="str">
        <f t="shared" si="1"/>
        <v>1221</v>
      </c>
      <c r="I34" s="59">
        <v>1</v>
      </c>
      <c r="J34" s="61"/>
    </row>
    <row r="35" spans="1:10" s="25" customFormat="1" ht="27" customHeight="1">
      <c r="A35" s="65">
        <f t="shared" si="0"/>
        <v>33</v>
      </c>
      <c r="B35" s="76" t="s">
        <v>3114</v>
      </c>
      <c r="C35" s="59">
        <v>1</v>
      </c>
      <c r="D35" s="59">
        <v>1</v>
      </c>
      <c r="E35" s="59">
        <v>0</v>
      </c>
      <c r="F35" s="59">
        <v>254</v>
      </c>
      <c r="G35" s="76" t="s">
        <v>3176</v>
      </c>
      <c r="H35" s="64" t="str">
        <f t="shared" si="1"/>
        <v>1222</v>
      </c>
      <c r="I35" s="59">
        <v>1</v>
      </c>
      <c r="J35" s="61"/>
    </row>
    <row r="36" spans="1:10" s="25" customFormat="1" ht="27" customHeight="1">
      <c r="A36" s="65">
        <f t="shared" si="0"/>
        <v>34</v>
      </c>
      <c r="B36" s="76" t="s">
        <v>3115</v>
      </c>
      <c r="C36" s="59">
        <v>1</v>
      </c>
      <c r="D36" s="59">
        <v>1</v>
      </c>
      <c r="E36" s="59">
        <v>0</v>
      </c>
      <c r="F36" s="59">
        <v>254</v>
      </c>
      <c r="G36" s="76" t="s">
        <v>3177</v>
      </c>
      <c r="H36" s="64" t="str">
        <f t="shared" si="1"/>
        <v>1223</v>
      </c>
      <c r="I36" s="59">
        <v>1</v>
      </c>
      <c r="J36" s="61"/>
    </row>
    <row r="37" spans="1:10" s="25" customFormat="1" ht="27" customHeight="1">
      <c r="A37" s="65">
        <f t="shared" si="0"/>
        <v>35</v>
      </c>
      <c r="B37" s="76" t="s">
        <v>3116</v>
      </c>
      <c r="C37" s="59">
        <v>1</v>
      </c>
      <c r="D37" s="59">
        <v>1</v>
      </c>
      <c r="E37" s="59">
        <v>0</v>
      </c>
      <c r="F37" s="59">
        <v>254</v>
      </c>
      <c r="G37" s="76" t="s">
        <v>3178</v>
      </c>
      <c r="H37" s="64" t="str">
        <f t="shared" si="1"/>
        <v>1224</v>
      </c>
      <c r="I37" s="59">
        <v>1</v>
      </c>
      <c r="J37" s="61"/>
    </row>
    <row r="38" spans="1:10" s="25" customFormat="1" ht="27" customHeight="1">
      <c r="A38" s="65">
        <f t="shared" si="0"/>
        <v>36</v>
      </c>
      <c r="B38" s="76" t="s">
        <v>3117</v>
      </c>
      <c r="C38" s="59">
        <v>1</v>
      </c>
      <c r="D38" s="59">
        <v>1</v>
      </c>
      <c r="E38" s="59">
        <v>0</v>
      </c>
      <c r="F38" s="59">
        <v>254</v>
      </c>
      <c r="G38" s="76" t="s">
        <v>3179</v>
      </c>
      <c r="H38" s="64" t="str">
        <f t="shared" si="1"/>
        <v>1225</v>
      </c>
      <c r="I38" s="59">
        <v>1</v>
      </c>
      <c r="J38" s="61"/>
    </row>
    <row r="39" spans="1:10" s="25" customFormat="1" ht="27" customHeight="1">
      <c r="A39" s="65">
        <f t="shared" si="0"/>
        <v>37</v>
      </c>
      <c r="B39" s="76" t="s">
        <v>3118</v>
      </c>
      <c r="C39" s="59">
        <v>1</v>
      </c>
      <c r="D39" s="59">
        <v>1</v>
      </c>
      <c r="E39" s="59">
        <v>0</v>
      </c>
      <c r="F39" s="59">
        <v>254</v>
      </c>
      <c r="G39" s="76" t="s">
        <v>3180</v>
      </c>
      <c r="H39" s="64" t="str">
        <f t="shared" si="1"/>
        <v>1226</v>
      </c>
      <c r="I39" s="59">
        <v>1</v>
      </c>
      <c r="J39" s="61"/>
    </row>
    <row r="40" spans="1:10" s="25" customFormat="1" ht="27" customHeight="1">
      <c r="A40" s="65">
        <f t="shared" si="0"/>
        <v>38</v>
      </c>
      <c r="B40" s="76" t="s">
        <v>3119</v>
      </c>
      <c r="C40" s="59">
        <v>1</v>
      </c>
      <c r="D40" s="59">
        <v>1</v>
      </c>
      <c r="E40" s="59">
        <v>0</v>
      </c>
      <c r="F40" s="59">
        <v>254</v>
      </c>
      <c r="G40" s="76" t="s">
        <v>3181</v>
      </c>
      <c r="H40" s="64" t="str">
        <f t="shared" si="1"/>
        <v>1227</v>
      </c>
      <c r="I40" s="59">
        <v>1</v>
      </c>
      <c r="J40" s="61"/>
    </row>
    <row r="41" spans="1:10" s="25" customFormat="1" ht="27" customHeight="1">
      <c r="A41" s="65">
        <f t="shared" si="0"/>
        <v>39</v>
      </c>
      <c r="B41" s="76" t="s">
        <v>3120</v>
      </c>
      <c r="C41" s="59">
        <v>1</v>
      </c>
      <c r="D41" s="59">
        <v>1</v>
      </c>
      <c r="E41" s="59">
        <v>0</v>
      </c>
      <c r="F41" s="59">
        <v>254</v>
      </c>
      <c r="G41" s="76" t="s">
        <v>3182</v>
      </c>
      <c r="H41" s="64" t="str">
        <f t="shared" si="1"/>
        <v>1228</v>
      </c>
      <c r="I41" s="59">
        <v>1</v>
      </c>
      <c r="J41" s="61"/>
    </row>
    <row r="42" spans="1:10" s="25" customFormat="1" ht="27" customHeight="1">
      <c r="A42" s="65">
        <f t="shared" si="0"/>
        <v>40</v>
      </c>
      <c r="B42" s="324" t="s">
        <v>3121</v>
      </c>
      <c r="C42" s="325">
        <v>0</v>
      </c>
      <c r="D42" s="325">
        <v>0</v>
      </c>
      <c r="E42" s="59">
        <v>0</v>
      </c>
      <c r="F42" s="59">
        <v>254</v>
      </c>
      <c r="G42" s="76" t="s">
        <v>3183</v>
      </c>
      <c r="H42" s="64" t="str">
        <f t="shared" si="1"/>
        <v>1229</v>
      </c>
      <c r="I42" s="59">
        <v>1</v>
      </c>
      <c r="J42" s="61"/>
    </row>
    <row r="43" spans="1:10" s="25" customFormat="1" ht="27" customHeight="1">
      <c r="A43" s="65">
        <f t="shared" si="0"/>
        <v>41</v>
      </c>
      <c r="B43" s="76" t="s">
        <v>3122</v>
      </c>
      <c r="C43" s="59">
        <v>1</v>
      </c>
      <c r="D43" s="59">
        <v>1</v>
      </c>
      <c r="E43" s="59">
        <v>0</v>
      </c>
      <c r="F43" s="59">
        <v>254</v>
      </c>
      <c r="G43" s="76" t="s">
        <v>3184</v>
      </c>
      <c r="H43" s="64" t="str">
        <f t="shared" si="1"/>
        <v>122A</v>
      </c>
      <c r="I43" s="59">
        <v>1</v>
      </c>
      <c r="J43" s="61"/>
    </row>
    <row r="44" spans="1:10" s="25" customFormat="1" ht="27" customHeight="1">
      <c r="A44" s="65">
        <f t="shared" si="0"/>
        <v>42</v>
      </c>
      <c r="B44" s="76" t="s">
        <v>3123</v>
      </c>
      <c r="C44" s="59">
        <v>1</v>
      </c>
      <c r="D44" s="59">
        <v>1</v>
      </c>
      <c r="E44" s="59">
        <v>0</v>
      </c>
      <c r="F44" s="59">
        <v>254</v>
      </c>
      <c r="G44" s="76" t="s">
        <v>3185</v>
      </c>
      <c r="H44" s="64" t="str">
        <f t="shared" si="1"/>
        <v>122B</v>
      </c>
      <c r="I44" s="59">
        <v>1</v>
      </c>
      <c r="J44" s="61"/>
    </row>
    <row r="45" spans="1:10" s="25" customFormat="1" ht="27" customHeight="1">
      <c r="A45" s="65">
        <f t="shared" si="0"/>
        <v>43</v>
      </c>
      <c r="B45" s="76" t="s">
        <v>3124</v>
      </c>
      <c r="C45" s="59">
        <v>1</v>
      </c>
      <c r="D45" s="59">
        <v>1</v>
      </c>
      <c r="E45" s="59">
        <v>0</v>
      </c>
      <c r="F45" s="59">
        <v>254</v>
      </c>
      <c r="G45" s="76" t="s">
        <v>3186</v>
      </c>
      <c r="H45" s="64" t="str">
        <f t="shared" si="1"/>
        <v>122C</v>
      </c>
      <c r="I45" s="59">
        <v>1</v>
      </c>
      <c r="J45" s="61"/>
    </row>
    <row r="46" spans="1:10" s="25" customFormat="1" ht="27" customHeight="1">
      <c r="A46" s="65">
        <f t="shared" si="0"/>
        <v>44</v>
      </c>
      <c r="B46" s="76" t="s">
        <v>2639</v>
      </c>
      <c r="C46" s="59">
        <v>1</v>
      </c>
      <c r="D46" s="59">
        <v>1</v>
      </c>
      <c r="E46" s="59">
        <v>0</v>
      </c>
      <c r="F46" s="59">
        <v>254</v>
      </c>
      <c r="G46" s="76" t="s">
        <v>3187</v>
      </c>
      <c r="H46" s="64" t="str">
        <f t="shared" si="1"/>
        <v>122D</v>
      </c>
      <c r="I46" s="59">
        <v>1</v>
      </c>
      <c r="J46" s="61"/>
    </row>
    <row r="47" spans="1:10" s="25" customFormat="1" ht="27" customHeight="1">
      <c r="A47" s="65">
        <f t="shared" si="0"/>
        <v>45</v>
      </c>
      <c r="B47" s="76" t="s">
        <v>2640</v>
      </c>
      <c r="C47" s="59">
        <v>1</v>
      </c>
      <c r="D47" s="59">
        <v>1</v>
      </c>
      <c r="E47" s="59">
        <v>0</v>
      </c>
      <c r="F47" s="59">
        <v>254</v>
      </c>
      <c r="G47" s="76" t="s">
        <v>3188</v>
      </c>
      <c r="H47" s="64" t="str">
        <f t="shared" si="1"/>
        <v>122E</v>
      </c>
      <c r="I47" s="59">
        <v>1</v>
      </c>
      <c r="J47" s="61"/>
    </row>
    <row r="48" spans="1:10" s="25" customFormat="1" ht="27" customHeight="1">
      <c r="A48" s="65">
        <f t="shared" si="0"/>
        <v>46</v>
      </c>
      <c r="B48" s="76" t="s">
        <v>3125</v>
      </c>
      <c r="C48" s="59">
        <v>1</v>
      </c>
      <c r="D48" s="59">
        <v>1</v>
      </c>
      <c r="E48" s="59">
        <v>0</v>
      </c>
      <c r="F48" s="59">
        <v>254</v>
      </c>
      <c r="G48" s="76" t="s">
        <v>3189</v>
      </c>
      <c r="H48" s="64" t="str">
        <f t="shared" si="1"/>
        <v>122F</v>
      </c>
      <c r="I48" s="59">
        <v>1</v>
      </c>
      <c r="J48" s="61"/>
    </row>
    <row r="49" spans="1:10" s="25" customFormat="1" ht="27" customHeight="1">
      <c r="A49" s="65">
        <f t="shared" si="0"/>
        <v>47</v>
      </c>
      <c r="B49" s="76" t="s">
        <v>2641</v>
      </c>
      <c r="C49" s="59">
        <v>1</v>
      </c>
      <c r="D49" s="59">
        <v>1</v>
      </c>
      <c r="E49" s="59">
        <v>0</v>
      </c>
      <c r="F49" s="59">
        <v>254</v>
      </c>
      <c r="G49" s="76" t="s">
        <v>3190</v>
      </c>
      <c r="H49" s="64" t="str">
        <f t="shared" si="1"/>
        <v>1230</v>
      </c>
      <c r="I49" s="59">
        <v>1</v>
      </c>
      <c r="J49" s="61"/>
    </row>
    <row r="50" spans="1:10" s="25" customFormat="1" ht="27" customHeight="1">
      <c r="A50" s="65">
        <f t="shared" si="0"/>
        <v>48</v>
      </c>
      <c r="B50" s="76" t="s">
        <v>2642</v>
      </c>
      <c r="C50" s="59">
        <v>1</v>
      </c>
      <c r="D50" s="59">
        <v>1</v>
      </c>
      <c r="E50" s="59">
        <v>0</v>
      </c>
      <c r="F50" s="59">
        <v>254</v>
      </c>
      <c r="G50" s="76" t="s">
        <v>3191</v>
      </c>
      <c r="H50" s="64" t="str">
        <f t="shared" si="1"/>
        <v>1231</v>
      </c>
      <c r="I50" s="59">
        <v>1</v>
      </c>
      <c r="J50" s="61"/>
    </row>
    <row r="51" spans="1:10" s="25" customFormat="1" ht="27" customHeight="1">
      <c r="A51" s="65">
        <f t="shared" si="0"/>
        <v>49</v>
      </c>
      <c r="B51" s="76" t="s">
        <v>3126</v>
      </c>
      <c r="C51" s="59">
        <v>1</v>
      </c>
      <c r="D51" s="59">
        <v>1</v>
      </c>
      <c r="E51" s="59">
        <v>0</v>
      </c>
      <c r="F51" s="59">
        <v>254</v>
      </c>
      <c r="G51" s="76" t="s">
        <v>3192</v>
      </c>
      <c r="H51" s="64" t="str">
        <f t="shared" si="1"/>
        <v>1232</v>
      </c>
      <c r="I51" s="59">
        <v>1</v>
      </c>
      <c r="J51" s="61"/>
    </row>
    <row r="52" spans="1:10" s="25" customFormat="1" ht="27" customHeight="1">
      <c r="A52" s="65">
        <f t="shared" si="0"/>
        <v>50</v>
      </c>
      <c r="B52" s="76" t="s">
        <v>2643</v>
      </c>
      <c r="C52" s="59">
        <v>1</v>
      </c>
      <c r="D52" s="59">
        <v>1</v>
      </c>
      <c r="E52" s="59">
        <v>0</v>
      </c>
      <c r="F52" s="59">
        <v>254</v>
      </c>
      <c r="G52" s="76" t="s">
        <v>3193</v>
      </c>
      <c r="H52" s="64" t="str">
        <f t="shared" si="1"/>
        <v>1233</v>
      </c>
      <c r="I52" s="59">
        <v>1</v>
      </c>
      <c r="J52" s="61"/>
    </row>
    <row r="53" spans="1:10" s="25" customFormat="1" ht="27" customHeight="1">
      <c r="A53" s="65">
        <f t="shared" si="0"/>
        <v>51</v>
      </c>
      <c r="B53" s="76" t="s">
        <v>2644</v>
      </c>
      <c r="C53" s="59">
        <v>1</v>
      </c>
      <c r="D53" s="59">
        <v>1</v>
      </c>
      <c r="E53" s="59">
        <v>0</v>
      </c>
      <c r="F53" s="59">
        <v>254</v>
      </c>
      <c r="G53" s="76" t="s">
        <v>3194</v>
      </c>
      <c r="H53" s="64" t="str">
        <f t="shared" si="1"/>
        <v>1234</v>
      </c>
      <c r="I53" s="59">
        <v>1</v>
      </c>
      <c r="J53" s="61"/>
    </row>
    <row r="54" spans="1:10" s="25" customFormat="1" ht="27" customHeight="1">
      <c r="A54" s="65">
        <f t="shared" si="0"/>
        <v>52</v>
      </c>
      <c r="B54" s="76" t="s">
        <v>3127</v>
      </c>
      <c r="C54" s="59">
        <v>1</v>
      </c>
      <c r="D54" s="59">
        <v>1</v>
      </c>
      <c r="E54" s="59">
        <v>0</v>
      </c>
      <c r="F54" s="59">
        <v>254</v>
      </c>
      <c r="G54" s="76" t="s">
        <v>3195</v>
      </c>
      <c r="H54" s="64" t="str">
        <f t="shared" si="1"/>
        <v>1235</v>
      </c>
      <c r="I54" s="59">
        <v>1</v>
      </c>
      <c r="J54" s="61"/>
    </row>
    <row r="55" spans="1:10" s="25" customFormat="1" ht="27" customHeight="1">
      <c r="A55" s="65">
        <f t="shared" si="0"/>
        <v>53</v>
      </c>
      <c r="B55" s="76" t="s">
        <v>2645</v>
      </c>
      <c r="C55" s="59">
        <v>1</v>
      </c>
      <c r="D55" s="59">
        <v>1</v>
      </c>
      <c r="E55" s="59">
        <v>0</v>
      </c>
      <c r="F55" s="59">
        <v>254</v>
      </c>
      <c r="G55" s="76" t="s">
        <v>3196</v>
      </c>
      <c r="H55" s="64" t="str">
        <f t="shared" si="1"/>
        <v>1236</v>
      </c>
      <c r="I55" s="59">
        <v>1</v>
      </c>
      <c r="J55" s="61"/>
    </row>
    <row r="56" spans="1:10" s="25" customFormat="1" ht="27" customHeight="1">
      <c r="A56" s="65">
        <f t="shared" si="0"/>
        <v>54</v>
      </c>
      <c r="B56" s="76" t="s">
        <v>3048</v>
      </c>
      <c r="C56" s="59">
        <v>1</v>
      </c>
      <c r="D56" s="59">
        <v>1</v>
      </c>
      <c r="E56" s="59">
        <v>0</v>
      </c>
      <c r="F56" s="59">
        <v>254</v>
      </c>
      <c r="G56" s="76" t="s">
        <v>3197</v>
      </c>
      <c r="H56" s="64" t="str">
        <f t="shared" si="1"/>
        <v>1237</v>
      </c>
      <c r="I56" s="59">
        <v>1</v>
      </c>
      <c r="J56" s="61"/>
    </row>
    <row r="57" spans="1:10" s="25" customFormat="1" ht="27" customHeight="1">
      <c r="A57" s="65">
        <f t="shared" si="0"/>
        <v>55</v>
      </c>
      <c r="B57" s="76" t="s">
        <v>3049</v>
      </c>
      <c r="C57" s="59">
        <v>1</v>
      </c>
      <c r="D57" s="59">
        <v>1</v>
      </c>
      <c r="E57" s="59">
        <v>0</v>
      </c>
      <c r="F57" s="59">
        <v>254</v>
      </c>
      <c r="G57" s="76" t="s">
        <v>3198</v>
      </c>
      <c r="H57" s="64" t="str">
        <f t="shared" si="1"/>
        <v>1238</v>
      </c>
      <c r="I57" s="59">
        <v>1</v>
      </c>
      <c r="J57" s="61"/>
    </row>
    <row r="58" spans="1:10" s="25" customFormat="1" ht="27" customHeight="1">
      <c r="A58" s="65">
        <f t="shared" si="0"/>
        <v>56</v>
      </c>
      <c r="B58" s="76" t="s">
        <v>3128</v>
      </c>
      <c r="C58" s="59">
        <v>1</v>
      </c>
      <c r="D58" s="59">
        <v>1</v>
      </c>
      <c r="E58" s="59">
        <v>0</v>
      </c>
      <c r="F58" s="59">
        <v>254</v>
      </c>
      <c r="G58" s="76" t="s">
        <v>3199</v>
      </c>
      <c r="H58" s="64" t="str">
        <f t="shared" si="1"/>
        <v>1239</v>
      </c>
      <c r="I58" s="59">
        <v>1</v>
      </c>
      <c r="J58" s="61"/>
    </row>
    <row r="59" spans="1:10" s="25" customFormat="1" ht="27" customHeight="1">
      <c r="A59" s="65">
        <f t="shared" si="0"/>
        <v>57</v>
      </c>
      <c r="B59" s="76" t="s">
        <v>3050</v>
      </c>
      <c r="C59" s="59">
        <v>1</v>
      </c>
      <c r="D59" s="59">
        <v>1</v>
      </c>
      <c r="E59" s="59">
        <v>0</v>
      </c>
      <c r="F59" s="59">
        <v>254</v>
      </c>
      <c r="G59" s="76" t="s">
        <v>3200</v>
      </c>
      <c r="H59" s="64" t="str">
        <f t="shared" si="1"/>
        <v>123A</v>
      </c>
      <c r="I59" s="59">
        <v>1</v>
      </c>
      <c r="J59" s="61"/>
    </row>
    <row r="60" spans="1:10" s="25" customFormat="1" ht="27" customHeight="1">
      <c r="A60" s="65">
        <f t="shared" si="0"/>
        <v>58</v>
      </c>
      <c r="B60" s="76" t="s">
        <v>3051</v>
      </c>
      <c r="C60" s="59">
        <v>1</v>
      </c>
      <c r="D60" s="59">
        <v>1</v>
      </c>
      <c r="E60" s="59">
        <v>0</v>
      </c>
      <c r="F60" s="59">
        <v>254</v>
      </c>
      <c r="G60" s="76" t="s">
        <v>3201</v>
      </c>
      <c r="H60" s="64" t="str">
        <f t="shared" si="1"/>
        <v>123B</v>
      </c>
      <c r="I60" s="59">
        <v>1</v>
      </c>
      <c r="J60" s="61"/>
    </row>
    <row r="61" spans="1:10" s="25" customFormat="1" ht="27" customHeight="1">
      <c r="A61" s="65">
        <f t="shared" si="0"/>
        <v>59</v>
      </c>
      <c r="B61" s="76" t="s">
        <v>3129</v>
      </c>
      <c r="C61" s="59">
        <v>1</v>
      </c>
      <c r="D61" s="59">
        <v>1</v>
      </c>
      <c r="E61" s="59">
        <v>0</v>
      </c>
      <c r="F61" s="59">
        <v>254</v>
      </c>
      <c r="G61" s="76" t="s">
        <v>3202</v>
      </c>
      <c r="H61" s="64" t="str">
        <f t="shared" si="1"/>
        <v>123C</v>
      </c>
      <c r="I61" s="59">
        <v>1</v>
      </c>
      <c r="J61" s="61"/>
    </row>
    <row r="62" spans="1:10" s="25" customFormat="1" ht="27" customHeight="1">
      <c r="A62" s="65">
        <f t="shared" si="0"/>
        <v>60</v>
      </c>
      <c r="B62" s="76" t="s">
        <v>3130</v>
      </c>
      <c r="C62" s="59">
        <v>0</v>
      </c>
      <c r="D62" s="59">
        <v>0</v>
      </c>
      <c r="E62" s="59">
        <v>0</v>
      </c>
      <c r="F62" s="59">
        <v>254</v>
      </c>
      <c r="G62" s="76" t="s">
        <v>3203</v>
      </c>
      <c r="H62" s="64" t="str">
        <f t="shared" si="1"/>
        <v>123D</v>
      </c>
      <c r="I62" s="59">
        <v>1</v>
      </c>
      <c r="J62" s="61"/>
    </row>
    <row r="63" spans="1:10" s="25" customFormat="1" ht="27" customHeight="1">
      <c r="A63" s="65">
        <f t="shared" si="0"/>
        <v>61</v>
      </c>
      <c r="B63" s="76" t="s">
        <v>2646</v>
      </c>
      <c r="C63" s="59">
        <v>1</v>
      </c>
      <c r="D63" s="59">
        <v>1</v>
      </c>
      <c r="E63" s="59">
        <v>0</v>
      </c>
      <c r="F63" s="59">
        <v>254</v>
      </c>
      <c r="G63" s="76" t="s">
        <v>3204</v>
      </c>
      <c r="H63" s="64" t="str">
        <f t="shared" si="1"/>
        <v>123E</v>
      </c>
      <c r="I63" s="59">
        <v>1</v>
      </c>
      <c r="J63" s="61"/>
    </row>
    <row r="64" spans="1:10" s="25" customFormat="1" ht="27" customHeight="1">
      <c r="A64" s="65">
        <f t="shared" si="0"/>
        <v>62</v>
      </c>
      <c r="B64" s="76" t="s">
        <v>2647</v>
      </c>
      <c r="C64" s="59">
        <v>1</v>
      </c>
      <c r="D64" s="59">
        <v>1</v>
      </c>
      <c r="E64" s="59">
        <v>0</v>
      </c>
      <c r="F64" s="59">
        <v>254</v>
      </c>
      <c r="G64" s="76" t="s">
        <v>3205</v>
      </c>
      <c r="H64" s="64" t="str">
        <f t="shared" si="1"/>
        <v>123F</v>
      </c>
      <c r="I64" s="59">
        <v>1</v>
      </c>
      <c r="J64" s="61"/>
    </row>
    <row r="65" spans="1:10" s="25" customFormat="1" ht="27" customHeight="1">
      <c r="A65" s="65">
        <f t="shared" si="0"/>
        <v>63</v>
      </c>
      <c r="B65" s="76" t="s">
        <v>2648</v>
      </c>
      <c r="C65" s="59">
        <v>1</v>
      </c>
      <c r="D65" s="59">
        <v>1</v>
      </c>
      <c r="E65" s="59">
        <v>0</v>
      </c>
      <c r="F65" s="59">
        <v>254</v>
      </c>
      <c r="G65" s="76" t="s">
        <v>3206</v>
      </c>
      <c r="H65" s="64" t="str">
        <f t="shared" si="1"/>
        <v>1240</v>
      </c>
      <c r="I65" s="59">
        <v>1</v>
      </c>
      <c r="J65" s="61"/>
    </row>
    <row r="66" spans="1:10" s="25" customFormat="1" ht="27" customHeight="1">
      <c r="A66" s="65">
        <f t="shared" si="0"/>
        <v>64</v>
      </c>
      <c r="B66" s="76" t="s">
        <v>2649</v>
      </c>
      <c r="C66" s="59">
        <v>1</v>
      </c>
      <c r="D66" s="59">
        <v>1</v>
      </c>
      <c r="E66" s="59">
        <v>0</v>
      </c>
      <c r="F66" s="59">
        <v>254</v>
      </c>
      <c r="G66" s="76" t="s">
        <v>3207</v>
      </c>
      <c r="H66" s="64" t="str">
        <f t="shared" si="1"/>
        <v>1241</v>
      </c>
      <c r="I66" s="59">
        <v>1</v>
      </c>
      <c r="J66" s="61"/>
    </row>
    <row r="67" spans="1:10" s="25" customFormat="1" ht="27" customHeight="1">
      <c r="A67" s="65">
        <f t="shared" ref="A67:A130" si="2">A66+1</f>
        <v>65</v>
      </c>
      <c r="B67" s="76" t="s">
        <v>2650</v>
      </c>
      <c r="C67" s="59">
        <v>1</v>
      </c>
      <c r="D67" s="59">
        <v>1</v>
      </c>
      <c r="E67" s="59">
        <v>0</v>
      </c>
      <c r="F67" s="59">
        <v>254</v>
      </c>
      <c r="G67" s="76" t="s">
        <v>3208</v>
      </c>
      <c r="H67" s="64" t="str">
        <f t="shared" ref="H67:H130" si="3">DEC2HEX((HEX2DEC(H66)+1),4)</f>
        <v>1242</v>
      </c>
      <c r="I67" s="59">
        <v>1</v>
      </c>
      <c r="J67" s="61"/>
    </row>
    <row r="68" spans="1:10" s="25" customFormat="1" ht="27" customHeight="1">
      <c r="A68" s="65">
        <f t="shared" si="2"/>
        <v>66</v>
      </c>
      <c r="B68" s="76" t="s">
        <v>2651</v>
      </c>
      <c r="C68" s="59">
        <v>1</v>
      </c>
      <c r="D68" s="59">
        <v>1</v>
      </c>
      <c r="E68" s="59">
        <v>0</v>
      </c>
      <c r="F68" s="59">
        <v>254</v>
      </c>
      <c r="G68" s="76" t="s">
        <v>3209</v>
      </c>
      <c r="H68" s="64" t="str">
        <f t="shared" si="3"/>
        <v>1243</v>
      </c>
      <c r="I68" s="59">
        <v>1</v>
      </c>
      <c r="J68" s="61"/>
    </row>
    <row r="69" spans="1:10" s="25" customFormat="1" ht="27" customHeight="1">
      <c r="A69" s="65">
        <f t="shared" si="2"/>
        <v>67</v>
      </c>
      <c r="B69" s="76" t="s">
        <v>2652</v>
      </c>
      <c r="C69" s="59">
        <v>1</v>
      </c>
      <c r="D69" s="59">
        <v>1</v>
      </c>
      <c r="E69" s="59">
        <v>0</v>
      </c>
      <c r="F69" s="59">
        <v>254</v>
      </c>
      <c r="G69" s="76" t="s">
        <v>3210</v>
      </c>
      <c r="H69" s="64" t="str">
        <f t="shared" si="3"/>
        <v>1244</v>
      </c>
      <c r="I69" s="59">
        <v>1</v>
      </c>
      <c r="J69" s="61"/>
    </row>
    <row r="70" spans="1:10" s="25" customFormat="1" ht="27" customHeight="1">
      <c r="A70" s="65">
        <f t="shared" si="2"/>
        <v>68</v>
      </c>
      <c r="B70" s="76" t="s">
        <v>2653</v>
      </c>
      <c r="C70" s="59">
        <v>1</v>
      </c>
      <c r="D70" s="59">
        <v>1</v>
      </c>
      <c r="E70" s="59">
        <v>0</v>
      </c>
      <c r="F70" s="59">
        <v>254</v>
      </c>
      <c r="G70" s="76" t="s">
        <v>3211</v>
      </c>
      <c r="H70" s="64" t="str">
        <f t="shared" si="3"/>
        <v>1245</v>
      </c>
      <c r="I70" s="59">
        <v>1</v>
      </c>
      <c r="J70" s="61"/>
    </row>
    <row r="71" spans="1:10" s="25" customFormat="1" ht="27" customHeight="1">
      <c r="A71" s="65">
        <f t="shared" si="2"/>
        <v>69</v>
      </c>
      <c r="B71" s="76" t="s">
        <v>2654</v>
      </c>
      <c r="C71" s="59">
        <v>1</v>
      </c>
      <c r="D71" s="59">
        <v>1</v>
      </c>
      <c r="E71" s="59">
        <v>0</v>
      </c>
      <c r="F71" s="59">
        <v>254</v>
      </c>
      <c r="G71" s="76" t="s">
        <v>3212</v>
      </c>
      <c r="H71" s="64" t="str">
        <f t="shared" si="3"/>
        <v>1246</v>
      </c>
      <c r="I71" s="59">
        <v>1</v>
      </c>
      <c r="J71" s="61"/>
    </row>
    <row r="72" spans="1:10" s="25" customFormat="1" ht="27" customHeight="1">
      <c r="A72" s="65">
        <f t="shared" si="2"/>
        <v>70</v>
      </c>
      <c r="B72" s="76" t="s">
        <v>2655</v>
      </c>
      <c r="C72" s="59">
        <v>1</v>
      </c>
      <c r="D72" s="59">
        <v>1</v>
      </c>
      <c r="E72" s="59">
        <v>0</v>
      </c>
      <c r="F72" s="59">
        <v>254</v>
      </c>
      <c r="G72" s="76" t="s">
        <v>3213</v>
      </c>
      <c r="H72" s="64" t="str">
        <f t="shared" si="3"/>
        <v>1247</v>
      </c>
      <c r="I72" s="59">
        <v>1</v>
      </c>
      <c r="J72" s="61"/>
    </row>
    <row r="73" spans="1:10" s="25" customFormat="1" ht="27" customHeight="1">
      <c r="A73" s="65">
        <f t="shared" si="2"/>
        <v>71</v>
      </c>
      <c r="B73" s="76" t="s">
        <v>2656</v>
      </c>
      <c r="C73" s="59">
        <v>1</v>
      </c>
      <c r="D73" s="59">
        <v>1</v>
      </c>
      <c r="E73" s="59">
        <v>0</v>
      </c>
      <c r="F73" s="59">
        <v>254</v>
      </c>
      <c r="G73" s="76" t="s">
        <v>3214</v>
      </c>
      <c r="H73" s="64" t="str">
        <f t="shared" si="3"/>
        <v>1248</v>
      </c>
      <c r="I73" s="59">
        <v>1</v>
      </c>
      <c r="J73" s="61"/>
    </row>
    <row r="74" spans="1:10" s="25" customFormat="1" ht="27" customHeight="1">
      <c r="A74" s="65">
        <f t="shared" si="2"/>
        <v>72</v>
      </c>
      <c r="B74" s="76" t="s">
        <v>2657</v>
      </c>
      <c r="C74" s="59">
        <v>1</v>
      </c>
      <c r="D74" s="59">
        <v>1</v>
      </c>
      <c r="E74" s="59">
        <v>0</v>
      </c>
      <c r="F74" s="59">
        <v>254</v>
      </c>
      <c r="G74" s="76" t="s">
        <v>3215</v>
      </c>
      <c r="H74" s="64" t="str">
        <f t="shared" si="3"/>
        <v>1249</v>
      </c>
      <c r="I74" s="59">
        <v>1</v>
      </c>
      <c r="J74" s="61"/>
    </row>
    <row r="75" spans="1:10" s="25" customFormat="1" ht="27" customHeight="1">
      <c r="A75" s="65">
        <f t="shared" si="2"/>
        <v>73</v>
      </c>
      <c r="B75" s="76" t="s">
        <v>2658</v>
      </c>
      <c r="C75" s="59">
        <v>1</v>
      </c>
      <c r="D75" s="59">
        <v>1</v>
      </c>
      <c r="E75" s="59">
        <v>0</v>
      </c>
      <c r="F75" s="59">
        <v>254</v>
      </c>
      <c r="G75" s="76" t="s">
        <v>3216</v>
      </c>
      <c r="H75" s="64" t="str">
        <f t="shared" si="3"/>
        <v>124A</v>
      </c>
      <c r="I75" s="59">
        <v>1</v>
      </c>
      <c r="J75" s="61"/>
    </row>
    <row r="76" spans="1:10" s="25" customFormat="1" ht="27" customHeight="1">
      <c r="A76" s="65">
        <f t="shared" si="2"/>
        <v>74</v>
      </c>
      <c r="B76" s="76" t="s">
        <v>2659</v>
      </c>
      <c r="C76" s="59">
        <v>1</v>
      </c>
      <c r="D76" s="59">
        <v>1</v>
      </c>
      <c r="E76" s="59">
        <v>0</v>
      </c>
      <c r="F76" s="59">
        <v>254</v>
      </c>
      <c r="G76" s="76" t="s">
        <v>3217</v>
      </c>
      <c r="H76" s="64" t="str">
        <f t="shared" si="3"/>
        <v>124B</v>
      </c>
      <c r="I76" s="59">
        <v>1</v>
      </c>
      <c r="J76" s="61"/>
    </row>
    <row r="77" spans="1:10" s="25" customFormat="1" ht="27" customHeight="1">
      <c r="A77" s="65">
        <f t="shared" si="2"/>
        <v>75</v>
      </c>
      <c r="B77" s="76" t="s">
        <v>2660</v>
      </c>
      <c r="C77" s="59">
        <v>1</v>
      </c>
      <c r="D77" s="59">
        <v>1</v>
      </c>
      <c r="E77" s="59">
        <v>0</v>
      </c>
      <c r="F77" s="59">
        <v>254</v>
      </c>
      <c r="G77" s="76" t="s">
        <v>3218</v>
      </c>
      <c r="H77" s="64" t="str">
        <f t="shared" si="3"/>
        <v>124C</v>
      </c>
      <c r="I77" s="59">
        <v>1</v>
      </c>
      <c r="J77" s="61"/>
    </row>
    <row r="78" spans="1:10" s="25" customFormat="1" ht="27" customHeight="1">
      <c r="A78" s="65">
        <f t="shared" si="2"/>
        <v>76</v>
      </c>
      <c r="B78" s="76" t="s">
        <v>2661</v>
      </c>
      <c r="C78" s="59">
        <v>1</v>
      </c>
      <c r="D78" s="59">
        <v>1</v>
      </c>
      <c r="E78" s="59">
        <v>0</v>
      </c>
      <c r="F78" s="59">
        <v>254</v>
      </c>
      <c r="G78" s="76" t="s">
        <v>3219</v>
      </c>
      <c r="H78" s="64" t="str">
        <f t="shared" si="3"/>
        <v>124D</v>
      </c>
      <c r="I78" s="59">
        <v>1</v>
      </c>
      <c r="J78" s="61"/>
    </row>
    <row r="79" spans="1:10" s="25" customFormat="1" ht="27" customHeight="1">
      <c r="A79" s="65">
        <f t="shared" si="2"/>
        <v>77</v>
      </c>
      <c r="B79" s="76" t="s">
        <v>2662</v>
      </c>
      <c r="C79" s="59">
        <v>1</v>
      </c>
      <c r="D79" s="59">
        <v>1</v>
      </c>
      <c r="E79" s="59">
        <v>0</v>
      </c>
      <c r="F79" s="59">
        <v>254</v>
      </c>
      <c r="G79" s="76" t="s">
        <v>3220</v>
      </c>
      <c r="H79" s="64" t="str">
        <f t="shared" si="3"/>
        <v>124E</v>
      </c>
      <c r="I79" s="59">
        <v>1</v>
      </c>
      <c r="J79" s="61"/>
    </row>
    <row r="80" spans="1:10" s="25" customFormat="1" ht="27" customHeight="1">
      <c r="A80" s="65">
        <f t="shared" si="2"/>
        <v>78</v>
      </c>
      <c r="B80" s="76" t="s">
        <v>2663</v>
      </c>
      <c r="C80" s="59">
        <v>1</v>
      </c>
      <c r="D80" s="59">
        <v>1</v>
      </c>
      <c r="E80" s="59">
        <v>0</v>
      </c>
      <c r="F80" s="59">
        <v>254</v>
      </c>
      <c r="G80" s="76" t="s">
        <v>3221</v>
      </c>
      <c r="H80" s="64" t="str">
        <f t="shared" si="3"/>
        <v>124F</v>
      </c>
      <c r="I80" s="59">
        <v>1</v>
      </c>
      <c r="J80" s="61"/>
    </row>
    <row r="81" spans="1:10" s="25" customFormat="1" ht="27" customHeight="1">
      <c r="A81" s="65">
        <f t="shared" si="2"/>
        <v>79</v>
      </c>
      <c r="B81" s="76" t="s">
        <v>2664</v>
      </c>
      <c r="C81" s="59">
        <v>1</v>
      </c>
      <c r="D81" s="59">
        <v>1</v>
      </c>
      <c r="E81" s="59">
        <v>0</v>
      </c>
      <c r="F81" s="59">
        <v>254</v>
      </c>
      <c r="G81" s="76" t="s">
        <v>3222</v>
      </c>
      <c r="H81" s="64" t="str">
        <f t="shared" si="3"/>
        <v>1250</v>
      </c>
      <c r="I81" s="59">
        <v>1</v>
      </c>
      <c r="J81" s="61"/>
    </row>
    <row r="82" spans="1:10" s="25" customFormat="1" ht="27" customHeight="1">
      <c r="A82" s="65">
        <f t="shared" si="2"/>
        <v>80</v>
      </c>
      <c r="B82" s="76" t="s">
        <v>2665</v>
      </c>
      <c r="C82" s="59">
        <v>1</v>
      </c>
      <c r="D82" s="59">
        <v>1</v>
      </c>
      <c r="E82" s="59">
        <v>0</v>
      </c>
      <c r="F82" s="59">
        <v>254</v>
      </c>
      <c r="G82" s="76" t="s">
        <v>3223</v>
      </c>
      <c r="H82" s="64" t="str">
        <f t="shared" si="3"/>
        <v>1251</v>
      </c>
      <c r="I82" s="59">
        <v>1</v>
      </c>
      <c r="J82" s="61"/>
    </row>
    <row r="83" spans="1:10" s="25" customFormat="1" ht="27" customHeight="1">
      <c r="A83" s="65">
        <f t="shared" si="2"/>
        <v>81</v>
      </c>
      <c r="B83" s="76" t="s">
        <v>2666</v>
      </c>
      <c r="C83" s="59">
        <v>1</v>
      </c>
      <c r="D83" s="59">
        <v>1</v>
      </c>
      <c r="E83" s="59">
        <v>0</v>
      </c>
      <c r="F83" s="59">
        <v>254</v>
      </c>
      <c r="G83" s="76" t="s">
        <v>3224</v>
      </c>
      <c r="H83" s="64" t="str">
        <f t="shared" si="3"/>
        <v>1252</v>
      </c>
      <c r="I83" s="59">
        <v>1</v>
      </c>
      <c r="J83" s="61"/>
    </row>
    <row r="84" spans="1:10" s="25" customFormat="1" ht="27" customHeight="1">
      <c r="A84" s="65">
        <f t="shared" si="2"/>
        <v>82</v>
      </c>
      <c r="B84" s="76" t="s">
        <v>2667</v>
      </c>
      <c r="C84" s="59">
        <v>1</v>
      </c>
      <c r="D84" s="59">
        <v>1</v>
      </c>
      <c r="E84" s="59">
        <v>0</v>
      </c>
      <c r="F84" s="59">
        <v>254</v>
      </c>
      <c r="G84" s="76" t="s">
        <v>3225</v>
      </c>
      <c r="H84" s="64" t="str">
        <f t="shared" si="3"/>
        <v>1253</v>
      </c>
      <c r="I84" s="59">
        <v>1</v>
      </c>
      <c r="J84" s="61"/>
    </row>
    <row r="85" spans="1:10" s="25" customFormat="1" ht="27" customHeight="1">
      <c r="A85" s="65">
        <f t="shared" si="2"/>
        <v>83</v>
      </c>
      <c r="B85" s="76" t="s">
        <v>2668</v>
      </c>
      <c r="C85" s="59">
        <v>1</v>
      </c>
      <c r="D85" s="59">
        <v>1</v>
      </c>
      <c r="E85" s="59">
        <v>0</v>
      </c>
      <c r="F85" s="59">
        <v>254</v>
      </c>
      <c r="G85" s="76" t="s">
        <v>3226</v>
      </c>
      <c r="H85" s="64" t="str">
        <f t="shared" si="3"/>
        <v>1254</v>
      </c>
      <c r="I85" s="59">
        <v>1</v>
      </c>
      <c r="J85" s="61"/>
    </row>
    <row r="86" spans="1:10" s="25" customFormat="1" ht="27" customHeight="1">
      <c r="A86" s="65">
        <f t="shared" si="2"/>
        <v>84</v>
      </c>
      <c r="B86" s="76" t="s">
        <v>2669</v>
      </c>
      <c r="C86" s="59">
        <v>1</v>
      </c>
      <c r="D86" s="59">
        <v>1</v>
      </c>
      <c r="E86" s="59">
        <v>0</v>
      </c>
      <c r="F86" s="59">
        <v>254</v>
      </c>
      <c r="G86" s="76" t="s">
        <v>3227</v>
      </c>
      <c r="H86" s="64" t="str">
        <f t="shared" si="3"/>
        <v>1255</v>
      </c>
      <c r="I86" s="59">
        <v>1</v>
      </c>
      <c r="J86" s="61"/>
    </row>
    <row r="87" spans="1:10" s="25" customFormat="1" ht="27" customHeight="1">
      <c r="A87" s="65">
        <f t="shared" si="2"/>
        <v>85</v>
      </c>
      <c r="B87" s="76" t="s">
        <v>3054</v>
      </c>
      <c r="C87" s="59">
        <v>1</v>
      </c>
      <c r="D87" s="59">
        <v>1</v>
      </c>
      <c r="E87" s="59">
        <v>0</v>
      </c>
      <c r="F87" s="59">
        <v>254</v>
      </c>
      <c r="G87" s="76" t="s">
        <v>3228</v>
      </c>
      <c r="H87" s="64" t="str">
        <f t="shared" si="3"/>
        <v>1256</v>
      </c>
      <c r="I87" s="59">
        <v>1</v>
      </c>
      <c r="J87" s="61"/>
    </row>
    <row r="88" spans="1:10" s="25" customFormat="1" ht="27" customHeight="1">
      <c r="A88" s="65">
        <f t="shared" si="2"/>
        <v>86</v>
      </c>
      <c r="B88" s="76" t="s">
        <v>3055</v>
      </c>
      <c r="C88" s="59">
        <v>1</v>
      </c>
      <c r="D88" s="59">
        <v>1</v>
      </c>
      <c r="E88" s="59">
        <v>0</v>
      </c>
      <c r="F88" s="59">
        <v>254</v>
      </c>
      <c r="G88" s="76" t="s">
        <v>3229</v>
      </c>
      <c r="H88" s="64" t="str">
        <f t="shared" si="3"/>
        <v>1257</v>
      </c>
      <c r="I88" s="59">
        <v>1</v>
      </c>
      <c r="J88" s="61"/>
    </row>
    <row r="89" spans="1:10" s="25" customFormat="1" ht="27" customHeight="1">
      <c r="A89" s="65">
        <f t="shared" si="2"/>
        <v>87</v>
      </c>
      <c r="B89" s="76" t="s">
        <v>3131</v>
      </c>
      <c r="C89" s="59">
        <v>1</v>
      </c>
      <c r="D89" s="59">
        <v>1</v>
      </c>
      <c r="E89" s="59">
        <v>0</v>
      </c>
      <c r="F89" s="59">
        <v>254</v>
      </c>
      <c r="G89" s="76" t="s">
        <v>3230</v>
      </c>
      <c r="H89" s="64" t="str">
        <f t="shared" si="3"/>
        <v>1258</v>
      </c>
      <c r="I89" s="59">
        <v>1</v>
      </c>
      <c r="J89" s="61"/>
    </row>
    <row r="90" spans="1:10" s="25" customFormat="1" ht="27" customHeight="1">
      <c r="A90" s="65">
        <f t="shared" si="2"/>
        <v>88</v>
      </c>
      <c r="B90" s="76" t="s">
        <v>3052</v>
      </c>
      <c r="C90" s="59">
        <v>1</v>
      </c>
      <c r="D90" s="59">
        <v>1</v>
      </c>
      <c r="E90" s="59">
        <v>0</v>
      </c>
      <c r="F90" s="59">
        <v>254</v>
      </c>
      <c r="G90" s="76" t="s">
        <v>3231</v>
      </c>
      <c r="H90" s="64" t="str">
        <f t="shared" si="3"/>
        <v>1259</v>
      </c>
      <c r="I90" s="59">
        <v>1</v>
      </c>
      <c r="J90" s="61"/>
    </row>
    <row r="91" spans="1:10" s="25" customFormat="1" ht="27" customHeight="1">
      <c r="A91" s="65">
        <f t="shared" si="2"/>
        <v>89</v>
      </c>
      <c r="B91" s="76" t="s">
        <v>3053</v>
      </c>
      <c r="C91" s="59">
        <v>1</v>
      </c>
      <c r="D91" s="59">
        <v>1</v>
      </c>
      <c r="E91" s="59">
        <v>0</v>
      </c>
      <c r="F91" s="59">
        <v>254</v>
      </c>
      <c r="G91" s="76" t="s">
        <v>3232</v>
      </c>
      <c r="H91" s="64" t="str">
        <f t="shared" si="3"/>
        <v>125A</v>
      </c>
      <c r="I91" s="59">
        <v>1</v>
      </c>
      <c r="J91" s="61"/>
    </row>
    <row r="92" spans="1:10" s="25" customFormat="1" ht="27" customHeight="1">
      <c r="A92" s="65">
        <f t="shared" si="2"/>
        <v>90</v>
      </c>
      <c r="B92" s="76" t="s">
        <v>3132</v>
      </c>
      <c r="C92" s="59">
        <v>1</v>
      </c>
      <c r="D92" s="59">
        <v>1</v>
      </c>
      <c r="E92" s="59">
        <v>0</v>
      </c>
      <c r="F92" s="59">
        <v>254</v>
      </c>
      <c r="G92" s="76" t="s">
        <v>3233</v>
      </c>
      <c r="H92" s="64" t="str">
        <f t="shared" si="3"/>
        <v>125B</v>
      </c>
      <c r="I92" s="59">
        <v>1</v>
      </c>
      <c r="J92" s="61"/>
    </row>
    <row r="93" spans="1:10" s="25" customFormat="1" ht="27" customHeight="1">
      <c r="A93" s="65">
        <f t="shared" si="2"/>
        <v>91</v>
      </c>
      <c r="B93" s="76" t="s">
        <v>2670</v>
      </c>
      <c r="C93" s="59">
        <v>1</v>
      </c>
      <c r="D93" s="59">
        <v>1</v>
      </c>
      <c r="E93" s="59">
        <v>0</v>
      </c>
      <c r="F93" s="59">
        <v>254</v>
      </c>
      <c r="G93" s="76" t="s">
        <v>3234</v>
      </c>
      <c r="H93" s="64" t="str">
        <f t="shared" si="3"/>
        <v>125C</v>
      </c>
      <c r="I93" s="59">
        <v>1</v>
      </c>
      <c r="J93" s="61"/>
    </row>
    <row r="94" spans="1:10" s="25" customFormat="1" ht="27" customHeight="1">
      <c r="A94" s="65">
        <f t="shared" si="2"/>
        <v>92</v>
      </c>
      <c r="B94" s="76" t="s">
        <v>2671</v>
      </c>
      <c r="C94" s="59">
        <v>1</v>
      </c>
      <c r="D94" s="59">
        <v>1</v>
      </c>
      <c r="E94" s="59">
        <v>0</v>
      </c>
      <c r="F94" s="59">
        <v>254</v>
      </c>
      <c r="G94" s="76" t="s">
        <v>3235</v>
      </c>
      <c r="H94" s="64" t="str">
        <f t="shared" si="3"/>
        <v>125D</v>
      </c>
      <c r="I94" s="59">
        <v>1</v>
      </c>
      <c r="J94" s="61"/>
    </row>
    <row r="95" spans="1:10" s="25" customFormat="1" ht="27" customHeight="1">
      <c r="A95" s="65">
        <f t="shared" si="2"/>
        <v>93</v>
      </c>
      <c r="B95" s="76" t="s">
        <v>2672</v>
      </c>
      <c r="C95" s="59">
        <v>1</v>
      </c>
      <c r="D95" s="59">
        <v>1</v>
      </c>
      <c r="E95" s="59">
        <v>0</v>
      </c>
      <c r="F95" s="59">
        <v>254</v>
      </c>
      <c r="G95" s="76" t="s">
        <v>3236</v>
      </c>
      <c r="H95" s="64" t="str">
        <f t="shared" si="3"/>
        <v>125E</v>
      </c>
      <c r="I95" s="59">
        <v>1</v>
      </c>
      <c r="J95" s="61"/>
    </row>
    <row r="96" spans="1:10" s="25" customFormat="1" ht="27" customHeight="1">
      <c r="A96" s="65">
        <f t="shared" si="2"/>
        <v>94</v>
      </c>
      <c r="B96" s="76" t="s">
        <v>2673</v>
      </c>
      <c r="C96" s="59">
        <v>1</v>
      </c>
      <c r="D96" s="59">
        <v>1</v>
      </c>
      <c r="E96" s="59">
        <v>0</v>
      </c>
      <c r="F96" s="59">
        <v>254</v>
      </c>
      <c r="G96" s="76" t="s">
        <v>3237</v>
      </c>
      <c r="H96" s="64" t="str">
        <f t="shared" si="3"/>
        <v>125F</v>
      </c>
      <c r="I96" s="59">
        <v>1</v>
      </c>
      <c r="J96" s="61"/>
    </row>
    <row r="97" spans="1:10" s="25" customFormat="1" ht="27" customHeight="1">
      <c r="A97" s="65">
        <f t="shared" si="2"/>
        <v>95</v>
      </c>
      <c r="B97" s="76" t="s">
        <v>3133</v>
      </c>
      <c r="C97" s="59">
        <v>1</v>
      </c>
      <c r="D97" s="59">
        <v>1</v>
      </c>
      <c r="E97" s="59">
        <v>0</v>
      </c>
      <c r="F97" s="59">
        <v>254</v>
      </c>
      <c r="G97" s="76" t="s">
        <v>3238</v>
      </c>
      <c r="H97" s="64" t="str">
        <f t="shared" si="3"/>
        <v>1260</v>
      </c>
      <c r="I97" s="59">
        <v>1</v>
      </c>
      <c r="J97" s="61"/>
    </row>
    <row r="98" spans="1:10" s="25" customFormat="1" ht="27" customHeight="1">
      <c r="A98" s="65">
        <f t="shared" si="2"/>
        <v>96</v>
      </c>
      <c r="B98" s="76" t="s">
        <v>2674</v>
      </c>
      <c r="C98" s="59">
        <v>1</v>
      </c>
      <c r="D98" s="59">
        <v>1</v>
      </c>
      <c r="E98" s="59">
        <v>0</v>
      </c>
      <c r="F98" s="59">
        <v>254</v>
      </c>
      <c r="G98" s="76" t="s">
        <v>3239</v>
      </c>
      <c r="H98" s="64" t="str">
        <f t="shared" si="3"/>
        <v>1261</v>
      </c>
      <c r="I98" s="59">
        <v>1</v>
      </c>
      <c r="J98" s="61"/>
    </row>
    <row r="99" spans="1:10" s="25" customFormat="1" ht="27" customHeight="1">
      <c r="A99" s="65">
        <f t="shared" si="2"/>
        <v>97</v>
      </c>
      <c r="B99" s="76" t="s">
        <v>3134</v>
      </c>
      <c r="C99" s="59">
        <v>1</v>
      </c>
      <c r="D99" s="59">
        <v>1</v>
      </c>
      <c r="E99" s="59">
        <v>0</v>
      </c>
      <c r="F99" s="59">
        <v>254</v>
      </c>
      <c r="G99" s="76" t="s">
        <v>3240</v>
      </c>
      <c r="H99" s="64" t="str">
        <f t="shared" si="3"/>
        <v>1262</v>
      </c>
      <c r="I99" s="59">
        <v>1</v>
      </c>
      <c r="J99" s="61"/>
    </row>
    <row r="100" spans="1:10" s="25" customFormat="1" ht="27" customHeight="1">
      <c r="A100" s="65">
        <f t="shared" si="2"/>
        <v>98</v>
      </c>
      <c r="B100" s="76" t="s">
        <v>2675</v>
      </c>
      <c r="C100" s="59">
        <v>1</v>
      </c>
      <c r="D100" s="59">
        <v>1</v>
      </c>
      <c r="E100" s="59">
        <v>0</v>
      </c>
      <c r="F100" s="59">
        <v>254</v>
      </c>
      <c r="G100" s="76" t="s">
        <v>3241</v>
      </c>
      <c r="H100" s="64" t="str">
        <f t="shared" si="3"/>
        <v>1263</v>
      </c>
      <c r="I100" s="59">
        <v>1</v>
      </c>
      <c r="J100" s="61"/>
    </row>
    <row r="101" spans="1:10" s="25" customFormat="1" ht="27" customHeight="1">
      <c r="A101" s="65">
        <f t="shared" si="2"/>
        <v>99</v>
      </c>
      <c r="B101" s="76" t="s">
        <v>2676</v>
      </c>
      <c r="C101" s="59">
        <v>1</v>
      </c>
      <c r="D101" s="59">
        <v>1</v>
      </c>
      <c r="E101" s="59">
        <v>0</v>
      </c>
      <c r="F101" s="59">
        <v>254</v>
      </c>
      <c r="G101" s="76" t="s">
        <v>3242</v>
      </c>
      <c r="H101" s="64" t="str">
        <f t="shared" si="3"/>
        <v>1264</v>
      </c>
      <c r="I101" s="59">
        <v>1</v>
      </c>
      <c r="J101" s="61"/>
    </row>
    <row r="102" spans="1:10" s="25" customFormat="1" ht="27" customHeight="1">
      <c r="A102" s="65">
        <f t="shared" si="2"/>
        <v>100</v>
      </c>
      <c r="B102" s="76" t="s">
        <v>3135</v>
      </c>
      <c r="C102" s="59">
        <v>1</v>
      </c>
      <c r="D102" s="59">
        <v>1</v>
      </c>
      <c r="E102" s="59">
        <v>0</v>
      </c>
      <c r="F102" s="59">
        <v>254</v>
      </c>
      <c r="G102" s="76" t="s">
        <v>3243</v>
      </c>
      <c r="H102" s="64" t="str">
        <f t="shared" si="3"/>
        <v>1265</v>
      </c>
      <c r="I102" s="59">
        <v>1</v>
      </c>
      <c r="J102" s="61"/>
    </row>
    <row r="103" spans="1:10" s="25" customFormat="1" ht="27" customHeight="1">
      <c r="A103" s="65">
        <f t="shared" si="2"/>
        <v>101</v>
      </c>
      <c r="B103" s="76" t="s">
        <v>2677</v>
      </c>
      <c r="C103" s="59">
        <v>1</v>
      </c>
      <c r="D103" s="59">
        <v>1</v>
      </c>
      <c r="E103" s="59">
        <v>0</v>
      </c>
      <c r="F103" s="59">
        <v>254</v>
      </c>
      <c r="G103" s="76" t="s">
        <v>3244</v>
      </c>
      <c r="H103" s="64" t="str">
        <f t="shared" si="3"/>
        <v>1266</v>
      </c>
      <c r="I103" s="59">
        <v>1</v>
      </c>
      <c r="J103" s="61"/>
    </row>
    <row r="104" spans="1:10" s="25" customFormat="1" ht="27" customHeight="1">
      <c r="A104" s="65">
        <f t="shared" si="2"/>
        <v>102</v>
      </c>
      <c r="B104" s="76" t="s">
        <v>2678</v>
      </c>
      <c r="C104" s="59">
        <v>1</v>
      </c>
      <c r="D104" s="59">
        <v>1</v>
      </c>
      <c r="E104" s="59">
        <v>0</v>
      </c>
      <c r="F104" s="59">
        <v>254</v>
      </c>
      <c r="G104" s="76" t="s">
        <v>3245</v>
      </c>
      <c r="H104" s="64" t="str">
        <f t="shared" si="3"/>
        <v>1267</v>
      </c>
      <c r="I104" s="59">
        <v>1</v>
      </c>
      <c r="J104" s="61"/>
    </row>
    <row r="105" spans="1:10" s="25" customFormat="1" ht="27" customHeight="1">
      <c r="A105" s="65">
        <f t="shared" si="2"/>
        <v>103</v>
      </c>
      <c r="B105" s="76" t="s">
        <v>2680</v>
      </c>
      <c r="C105" s="59">
        <v>1</v>
      </c>
      <c r="D105" s="59">
        <v>1</v>
      </c>
      <c r="E105" s="59">
        <v>0</v>
      </c>
      <c r="F105" s="59">
        <v>254</v>
      </c>
      <c r="G105" s="76" t="s">
        <v>3246</v>
      </c>
      <c r="H105" s="64" t="str">
        <f t="shared" si="3"/>
        <v>1268</v>
      </c>
      <c r="I105" s="59">
        <v>1</v>
      </c>
      <c r="J105" s="61"/>
    </row>
    <row r="106" spans="1:10" s="25" customFormat="1" ht="27" customHeight="1">
      <c r="A106" s="65">
        <f t="shared" si="2"/>
        <v>104</v>
      </c>
      <c r="B106" s="76" t="s">
        <v>2683</v>
      </c>
      <c r="C106" s="59">
        <v>1</v>
      </c>
      <c r="D106" s="59">
        <v>1</v>
      </c>
      <c r="E106" s="59">
        <v>0</v>
      </c>
      <c r="F106" s="59">
        <v>254</v>
      </c>
      <c r="G106" s="76" t="s">
        <v>3247</v>
      </c>
      <c r="H106" s="64" t="str">
        <f t="shared" si="3"/>
        <v>1269</v>
      </c>
      <c r="I106" s="59">
        <v>1</v>
      </c>
      <c r="J106" s="61"/>
    </row>
    <row r="107" spans="1:10" s="25" customFormat="1" ht="27" customHeight="1">
      <c r="A107" s="65">
        <f t="shared" si="2"/>
        <v>105</v>
      </c>
      <c r="B107" s="76" t="s">
        <v>2684</v>
      </c>
      <c r="C107" s="59">
        <v>1</v>
      </c>
      <c r="D107" s="59">
        <v>1</v>
      </c>
      <c r="E107" s="59">
        <v>0</v>
      </c>
      <c r="F107" s="59">
        <v>254</v>
      </c>
      <c r="G107" s="76" t="s">
        <v>3248</v>
      </c>
      <c r="H107" s="64" t="str">
        <f t="shared" si="3"/>
        <v>126A</v>
      </c>
      <c r="I107" s="59">
        <v>1</v>
      </c>
      <c r="J107" s="61"/>
    </row>
    <row r="108" spans="1:10" s="25" customFormat="1" ht="27" customHeight="1">
      <c r="A108" s="65">
        <f t="shared" si="2"/>
        <v>106</v>
      </c>
      <c r="B108" s="76" t="s">
        <v>2690</v>
      </c>
      <c r="C108" s="59">
        <v>1</v>
      </c>
      <c r="D108" s="59">
        <v>1</v>
      </c>
      <c r="E108" s="59">
        <v>0</v>
      </c>
      <c r="F108" s="59">
        <v>254</v>
      </c>
      <c r="G108" s="76" t="s">
        <v>3249</v>
      </c>
      <c r="H108" s="64" t="str">
        <f t="shared" si="3"/>
        <v>126B</v>
      </c>
      <c r="I108" s="59">
        <v>1</v>
      </c>
      <c r="J108" s="61"/>
    </row>
    <row r="109" spans="1:10" s="25" customFormat="1" ht="27" customHeight="1">
      <c r="A109" s="65">
        <f t="shared" si="2"/>
        <v>107</v>
      </c>
      <c r="B109" s="76" t="s">
        <v>2691</v>
      </c>
      <c r="C109" s="59">
        <v>1</v>
      </c>
      <c r="D109" s="59">
        <v>1</v>
      </c>
      <c r="E109" s="59">
        <v>0</v>
      </c>
      <c r="F109" s="59">
        <v>254</v>
      </c>
      <c r="G109" s="76" t="s">
        <v>3250</v>
      </c>
      <c r="H109" s="64" t="str">
        <f t="shared" si="3"/>
        <v>126C</v>
      </c>
      <c r="I109" s="59">
        <v>1</v>
      </c>
      <c r="J109" s="61"/>
    </row>
    <row r="110" spans="1:10" s="25" customFormat="1" ht="27" customHeight="1">
      <c r="A110" s="65">
        <f t="shared" si="2"/>
        <v>108</v>
      </c>
      <c r="B110" s="76" t="s">
        <v>3014</v>
      </c>
      <c r="C110" s="59">
        <v>1</v>
      </c>
      <c r="D110" s="59">
        <v>1</v>
      </c>
      <c r="E110" s="59">
        <v>0</v>
      </c>
      <c r="F110" s="59">
        <v>254</v>
      </c>
      <c r="G110" s="76" t="s">
        <v>3251</v>
      </c>
      <c r="H110" s="64" t="str">
        <f t="shared" si="3"/>
        <v>126D</v>
      </c>
      <c r="I110" s="59">
        <v>1</v>
      </c>
      <c r="J110" s="61"/>
    </row>
    <row r="111" spans="1:10" s="25" customFormat="1" ht="27" customHeight="1">
      <c r="A111" s="65">
        <f t="shared" si="2"/>
        <v>109</v>
      </c>
      <c r="B111" s="76" t="s">
        <v>3013</v>
      </c>
      <c r="C111" s="59">
        <v>1</v>
      </c>
      <c r="D111" s="59">
        <v>1</v>
      </c>
      <c r="E111" s="59">
        <v>0</v>
      </c>
      <c r="F111" s="59">
        <v>254</v>
      </c>
      <c r="G111" s="76" t="s">
        <v>3252</v>
      </c>
      <c r="H111" s="64" t="str">
        <f t="shared" si="3"/>
        <v>126E</v>
      </c>
      <c r="I111" s="59">
        <v>1</v>
      </c>
      <c r="J111" s="61"/>
    </row>
    <row r="112" spans="1:10" s="25" customFormat="1" ht="27" customHeight="1">
      <c r="A112" s="65">
        <f t="shared" si="2"/>
        <v>110</v>
      </c>
      <c r="B112" s="76" t="s">
        <v>3136</v>
      </c>
      <c r="C112" s="59">
        <v>1</v>
      </c>
      <c r="D112" s="59">
        <v>1</v>
      </c>
      <c r="E112" s="59">
        <v>0</v>
      </c>
      <c r="F112" s="59">
        <v>254</v>
      </c>
      <c r="G112" s="76" t="s">
        <v>3253</v>
      </c>
      <c r="H112" s="64" t="str">
        <f t="shared" si="3"/>
        <v>126F</v>
      </c>
      <c r="I112" s="59">
        <v>1</v>
      </c>
      <c r="J112" s="61"/>
    </row>
    <row r="113" spans="1:10" s="25" customFormat="1" ht="27" customHeight="1">
      <c r="A113" s="65">
        <f t="shared" si="2"/>
        <v>111</v>
      </c>
      <c r="B113" s="76" t="s">
        <v>3137</v>
      </c>
      <c r="C113" s="59">
        <v>1</v>
      </c>
      <c r="D113" s="59">
        <v>1</v>
      </c>
      <c r="E113" s="59">
        <v>0</v>
      </c>
      <c r="F113" s="59">
        <v>254</v>
      </c>
      <c r="G113" s="76" t="s">
        <v>3254</v>
      </c>
      <c r="H113" s="64" t="str">
        <f t="shared" si="3"/>
        <v>1270</v>
      </c>
      <c r="I113" s="59">
        <v>1</v>
      </c>
      <c r="J113" s="61"/>
    </row>
    <row r="114" spans="1:10" s="25" customFormat="1" ht="27" customHeight="1">
      <c r="A114" s="65">
        <f t="shared" si="2"/>
        <v>112</v>
      </c>
      <c r="B114" s="76" t="s">
        <v>3138</v>
      </c>
      <c r="C114" s="59">
        <v>1</v>
      </c>
      <c r="D114" s="59">
        <v>1</v>
      </c>
      <c r="E114" s="59">
        <v>0</v>
      </c>
      <c r="F114" s="59">
        <v>254</v>
      </c>
      <c r="G114" s="76" t="s">
        <v>3255</v>
      </c>
      <c r="H114" s="64" t="str">
        <f t="shared" si="3"/>
        <v>1271</v>
      </c>
      <c r="I114" s="59">
        <v>1</v>
      </c>
      <c r="J114" s="61"/>
    </row>
    <row r="115" spans="1:10" s="25" customFormat="1" ht="27" customHeight="1">
      <c r="A115" s="65">
        <f t="shared" si="2"/>
        <v>113</v>
      </c>
      <c r="B115" s="76" t="s">
        <v>3139</v>
      </c>
      <c r="C115" s="59">
        <v>1</v>
      </c>
      <c r="D115" s="59">
        <v>1</v>
      </c>
      <c r="E115" s="59">
        <v>0</v>
      </c>
      <c r="F115" s="59">
        <v>254</v>
      </c>
      <c r="G115" s="76" t="s">
        <v>3256</v>
      </c>
      <c r="H115" s="64" t="str">
        <f t="shared" si="3"/>
        <v>1272</v>
      </c>
      <c r="I115" s="59">
        <v>1</v>
      </c>
      <c r="J115" s="61"/>
    </row>
    <row r="116" spans="1:10" s="25" customFormat="1" ht="27" customHeight="1">
      <c r="A116" s="65">
        <f t="shared" si="2"/>
        <v>114</v>
      </c>
      <c r="B116" s="76" t="s">
        <v>3140</v>
      </c>
      <c r="C116" s="59">
        <v>1</v>
      </c>
      <c r="D116" s="59">
        <v>1</v>
      </c>
      <c r="E116" s="59">
        <v>0</v>
      </c>
      <c r="F116" s="59">
        <v>254</v>
      </c>
      <c r="G116" s="76" t="s">
        <v>3257</v>
      </c>
      <c r="H116" s="64" t="str">
        <f t="shared" si="3"/>
        <v>1273</v>
      </c>
      <c r="I116" s="59">
        <v>1</v>
      </c>
      <c r="J116" s="61"/>
    </row>
    <row r="117" spans="1:10" s="25" customFormat="1" ht="27" customHeight="1">
      <c r="A117" s="65">
        <f t="shared" si="2"/>
        <v>115</v>
      </c>
      <c r="B117" s="76" t="s">
        <v>2679</v>
      </c>
      <c r="C117" s="59">
        <v>1</v>
      </c>
      <c r="D117" s="59">
        <v>1</v>
      </c>
      <c r="E117" s="59">
        <v>0</v>
      </c>
      <c r="F117" s="59">
        <v>254</v>
      </c>
      <c r="G117" s="76" t="s">
        <v>3258</v>
      </c>
      <c r="H117" s="64" t="str">
        <f t="shared" si="3"/>
        <v>1274</v>
      </c>
      <c r="I117" s="59">
        <v>1</v>
      </c>
      <c r="J117" s="61"/>
    </row>
    <row r="118" spans="1:10" s="25" customFormat="1" ht="27" customHeight="1">
      <c r="A118" s="65">
        <f t="shared" si="2"/>
        <v>116</v>
      </c>
      <c r="B118" s="76" t="s">
        <v>2681</v>
      </c>
      <c r="C118" s="59">
        <v>1</v>
      </c>
      <c r="D118" s="59">
        <v>1</v>
      </c>
      <c r="E118" s="59">
        <v>0</v>
      </c>
      <c r="F118" s="59">
        <v>254</v>
      </c>
      <c r="G118" s="76" t="s">
        <v>3259</v>
      </c>
      <c r="H118" s="64" t="str">
        <f t="shared" si="3"/>
        <v>1275</v>
      </c>
      <c r="I118" s="59">
        <v>1</v>
      </c>
      <c r="J118" s="61"/>
    </row>
    <row r="119" spans="1:10" s="25" customFormat="1" ht="27" customHeight="1">
      <c r="A119" s="65">
        <f t="shared" si="2"/>
        <v>117</v>
      </c>
      <c r="B119" s="76" t="s">
        <v>2682</v>
      </c>
      <c r="C119" s="59">
        <v>1</v>
      </c>
      <c r="D119" s="59">
        <v>1</v>
      </c>
      <c r="E119" s="59">
        <v>0</v>
      </c>
      <c r="F119" s="59">
        <v>254</v>
      </c>
      <c r="G119" s="76" t="s">
        <v>3260</v>
      </c>
      <c r="H119" s="64" t="str">
        <f t="shared" si="3"/>
        <v>1276</v>
      </c>
      <c r="I119" s="59">
        <v>1</v>
      </c>
      <c r="J119" s="61"/>
    </row>
    <row r="120" spans="1:10" s="25" customFormat="1" ht="27" customHeight="1">
      <c r="A120" s="65">
        <f t="shared" si="2"/>
        <v>118</v>
      </c>
      <c r="B120" s="76" t="s">
        <v>2685</v>
      </c>
      <c r="C120" s="59">
        <v>1</v>
      </c>
      <c r="D120" s="59">
        <v>1</v>
      </c>
      <c r="E120" s="59">
        <v>0</v>
      </c>
      <c r="F120" s="59">
        <v>254</v>
      </c>
      <c r="G120" s="76" t="s">
        <v>3261</v>
      </c>
      <c r="H120" s="64" t="str">
        <f t="shared" si="3"/>
        <v>1277</v>
      </c>
      <c r="I120" s="59">
        <v>1</v>
      </c>
      <c r="J120" s="61"/>
    </row>
    <row r="121" spans="1:10" s="25" customFormat="1" ht="27" customHeight="1">
      <c r="A121" s="65">
        <f t="shared" si="2"/>
        <v>119</v>
      </c>
      <c r="B121" s="76" t="s">
        <v>2686</v>
      </c>
      <c r="C121" s="59">
        <v>1</v>
      </c>
      <c r="D121" s="59">
        <v>1</v>
      </c>
      <c r="E121" s="59">
        <v>0</v>
      </c>
      <c r="F121" s="59">
        <v>254</v>
      </c>
      <c r="G121" s="76" t="s">
        <v>3262</v>
      </c>
      <c r="H121" s="64" t="str">
        <f t="shared" si="3"/>
        <v>1278</v>
      </c>
      <c r="I121" s="59">
        <v>1</v>
      </c>
      <c r="J121" s="61"/>
    </row>
    <row r="122" spans="1:10" s="25" customFormat="1" ht="27" customHeight="1">
      <c r="A122" s="65">
        <f t="shared" si="2"/>
        <v>120</v>
      </c>
      <c r="B122" s="76" t="s">
        <v>2687</v>
      </c>
      <c r="C122" s="59">
        <v>1</v>
      </c>
      <c r="D122" s="59">
        <v>1</v>
      </c>
      <c r="E122" s="59">
        <v>0</v>
      </c>
      <c r="F122" s="59">
        <v>254</v>
      </c>
      <c r="G122" s="76" t="s">
        <v>3263</v>
      </c>
      <c r="H122" s="64" t="str">
        <f t="shared" si="3"/>
        <v>1279</v>
      </c>
      <c r="I122" s="59">
        <v>1</v>
      </c>
      <c r="J122" s="61"/>
    </row>
    <row r="123" spans="1:10" s="25" customFormat="1" ht="27" customHeight="1">
      <c r="A123" s="65">
        <f t="shared" si="2"/>
        <v>121</v>
      </c>
      <c r="B123" s="76" t="s">
        <v>2688</v>
      </c>
      <c r="C123" s="59">
        <v>1</v>
      </c>
      <c r="D123" s="59">
        <v>1</v>
      </c>
      <c r="E123" s="59">
        <v>0</v>
      </c>
      <c r="F123" s="59">
        <v>254</v>
      </c>
      <c r="G123" s="76" t="s">
        <v>3264</v>
      </c>
      <c r="H123" s="64" t="str">
        <f t="shared" si="3"/>
        <v>127A</v>
      </c>
      <c r="I123" s="59">
        <v>1</v>
      </c>
      <c r="J123" s="61"/>
    </row>
    <row r="124" spans="1:10" s="25" customFormat="1" ht="27" customHeight="1">
      <c r="A124" s="65">
        <f t="shared" si="2"/>
        <v>122</v>
      </c>
      <c r="B124" s="76" t="s">
        <v>2689</v>
      </c>
      <c r="C124" s="59">
        <v>1</v>
      </c>
      <c r="D124" s="59">
        <v>1</v>
      </c>
      <c r="E124" s="59">
        <v>0</v>
      </c>
      <c r="F124" s="59">
        <v>254</v>
      </c>
      <c r="G124" s="76" t="s">
        <v>3265</v>
      </c>
      <c r="H124" s="64" t="str">
        <f t="shared" si="3"/>
        <v>127B</v>
      </c>
      <c r="I124" s="59">
        <v>1</v>
      </c>
      <c r="J124" s="61"/>
    </row>
    <row r="125" spans="1:10" s="25" customFormat="1" ht="27" customHeight="1">
      <c r="A125" s="65">
        <f t="shared" si="2"/>
        <v>123</v>
      </c>
      <c r="B125" s="76" t="s">
        <v>2723</v>
      </c>
      <c r="C125" s="59">
        <v>1</v>
      </c>
      <c r="D125" s="59">
        <v>1</v>
      </c>
      <c r="E125" s="59">
        <v>0</v>
      </c>
      <c r="F125" s="59">
        <v>254</v>
      </c>
      <c r="G125" s="76" t="s">
        <v>3266</v>
      </c>
      <c r="H125" s="64" t="str">
        <f t="shared" si="3"/>
        <v>127C</v>
      </c>
      <c r="I125" s="59">
        <v>1</v>
      </c>
      <c r="J125" s="61"/>
    </row>
    <row r="126" spans="1:10" s="25" customFormat="1" ht="27" customHeight="1">
      <c r="A126" s="65">
        <f t="shared" si="2"/>
        <v>124</v>
      </c>
      <c r="B126" s="76" t="s">
        <v>3141</v>
      </c>
      <c r="C126" s="59">
        <v>1</v>
      </c>
      <c r="D126" s="59">
        <v>1</v>
      </c>
      <c r="E126" s="59">
        <v>0</v>
      </c>
      <c r="F126" s="59">
        <v>254</v>
      </c>
      <c r="G126" s="76" t="s">
        <v>3267</v>
      </c>
      <c r="H126" s="64" t="str">
        <f t="shared" si="3"/>
        <v>127D</v>
      </c>
      <c r="I126" s="59">
        <v>1</v>
      </c>
      <c r="J126" s="61"/>
    </row>
    <row r="127" spans="1:10" s="25" customFormat="1" ht="27" customHeight="1">
      <c r="A127" s="65">
        <f t="shared" si="2"/>
        <v>125</v>
      </c>
      <c r="B127" s="76" t="s">
        <v>2612</v>
      </c>
      <c r="C127" s="59">
        <v>1</v>
      </c>
      <c r="D127" s="59">
        <v>1</v>
      </c>
      <c r="E127" s="59">
        <v>0</v>
      </c>
      <c r="F127" s="59">
        <v>254</v>
      </c>
      <c r="G127" s="76" t="s">
        <v>3268</v>
      </c>
      <c r="H127" s="64" t="str">
        <f t="shared" si="3"/>
        <v>127E</v>
      </c>
      <c r="I127" s="59">
        <v>1</v>
      </c>
      <c r="J127" s="61"/>
    </row>
    <row r="128" spans="1:10" s="25" customFormat="1" ht="27" customHeight="1">
      <c r="A128" s="65">
        <f t="shared" si="2"/>
        <v>126</v>
      </c>
      <c r="B128" s="76" t="s">
        <v>2971</v>
      </c>
      <c r="C128" s="59">
        <v>1</v>
      </c>
      <c r="D128" s="59">
        <v>1</v>
      </c>
      <c r="E128" s="59">
        <v>0</v>
      </c>
      <c r="F128" s="59">
        <v>254</v>
      </c>
      <c r="G128" s="76" t="s">
        <v>3269</v>
      </c>
      <c r="H128" s="64" t="str">
        <f t="shared" si="3"/>
        <v>127F</v>
      </c>
      <c r="I128" s="59">
        <v>1</v>
      </c>
      <c r="J128" s="61"/>
    </row>
    <row r="129" spans="1:10" s="25" customFormat="1" ht="27" customHeight="1">
      <c r="A129" s="65">
        <f t="shared" si="2"/>
        <v>127</v>
      </c>
      <c r="B129" s="76" t="s">
        <v>2970</v>
      </c>
      <c r="C129" s="59">
        <v>1</v>
      </c>
      <c r="D129" s="59">
        <v>1</v>
      </c>
      <c r="E129" s="59">
        <v>0</v>
      </c>
      <c r="F129" s="59">
        <v>254</v>
      </c>
      <c r="G129" s="76" t="s">
        <v>3270</v>
      </c>
      <c r="H129" s="64" t="str">
        <f t="shared" si="3"/>
        <v>1280</v>
      </c>
      <c r="I129" s="59">
        <v>1</v>
      </c>
      <c r="J129" s="61"/>
    </row>
    <row r="130" spans="1:10" s="25" customFormat="1" ht="27" customHeight="1">
      <c r="A130" s="65">
        <f t="shared" si="2"/>
        <v>128</v>
      </c>
      <c r="B130" s="76" t="s">
        <v>2601</v>
      </c>
      <c r="C130" s="59">
        <v>1</v>
      </c>
      <c r="D130" s="59">
        <v>1</v>
      </c>
      <c r="E130" s="59">
        <v>0</v>
      </c>
      <c r="F130" s="59">
        <v>254</v>
      </c>
      <c r="G130" s="76" t="s">
        <v>3271</v>
      </c>
      <c r="H130" s="64" t="str">
        <f t="shared" si="3"/>
        <v>1281</v>
      </c>
      <c r="I130" s="59">
        <v>1</v>
      </c>
      <c r="J130" s="61"/>
    </row>
    <row r="131" spans="1:10" s="25" customFormat="1" ht="27" customHeight="1">
      <c r="A131" s="65">
        <f t="shared" ref="A131:A194" si="4">A130+1</f>
        <v>129</v>
      </c>
      <c r="B131" s="76" t="s">
        <v>2969</v>
      </c>
      <c r="C131" s="59">
        <v>1</v>
      </c>
      <c r="D131" s="59">
        <v>1</v>
      </c>
      <c r="E131" s="59">
        <v>0</v>
      </c>
      <c r="F131" s="59">
        <v>254</v>
      </c>
      <c r="G131" s="76" t="s">
        <v>3272</v>
      </c>
      <c r="H131" s="64" t="str">
        <f t="shared" ref="H131:H194" si="5">DEC2HEX((HEX2DEC(H130)+1),4)</f>
        <v>1282</v>
      </c>
      <c r="I131" s="59">
        <v>1</v>
      </c>
      <c r="J131" s="61"/>
    </row>
    <row r="132" spans="1:10" s="25" customFormat="1" ht="27" customHeight="1">
      <c r="A132" s="65">
        <f t="shared" si="4"/>
        <v>130</v>
      </c>
      <c r="B132" s="76" t="s">
        <v>2602</v>
      </c>
      <c r="C132" s="59">
        <v>1</v>
      </c>
      <c r="D132" s="59">
        <v>1</v>
      </c>
      <c r="E132" s="59">
        <v>0</v>
      </c>
      <c r="F132" s="59">
        <v>254</v>
      </c>
      <c r="G132" s="76" t="s">
        <v>3273</v>
      </c>
      <c r="H132" s="64" t="str">
        <f t="shared" si="5"/>
        <v>1283</v>
      </c>
      <c r="I132" s="59">
        <v>1</v>
      </c>
      <c r="J132" s="61"/>
    </row>
    <row r="133" spans="1:10" s="25" customFormat="1" ht="27" customHeight="1">
      <c r="A133" s="65">
        <f t="shared" si="4"/>
        <v>131</v>
      </c>
      <c r="B133" s="76" t="s">
        <v>2604</v>
      </c>
      <c r="C133" s="59">
        <v>1</v>
      </c>
      <c r="D133" s="59">
        <v>1</v>
      </c>
      <c r="E133" s="59">
        <v>0</v>
      </c>
      <c r="F133" s="59">
        <v>254</v>
      </c>
      <c r="G133" s="76" t="s">
        <v>3274</v>
      </c>
      <c r="H133" s="64" t="str">
        <f t="shared" si="5"/>
        <v>1284</v>
      </c>
      <c r="I133" s="59">
        <v>1</v>
      </c>
      <c r="J133" s="61"/>
    </row>
    <row r="134" spans="1:10" s="25" customFormat="1" ht="27" customHeight="1">
      <c r="A134" s="65">
        <f t="shared" si="4"/>
        <v>132</v>
      </c>
      <c r="B134" s="76" t="s">
        <v>2603</v>
      </c>
      <c r="C134" s="59">
        <v>1</v>
      </c>
      <c r="D134" s="59">
        <v>1</v>
      </c>
      <c r="E134" s="59">
        <v>0</v>
      </c>
      <c r="F134" s="59">
        <v>254</v>
      </c>
      <c r="G134" s="76" t="s">
        <v>3275</v>
      </c>
      <c r="H134" s="64" t="str">
        <f t="shared" si="5"/>
        <v>1285</v>
      </c>
      <c r="I134" s="59">
        <v>1</v>
      </c>
      <c r="J134" s="61"/>
    </row>
    <row r="135" spans="1:10" s="25" customFormat="1" ht="27" customHeight="1">
      <c r="A135" s="65">
        <f t="shared" si="4"/>
        <v>133</v>
      </c>
      <c r="B135" s="76" t="s">
        <v>2605</v>
      </c>
      <c r="C135" s="59">
        <v>1</v>
      </c>
      <c r="D135" s="59">
        <v>1</v>
      </c>
      <c r="E135" s="59">
        <v>0</v>
      </c>
      <c r="F135" s="59">
        <v>254</v>
      </c>
      <c r="G135" s="76" t="s">
        <v>3276</v>
      </c>
      <c r="H135" s="64" t="str">
        <f t="shared" si="5"/>
        <v>1286</v>
      </c>
      <c r="I135" s="59">
        <v>1</v>
      </c>
      <c r="J135" s="61"/>
    </row>
    <row r="136" spans="1:10" s="25" customFormat="1" ht="27" customHeight="1">
      <c r="A136" s="65">
        <f t="shared" si="4"/>
        <v>134</v>
      </c>
      <c r="B136" s="76" t="s">
        <v>2606</v>
      </c>
      <c r="C136" s="59">
        <v>1</v>
      </c>
      <c r="D136" s="59">
        <v>1</v>
      </c>
      <c r="E136" s="59">
        <v>0</v>
      </c>
      <c r="F136" s="59">
        <v>254</v>
      </c>
      <c r="G136" s="76" t="s">
        <v>3277</v>
      </c>
      <c r="H136" s="64" t="str">
        <f t="shared" si="5"/>
        <v>1287</v>
      </c>
      <c r="I136" s="59">
        <v>1</v>
      </c>
      <c r="J136" s="61"/>
    </row>
    <row r="137" spans="1:10" s="25" customFormat="1" ht="27" customHeight="1">
      <c r="A137" s="65">
        <f t="shared" si="4"/>
        <v>135</v>
      </c>
      <c r="B137" s="76" t="s">
        <v>2607</v>
      </c>
      <c r="C137" s="59">
        <v>1</v>
      </c>
      <c r="D137" s="59">
        <v>1</v>
      </c>
      <c r="E137" s="59">
        <v>0</v>
      </c>
      <c r="F137" s="59">
        <v>254</v>
      </c>
      <c r="G137" s="76" t="s">
        <v>3278</v>
      </c>
      <c r="H137" s="64" t="str">
        <f t="shared" si="5"/>
        <v>1288</v>
      </c>
      <c r="I137" s="59">
        <v>1</v>
      </c>
      <c r="J137" s="61"/>
    </row>
    <row r="138" spans="1:10" s="25" customFormat="1" ht="27" customHeight="1">
      <c r="A138" s="65">
        <f t="shared" si="4"/>
        <v>136</v>
      </c>
      <c r="B138" s="76" t="s">
        <v>2608</v>
      </c>
      <c r="C138" s="59">
        <v>1</v>
      </c>
      <c r="D138" s="59">
        <v>1</v>
      </c>
      <c r="E138" s="59">
        <v>0</v>
      </c>
      <c r="F138" s="59">
        <v>254</v>
      </c>
      <c r="G138" s="76" t="s">
        <v>3279</v>
      </c>
      <c r="H138" s="64" t="str">
        <f t="shared" si="5"/>
        <v>1289</v>
      </c>
      <c r="I138" s="59">
        <v>1</v>
      </c>
      <c r="J138" s="61"/>
    </row>
    <row r="139" spans="1:10" s="25" customFormat="1" ht="27" customHeight="1">
      <c r="A139" s="65">
        <f t="shared" si="4"/>
        <v>137</v>
      </c>
      <c r="B139" s="76" t="s">
        <v>2609</v>
      </c>
      <c r="C139" s="59">
        <v>1</v>
      </c>
      <c r="D139" s="59">
        <v>1</v>
      </c>
      <c r="E139" s="59">
        <v>0</v>
      </c>
      <c r="F139" s="59">
        <v>254</v>
      </c>
      <c r="G139" s="76" t="s">
        <v>3280</v>
      </c>
      <c r="H139" s="64" t="str">
        <f t="shared" si="5"/>
        <v>128A</v>
      </c>
      <c r="I139" s="59">
        <v>1</v>
      </c>
      <c r="J139" s="61"/>
    </row>
    <row r="140" spans="1:10" s="25" customFormat="1" ht="27" customHeight="1">
      <c r="A140" s="65">
        <f t="shared" si="4"/>
        <v>138</v>
      </c>
      <c r="B140" s="76" t="s">
        <v>3142</v>
      </c>
      <c r="C140" s="59">
        <v>1</v>
      </c>
      <c r="D140" s="59">
        <v>1</v>
      </c>
      <c r="E140" s="59">
        <v>0</v>
      </c>
      <c r="F140" s="59">
        <v>254</v>
      </c>
      <c r="G140" s="76" t="s">
        <v>3281</v>
      </c>
      <c r="H140" s="64" t="str">
        <f t="shared" si="5"/>
        <v>128B</v>
      </c>
      <c r="I140" s="59">
        <v>1</v>
      </c>
      <c r="J140" s="61"/>
    </row>
    <row r="141" spans="1:10" s="25" customFormat="1" ht="27" customHeight="1">
      <c r="A141" s="65">
        <f t="shared" si="4"/>
        <v>139</v>
      </c>
      <c r="B141" s="76" t="s">
        <v>2610</v>
      </c>
      <c r="C141" s="59">
        <v>1</v>
      </c>
      <c r="D141" s="59">
        <v>1</v>
      </c>
      <c r="E141" s="59">
        <v>0</v>
      </c>
      <c r="F141" s="59">
        <v>254</v>
      </c>
      <c r="G141" s="76" t="s">
        <v>3282</v>
      </c>
      <c r="H141" s="64" t="str">
        <f t="shared" si="5"/>
        <v>128C</v>
      </c>
      <c r="I141" s="59">
        <v>1</v>
      </c>
      <c r="J141" s="61"/>
    </row>
    <row r="142" spans="1:10" s="25" customFormat="1" ht="27" customHeight="1">
      <c r="A142" s="65">
        <f t="shared" si="4"/>
        <v>140</v>
      </c>
      <c r="B142" s="76" t="s">
        <v>2611</v>
      </c>
      <c r="C142" s="59">
        <v>1</v>
      </c>
      <c r="D142" s="59">
        <v>1</v>
      </c>
      <c r="E142" s="59">
        <v>0</v>
      </c>
      <c r="F142" s="59">
        <v>254</v>
      </c>
      <c r="G142" s="76" t="s">
        <v>3283</v>
      </c>
      <c r="H142" s="64" t="str">
        <f t="shared" si="5"/>
        <v>128D</v>
      </c>
      <c r="I142" s="59">
        <v>1</v>
      </c>
      <c r="J142" s="61"/>
    </row>
    <row r="143" spans="1:10" s="25" customFormat="1" ht="27" customHeight="1">
      <c r="A143" s="65">
        <f t="shared" si="4"/>
        <v>141</v>
      </c>
      <c r="B143" s="76" t="s">
        <v>2724</v>
      </c>
      <c r="C143" s="59">
        <v>1</v>
      </c>
      <c r="D143" s="59">
        <v>1</v>
      </c>
      <c r="E143" s="59">
        <v>0</v>
      </c>
      <c r="F143" s="59">
        <v>254</v>
      </c>
      <c r="G143" s="76" t="s">
        <v>3284</v>
      </c>
      <c r="H143" s="64" t="str">
        <f t="shared" si="5"/>
        <v>128E</v>
      </c>
      <c r="I143" s="59">
        <v>1</v>
      </c>
      <c r="J143" s="61"/>
    </row>
    <row r="144" spans="1:10" s="25" customFormat="1" ht="27" customHeight="1">
      <c r="A144" s="65">
        <f t="shared" si="4"/>
        <v>142</v>
      </c>
      <c r="B144" s="76" t="s">
        <v>2722</v>
      </c>
      <c r="C144" s="59">
        <v>1</v>
      </c>
      <c r="D144" s="59">
        <v>1</v>
      </c>
      <c r="E144" s="59">
        <v>0</v>
      </c>
      <c r="F144" s="59">
        <v>254</v>
      </c>
      <c r="G144" s="76" t="s">
        <v>3285</v>
      </c>
      <c r="H144" s="64" t="str">
        <f t="shared" si="5"/>
        <v>128F</v>
      </c>
      <c r="I144" s="59">
        <v>1</v>
      </c>
      <c r="J144" s="61"/>
    </row>
    <row r="145" spans="1:10" s="25" customFormat="1" ht="27" customHeight="1">
      <c r="A145" s="65">
        <f t="shared" si="4"/>
        <v>143</v>
      </c>
      <c r="B145" s="76" t="s">
        <v>2613</v>
      </c>
      <c r="C145" s="59">
        <v>1</v>
      </c>
      <c r="D145" s="59">
        <v>1</v>
      </c>
      <c r="E145" s="59">
        <v>0</v>
      </c>
      <c r="F145" s="59">
        <v>254</v>
      </c>
      <c r="G145" s="76" t="s">
        <v>3286</v>
      </c>
      <c r="H145" s="64" t="str">
        <f t="shared" si="5"/>
        <v>1290</v>
      </c>
      <c r="I145" s="59">
        <v>1</v>
      </c>
      <c r="J145" s="61"/>
    </row>
    <row r="146" spans="1:10" s="25" customFormat="1" ht="27" customHeight="1">
      <c r="A146" s="65">
        <f t="shared" si="4"/>
        <v>144</v>
      </c>
      <c r="B146" s="76" t="s">
        <v>2614</v>
      </c>
      <c r="C146" s="59">
        <v>1</v>
      </c>
      <c r="D146" s="59">
        <v>1</v>
      </c>
      <c r="E146" s="59">
        <v>0</v>
      </c>
      <c r="F146" s="59">
        <v>254</v>
      </c>
      <c r="G146" s="76" t="s">
        <v>3287</v>
      </c>
      <c r="H146" s="64" t="str">
        <f t="shared" si="5"/>
        <v>1291</v>
      </c>
      <c r="I146" s="59">
        <v>1</v>
      </c>
      <c r="J146" s="61"/>
    </row>
    <row r="147" spans="1:10" s="25" customFormat="1" ht="27" customHeight="1">
      <c r="A147" s="65">
        <f t="shared" si="4"/>
        <v>145</v>
      </c>
      <c r="B147" s="76" t="str">
        <f t="shared" ref="B147:B188" si="6">"reserved_byte" &amp;TEXT(A147,0)</f>
        <v>reserved_byte145</v>
      </c>
      <c r="C147" s="59">
        <v>1</v>
      </c>
      <c r="D147" s="59">
        <v>1</v>
      </c>
      <c r="E147" s="59">
        <v>0</v>
      </c>
      <c r="F147" s="59">
        <v>254</v>
      </c>
      <c r="G147" s="76" t="s">
        <v>59</v>
      </c>
      <c r="H147" s="64" t="str">
        <f t="shared" si="5"/>
        <v>1292</v>
      </c>
      <c r="I147" s="59">
        <v>1</v>
      </c>
      <c r="J147" s="61"/>
    </row>
    <row r="148" spans="1:10" s="25" customFormat="1" ht="27" customHeight="1">
      <c r="A148" s="65">
        <f t="shared" si="4"/>
        <v>146</v>
      </c>
      <c r="B148" s="76" t="str">
        <f t="shared" si="6"/>
        <v>reserved_byte146</v>
      </c>
      <c r="C148" s="59">
        <v>1</v>
      </c>
      <c r="D148" s="59">
        <v>1</v>
      </c>
      <c r="E148" s="59">
        <v>0</v>
      </c>
      <c r="F148" s="59">
        <v>254</v>
      </c>
      <c r="G148" s="76" t="s">
        <v>59</v>
      </c>
      <c r="H148" s="64" t="str">
        <f t="shared" si="5"/>
        <v>1293</v>
      </c>
      <c r="I148" s="59">
        <v>1</v>
      </c>
      <c r="J148" s="61"/>
    </row>
    <row r="149" spans="1:10" s="25" customFormat="1" ht="27" customHeight="1">
      <c r="A149" s="65">
        <f t="shared" si="4"/>
        <v>147</v>
      </c>
      <c r="B149" s="76" t="str">
        <f t="shared" si="6"/>
        <v>reserved_byte147</v>
      </c>
      <c r="C149" s="59">
        <v>1</v>
      </c>
      <c r="D149" s="59">
        <v>1</v>
      </c>
      <c r="E149" s="59">
        <v>0</v>
      </c>
      <c r="F149" s="59">
        <v>254</v>
      </c>
      <c r="G149" s="76" t="s">
        <v>59</v>
      </c>
      <c r="H149" s="64" t="str">
        <f t="shared" si="5"/>
        <v>1294</v>
      </c>
      <c r="I149" s="59">
        <v>1</v>
      </c>
      <c r="J149" s="61"/>
    </row>
    <row r="150" spans="1:10" s="25" customFormat="1" ht="27" customHeight="1">
      <c r="A150" s="65">
        <f t="shared" si="4"/>
        <v>148</v>
      </c>
      <c r="B150" s="76" t="str">
        <f t="shared" si="6"/>
        <v>reserved_byte148</v>
      </c>
      <c r="C150" s="59">
        <v>1</v>
      </c>
      <c r="D150" s="59">
        <v>1</v>
      </c>
      <c r="E150" s="59">
        <v>0</v>
      </c>
      <c r="F150" s="59">
        <v>254</v>
      </c>
      <c r="G150" s="76" t="s">
        <v>59</v>
      </c>
      <c r="H150" s="64" t="str">
        <f t="shared" si="5"/>
        <v>1295</v>
      </c>
      <c r="I150" s="59">
        <v>1</v>
      </c>
      <c r="J150" s="61"/>
    </row>
    <row r="151" spans="1:10" s="25" customFormat="1" ht="27" customHeight="1">
      <c r="A151" s="65">
        <f t="shared" si="4"/>
        <v>149</v>
      </c>
      <c r="B151" s="76" t="str">
        <f t="shared" si="6"/>
        <v>reserved_byte149</v>
      </c>
      <c r="C151" s="59">
        <v>1</v>
      </c>
      <c r="D151" s="59">
        <v>1</v>
      </c>
      <c r="E151" s="59">
        <v>0</v>
      </c>
      <c r="F151" s="59">
        <v>254</v>
      </c>
      <c r="G151" s="76" t="s">
        <v>59</v>
      </c>
      <c r="H151" s="64" t="str">
        <f t="shared" si="5"/>
        <v>1296</v>
      </c>
      <c r="I151" s="59">
        <v>1</v>
      </c>
      <c r="J151" s="61"/>
    </row>
    <row r="152" spans="1:10" s="25" customFormat="1" ht="27" customHeight="1">
      <c r="A152" s="65">
        <f t="shared" si="4"/>
        <v>150</v>
      </c>
      <c r="B152" s="76" t="str">
        <f t="shared" si="6"/>
        <v>reserved_byte150</v>
      </c>
      <c r="C152" s="59">
        <v>1</v>
      </c>
      <c r="D152" s="59">
        <v>1</v>
      </c>
      <c r="E152" s="59">
        <v>0</v>
      </c>
      <c r="F152" s="59">
        <v>254</v>
      </c>
      <c r="G152" s="76" t="s">
        <v>59</v>
      </c>
      <c r="H152" s="64" t="str">
        <f t="shared" si="5"/>
        <v>1297</v>
      </c>
      <c r="I152" s="59">
        <v>1</v>
      </c>
      <c r="J152" s="61"/>
    </row>
    <row r="153" spans="1:10" s="25" customFormat="1" ht="27" customHeight="1">
      <c r="A153" s="65">
        <f t="shared" si="4"/>
        <v>151</v>
      </c>
      <c r="B153" s="76" t="str">
        <f t="shared" si="6"/>
        <v>reserved_byte151</v>
      </c>
      <c r="C153" s="59">
        <v>1</v>
      </c>
      <c r="D153" s="59">
        <v>1</v>
      </c>
      <c r="E153" s="59">
        <v>0</v>
      </c>
      <c r="F153" s="59">
        <v>254</v>
      </c>
      <c r="G153" s="76" t="s">
        <v>59</v>
      </c>
      <c r="H153" s="64" t="str">
        <f t="shared" si="5"/>
        <v>1298</v>
      </c>
      <c r="I153" s="59">
        <v>1</v>
      </c>
      <c r="J153" s="61"/>
    </row>
    <row r="154" spans="1:10" s="25" customFormat="1" ht="27" customHeight="1">
      <c r="A154" s="65">
        <f t="shared" si="4"/>
        <v>152</v>
      </c>
      <c r="B154" s="76" t="str">
        <f t="shared" si="6"/>
        <v>reserved_byte152</v>
      </c>
      <c r="C154" s="59">
        <v>1</v>
      </c>
      <c r="D154" s="59">
        <v>1</v>
      </c>
      <c r="E154" s="59">
        <v>0</v>
      </c>
      <c r="F154" s="59">
        <v>254</v>
      </c>
      <c r="G154" s="76" t="s">
        <v>59</v>
      </c>
      <c r="H154" s="64" t="str">
        <f t="shared" si="5"/>
        <v>1299</v>
      </c>
      <c r="I154" s="59">
        <v>1</v>
      </c>
      <c r="J154" s="61"/>
    </row>
    <row r="155" spans="1:10" s="25" customFormat="1" ht="27" customHeight="1">
      <c r="A155" s="65">
        <f t="shared" si="4"/>
        <v>153</v>
      </c>
      <c r="B155" s="76" t="str">
        <f t="shared" si="6"/>
        <v>reserved_byte153</v>
      </c>
      <c r="C155" s="59">
        <v>1</v>
      </c>
      <c r="D155" s="59">
        <v>1</v>
      </c>
      <c r="E155" s="59">
        <v>0</v>
      </c>
      <c r="F155" s="59">
        <v>254</v>
      </c>
      <c r="G155" s="76" t="s">
        <v>59</v>
      </c>
      <c r="H155" s="64" t="str">
        <f t="shared" si="5"/>
        <v>129A</v>
      </c>
      <c r="I155" s="59">
        <v>1</v>
      </c>
      <c r="J155" s="61"/>
    </row>
    <row r="156" spans="1:10" s="25" customFormat="1" ht="27" customHeight="1">
      <c r="A156" s="65">
        <f t="shared" si="4"/>
        <v>154</v>
      </c>
      <c r="B156" s="76" t="str">
        <f t="shared" si="6"/>
        <v>reserved_byte154</v>
      </c>
      <c r="C156" s="59">
        <v>1</v>
      </c>
      <c r="D156" s="59">
        <v>1</v>
      </c>
      <c r="E156" s="59">
        <v>0</v>
      </c>
      <c r="F156" s="59">
        <v>254</v>
      </c>
      <c r="G156" s="76" t="s">
        <v>59</v>
      </c>
      <c r="H156" s="64" t="str">
        <f t="shared" si="5"/>
        <v>129B</v>
      </c>
      <c r="I156" s="59">
        <v>1</v>
      </c>
      <c r="J156" s="61"/>
    </row>
    <row r="157" spans="1:10" s="25" customFormat="1" ht="27" customHeight="1">
      <c r="A157" s="65">
        <f t="shared" si="4"/>
        <v>155</v>
      </c>
      <c r="B157" s="76" t="str">
        <f t="shared" si="6"/>
        <v>reserved_byte155</v>
      </c>
      <c r="C157" s="59">
        <v>1</v>
      </c>
      <c r="D157" s="59">
        <v>1</v>
      </c>
      <c r="E157" s="59">
        <v>0</v>
      </c>
      <c r="F157" s="59">
        <v>254</v>
      </c>
      <c r="G157" s="76" t="s">
        <v>59</v>
      </c>
      <c r="H157" s="64" t="str">
        <f t="shared" si="5"/>
        <v>129C</v>
      </c>
      <c r="I157" s="59">
        <v>1</v>
      </c>
      <c r="J157" s="61"/>
    </row>
    <row r="158" spans="1:10" s="25" customFormat="1" ht="27" customHeight="1">
      <c r="A158" s="65">
        <f t="shared" si="4"/>
        <v>156</v>
      </c>
      <c r="B158" s="76" t="str">
        <f t="shared" si="6"/>
        <v>reserved_byte156</v>
      </c>
      <c r="C158" s="59">
        <v>1</v>
      </c>
      <c r="D158" s="59">
        <v>1</v>
      </c>
      <c r="E158" s="59">
        <v>0</v>
      </c>
      <c r="F158" s="59">
        <v>254</v>
      </c>
      <c r="G158" s="76" t="s">
        <v>59</v>
      </c>
      <c r="H158" s="64" t="str">
        <f t="shared" si="5"/>
        <v>129D</v>
      </c>
      <c r="I158" s="59">
        <v>1</v>
      </c>
      <c r="J158" s="61"/>
    </row>
    <row r="159" spans="1:10" s="25" customFormat="1" ht="27" customHeight="1">
      <c r="A159" s="65">
        <f t="shared" si="4"/>
        <v>157</v>
      </c>
      <c r="B159" s="76" t="str">
        <f t="shared" si="6"/>
        <v>reserved_byte157</v>
      </c>
      <c r="C159" s="59">
        <v>1</v>
      </c>
      <c r="D159" s="59">
        <v>1</v>
      </c>
      <c r="E159" s="59">
        <v>0</v>
      </c>
      <c r="F159" s="59">
        <v>254</v>
      </c>
      <c r="G159" s="76" t="s">
        <v>59</v>
      </c>
      <c r="H159" s="64" t="str">
        <f t="shared" si="5"/>
        <v>129E</v>
      </c>
      <c r="I159" s="59">
        <v>1</v>
      </c>
      <c r="J159" s="61"/>
    </row>
    <row r="160" spans="1:10" s="25" customFormat="1" ht="27" customHeight="1">
      <c r="A160" s="65">
        <f t="shared" si="4"/>
        <v>158</v>
      </c>
      <c r="B160" s="76" t="str">
        <f t="shared" si="6"/>
        <v>reserved_byte158</v>
      </c>
      <c r="C160" s="59">
        <v>1</v>
      </c>
      <c r="D160" s="59">
        <v>1</v>
      </c>
      <c r="E160" s="59">
        <v>0</v>
      </c>
      <c r="F160" s="59">
        <v>254</v>
      </c>
      <c r="G160" s="76" t="s">
        <v>59</v>
      </c>
      <c r="H160" s="64" t="str">
        <f t="shared" si="5"/>
        <v>129F</v>
      </c>
      <c r="I160" s="59">
        <v>1</v>
      </c>
      <c r="J160" s="61"/>
    </row>
    <row r="161" spans="1:10" s="25" customFormat="1" ht="27" customHeight="1">
      <c r="A161" s="65">
        <f t="shared" si="4"/>
        <v>159</v>
      </c>
      <c r="B161" s="76" t="str">
        <f t="shared" si="6"/>
        <v>reserved_byte159</v>
      </c>
      <c r="C161" s="59">
        <v>1</v>
      </c>
      <c r="D161" s="59">
        <v>1</v>
      </c>
      <c r="E161" s="59">
        <v>0</v>
      </c>
      <c r="F161" s="59">
        <v>254</v>
      </c>
      <c r="G161" s="76" t="s">
        <v>59</v>
      </c>
      <c r="H161" s="64" t="str">
        <f t="shared" si="5"/>
        <v>12A0</v>
      </c>
      <c r="I161" s="59">
        <v>1</v>
      </c>
      <c r="J161" s="61"/>
    </row>
    <row r="162" spans="1:10" s="25" customFormat="1" ht="27" customHeight="1">
      <c r="A162" s="65">
        <f t="shared" si="4"/>
        <v>160</v>
      </c>
      <c r="B162" s="76" t="str">
        <f t="shared" si="6"/>
        <v>reserved_byte160</v>
      </c>
      <c r="C162" s="59">
        <v>1</v>
      </c>
      <c r="D162" s="59">
        <v>1</v>
      </c>
      <c r="E162" s="59">
        <v>0</v>
      </c>
      <c r="F162" s="59">
        <v>254</v>
      </c>
      <c r="G162" s="76" t="s">
        <v>59</v>
      </c>
      <c r="H162" s="64" t="str">
        <f t="shared" si="5"/>
        <v>12A1</v>
      </c>
      <c r="I162" s="59">
        <v>1</v>
      </c>
      <c r="J162" s="61"/>
    </row>
    <row r="163" spans="1:10" s="25" customFormat="1" ht="27" customHeight="1">
      <c r="A163" s="65">
        <f t="shared" si="4"/>
        <v>161</v>
      </c>
      <c r="B163" s="76" t="str">
        <f t="shared" si="6"/>
        <v>reserved_byte161</v>
      </c>
      <c r="C163" s="59">
        <v>1</v>
      </c>
      <c r="D163" s="59">
        <v>1</v>
      </c>
      <c r="E163" s="59">
        <v>0</v>
      </c>
      <c r="F163" s="59">
        <v>254</v>
      </c>
      <c r="G163" s="76" t="s">
        <v>59</v>
      </c>
      <c r="H163" s="64" t="str">
        <f t="shared" si="5"/>
        <v>12A2</v>
      </c>
      <c r="I163" s="59">
        <v>1</v>
      </c>
      <c r="J163" s="61"/>
    </row>
    <row r="164" spans="1:10" s="25" customFormat="1" ht="27" customHeight="1">
      <c r="A164" s="65">
        <f t="shared" si="4"/>
        <v>162</v>
      </c>
      <c r="B164" s="76" t="str">
        <f t="shared" si="6"/>
        <v>reserved_byte162</v>
      </c>
      <c r="C164" s="59">
        <v>1</v>
      </c>
      <c r="D164" s="59">
        <v>1</v>
      </c>
      <c r="E164" s="59">
        <v>0</v>
      </c>
      <c r="F164" s="59">
        <v>254</v>
      </c>
      <c r="G164" s="76" t="s">
        <v>59</v>
      </c>
      <c r="H164" s="64" t="str">
        <f t="shared" si="5"/>
        <v>12A3</v>
      </c>
      <c r="I164" s="59">
        <v>1</v>
      </c>
      <c r="J164" s="61"/>
    </row>
    <row r="165" spans="1:10" s="25" customFormat="1" ht="27" customHeight="1">
      <c r="A165" s="65">
        <f t="shared" si="4"/>
        <v>163</v>
      </c>
      <c r="B165" s="76" t="str">
        <f t="shared" si="6"/>
        <v>reserved_byte163</v>
      </c>
      <c r="C165" s="59">
        <v>1</v>
      </c>
      <c r="D165" s="59">
        <v>1</v>
      </c>
      <c r="E165" s="59">
        <v>0</v>
      </c>
      <c r="F165" s="59">
        <v>254</v>
      </c>
      <c r="G165" s="76" t="s">
        <v>59</v>
      </c>
      <c r="H165" s="64" t="str">
        <f t="shared" si="5"/>
        <v>12A4</v>
      </c>
      <c r="I165" s="59">
        <v>1</v>
      </c>
      <c r="J165" s="61"/>
    </row>
    <row r="166" spans="1:10" s="25" customFormat="1" ht="27" customHeight="1">
      <c r="A166" s="65">
        <f t="shared" si="4"/>
        <v>164</v>
      </c>
      <c r="B166" s="76" t="str">
        <f t="shared" si="6"/>
        <v>reserved_byte164</v>
      </c>
      <c r="C166" s="59">
        <v>1</v>
      </c>
      <c r="D166" s="59">
        <v>1</v>
      </c>
      <c r="E166" s="59">
        <v>0</v>
      </c>
      <c r="F166" s="59">
        <v>254</v>
      </c>
      <c r="G166" s="76" t="s">
        <v>59</v>
      </c>
      <c r="H166" s="64" t="str">
        <f t="shared" si="5"/>
        <v>12A5</v>
      </c>
      <c r="I166" s="59">
        <v>1</v>
      </c>
      <c r="J166" s="61"/>
    </row>
    <row r="167" spans="1:10" s="25" customFormat="1" ht="27" customHeight="1">
      <c r="A167" s="65">
        <f t="shared" si="4"/>
        <v>165</v>
      </c>
      <c r="B167" s="76" t="str">
        <f t="shared" si="6"/>
        <v>reserved_byte165</v>
      </c>
      <c r="C167" s="59">
        <v>1</v>
      </c>
      <c r="D167" s="59">
        <v>1</v>
      </c>
      <c r="E167" s="59">
        <v>0</v>
      </c>
      <c r="F167" s="59">
        <v>254</v>
      </c>
      <c r="G167" s="76" t="s">
        <v>59</v>
      </c>
      <c r="H167" s="64" t="str">
        <f t="shared" si="5"/>
        <v>12A6</v>
      </c>
      <c r="I167" s="59">
        <v>1</v>
      </c>
      <c r="J167" s="61"/>
    </row>
    <row r="168" spans="1:10" s="25" customFormat="1" ht="27" customHeight="1">
      <c r="A168" s="65">
        <f t="shared" si="4"/>
        <v>166</v>
      </c>
      <c r="B168" s="76" t="str">
        <f t="shared" si="6"/>
        <v>reserved_byte166</v>
      </c>
      <c r="C168" s="59">
        <v>1</v>
      </c>
      <c r="D168" s="59">
        <v>1</v>
      </c>
      <c r="E168" s="59">
        <v>0</v>
      </c>
      <c r="F168" s="59">
        <v>254</v>
      </c>
      <c r="G168" s="76" t="s">
        <v>59</v>
      </c>
      <c r="H168" s="64" t="str">
        <f t="shared" si="5"/>
        <v>12A7</v>
      </c>
      <c r="I168" s="59">
        <v>1</v>
      </c>
      <c r="J168" s="61"/>
    </row>
    <row r="169" spans="1:10" s="25" customFormat="1" ht="27" customHeight="1">
      <c r="A169" s="65">
        <f t="shared" si="4"/>
        <v>167</v>
      </c>
      <c r="B169" s="76" t="str">
        <f t="shared" si="6"/>
        <v>reserved_byte167</v>
      </c>
      <c r="C169" s="59">
        <v>1</v>
      </c>
      <c r="D169" s="59">
        <v>1</v>
      </c>
      <c r="E169" s="59">
        <v>0</v>
      </c>
      <c r="F169" s="59">
        <v>254</v>
      </c>
      <c r="G169" s="76" t="s">
        <v>59</v>
      </c>
      <c r="H169" s="64" t="str">
        <f t="shared" si="5"/>
        <v>12A8</v>
      </c>
      <c r="I169" s="59">
        <v>1</v>
      </c>
      <c r="J169" s="61"/>
    </row>
    <row r="170" spans="1:10" s="25" customFormat="1" ht="27" customHeight="1">
      <c r="A170" s="65">
        <f t="shared" si="4"/>
        <v>168</v>
      </c>
      <c r="B170" s="76" t="str">
        <f t="shared" si="6"/>
        <v>reserved_byte168</v>
      </c>
      <c r="C170" s="59">
        <v>1</v>
      </c>
      <c r="D170" s="59">
        <v>1</v>
      </c>
      <c r="E170" s="59">
        <v>0</v>
      </c>
      <c r="F170" s="59">
        <v>254</v>
      </c>
      <c r="G170" s="76" t="s">
        <v>59</v>
      </c>
      <c r="H170" s="64" t="str">
        <f t="shared" si="5"/>
        <v>12A9</v>
      </c>
      <c r="I170" s="59">
        <v>1</v>
      </c>
      <c r="J170" s="61"/>
    </row>
    <row r="171" spans="1:10" s="25" customFormat="1" ht="27" customHeight="1">
      <c r="A171" s="65">
        <f t="shared" si="4"/>
        <v>169</v>
      </c>
      <c r="B171" s="76" t="str">
        <f t="shared" si="6"/>
        <v>reserved_byte169</v>
      </c>
      <c r="C171" s="59">
        <v>1</v>
      </c>
      <c r="D171" s="59">
        <v>1</v>
      </c>
      <c r="E171" s="59">
        <v>0</v>
      </c>
      <c r="F171" s="59">
        <v>254</v>
      </c>
      <c r="G171" s="76" t="s">
        <v>59</v>
      </c>
      <c r="H171" s="64" t="str">
        <f t="shared" si="5"/>
        <v>12AA</v>
      </c>
      <c r="I171" s="59">
        <v>1</v>
      </c>
      <c r="J171" s="61"/>
    </row>
    <row r="172" spans="1:10" s="25" customFormat="1" ht="27" customHeight="1">
      <c r="A172" s="65">
        <f t="shared" si="4"/>
        <v>170</v>
      </c>
      <c r="B172" s="76" t="str">
        <f t="shared" si="6"/>
        <v>reserved_byte170</v>
      </c>
      <c r="C172" s="59">
        <v>1</v>
      </c>
      <c r="D172" s="59">
        <v>1</v>
      </c>
      <c r="E172" s="59">
        <v>0</v>
      </c>
      <c r="F172" s="59">
        <v>254</v>
      </c>
      <c r="G172" s="76" t="s">
        <v>59</v>
      </c>
      <c r="H172" s="64" t="str">
        <f t="shared" si="5"/>
        <v>12AB</v>
      </c>
      <c r="I172" s="59">
        <v>1</v>
      </c>
      <c r="J172" s="61"/>
    </row>
    <row r="173" spans="1:10" s="25" customFormat="1" ht="27" customHeight="1">
      <c r="A173" s="65">
        <f t="shared" si="4"/>
        <v>171</v>
      </c>
      <c r="B173" s="76" t="str">
        <f t="shared" si="6"/>
        <v>reserved_byte171</v>
      </c>
      <c r="C173" s="59">
        <v>1</v>
      </c>
      <c r="D173" s="59">
        <v>1</v>
      </c>
      <c r="E173" s="59">
        <v>0</v>
      </c>
      <c r="F173" s="59">
        <v>254</v>
      </c>
      <c r="G173" s="76" t="s">
        <v>59</v>
      </c>
      <c r="H173" s="64" t="str">
        <f t="shared" si="5"/>
        <v>12AC</v>
      </c>
      <c r="I173" s="59">
        <v>1</v>
      </c>
      <c r="J173" s="61"/>
    </row>
    <row r="174" spans="1:10" s="25" customFormat="1" ht="27" customHeight="1">
      <c r="A174" s="65">
        <f t="shared" si="4"/>
        <v>172</v>
      </c>
      <c r="B174" s="76" t="str">
        <f t="shared" si="6"/>
        <v>reserved_byte172</v>
      </c>
      <c r="C174" s="59">
        <v>1</v>
      </c>
      <c r="D174" s="59">
        <v>1</v>
      </c>
      <c r="E174" s="59">
        <v>0</v>
      </c>
      <c r="F174" s="59">
        <v>254</v>
      </c>
      <c r="G174" s="76" t="s">
        <v>59</v>
      </c>
      <c r="H174" s="64" t="str">
        <f t="shared" si="5"/>
        <v>12AD</v>
      </c>
      <c r="I174" s="59">
        <v>1</v>
      </c>
      <c r="J174" s="61"/>
    </row>
    <row r="175" spans="1:10" s="25" customFormat="1" ht="27" customHeight="1">
      <c r="A175" s="65">
        <f t="shared" si="4"/>
        <v>173</v>
      </c>
      <c r="B175" s="76" t="str">
        <f t="shared" si="6"/>
        <v>reserved_byte173</v>
      </c>
      <c r="C175" s="59">
        <v>1</v>
      </c>
      <c r="D175" s="59">
        <v>1</v>
      </c>
      <c r="E175" s="59">
        <v>0</v>
      </c>
      <c r="F175" s="59">
        <v>254</v>
      </c>
      <c r="G175" s="76" t="s">
        <v>59</v>
      </c>
      <c r="H175" s="64" t="str">
        <f t="shared" si="5"/>
        <v>12AE</v>
      </c>
      <c r="I175" s="59">
        <v>1</v>
      </c>
      <c r="J175" s="61"/>
    </row>
    <row r="176" spans="1:10" s="25" customFormat="1" ht="27" customHeight="1">
      <c r="A176" s="65">
        <f t="shared" si="4"/>
        <v>174</v>
      </c>
      <c r="B176" s="76" t="str">
        <f t="shared" si="6"/>
        <v>reserved_byte174</v>
      </c>
      <c r="C176" s="59">
        <v>1</v>
      </c>
      <c r="D176" s="59">
        <v>1</v>
      </c>
      <c r="E176" s="59">
        <v>0</v>
      </c>
      <c r="F176" s="59">
        <v>254</v>
      </c>
      <c r="G176" s="76" t="s">
        <v>59</v>
      </c>
      <c r="H176" s="64" t="str">
        <f t="shared" si="5"/>
        <v>12AF</v>
      </c>
      <c r="I176" s="59">
        <v>1</v>
      </c>
      <c r="J176" s="61"/>
    </row>
    <row r="177" spans="1:10" s="25" customFormat="1" ht="27" customHeight="1">
      <c r="A177" s="65">
        <f t="shared" si="4"/>
        <v>175</v>
      </c>
      <c r="B177" s="76" t="str">
        <f t="shared" si="6"/>
        <v>reserved_byte175</v>
      </c>
      <c r="C177" s="59">
        <v>1</v>
      </c>
      <c r="D177" s="59">
        <v>1</v>
      </c>
      <c r="E177" s="59">
        <v>0</v>
      </c>
      <c r="F177" s="59">
        <v>254</v>
      </c>
      <c r="G177" s="76" t="s">
        <v>59</v>
      </c>
      <c r="H177" s="64" t="str">
        <f t="shared" si="5"/>
        <v>12B0</v>
      </c>
      <c r="I177" s="59">
        <v>1</v>
      </c>
      <c r="J177" s="61"/>
    </row>
    <row r="178" spans="1:10" s="25" customFormat="1" ht="27" customHeight="1">
      <c r="A178" s="65">
        <f t="shared" si="4"/>
        <v>176</v>
      </c>
      <c r="B178" s="76" t="str">
        <f t="shared" si="6"/>
        <v>reserved_byte176</v>
      </c>
      <c r="C178" s="59">
        <v>1</v>
      </c>
      <c r="D178" s="59">
        <v>1</v>
      </c>
      <c r="E178" s="59">
        <v>0</v>
      </c>
      <c r="F178" s="59">
        <v>254</v>
      </c>
      <c r="G178" s="76" t="s">
        <v>59</v>
      </c>
      <c r="H178" s="64" t="str">
        <f t="shared" si="5"/>
        <v>12B1</v>
      </c>
      <c r="I178" s="59">
        <v>1</v>
      </c>
      <c r="J178" s="61"/>
    </row>
    <row r="179" spans="1:10" s="25" customFormat="1" ht="27" customHeight="1">
      <c r="A179" s="65">
        <f t="shared" si="4"/>
        <v>177</v>
      </c>
      <c r="B179" s="76" t="str">
        <f t="shared" si="6"/>
        <v>reserved_byte177</v>
      </c>
      <c r="C179" s="59">
        <v>1</v>
      </c>
      <c r="D179" s="59">
        <v>1</v>
      </c>
      <c r="E179" s="59">
        <v>0</v>
      </c>
      <c r="F179" s="59">
        <v>254</v>
      </c>
      <c r="G179" s="76" t="s">
        <v>59</v>
      </c>
      <c r="H179" s="64" t="str">
        <f t="shared" si="5"/>
        <v>12B2</v>
      </c>
      <c r="I179" s="59">
        <v>1</v>
      </c>
      <c r="J179" s="61"/>
    </row>
    <row r="180" spans="1:10" s="25" customFormat="1" ht="27" customHeight="1">
      <c r="A180" s="65">
        <f t="shared" si="4"/>
        <v>178</v>
      </c>
      <c r="B180" s="76" t="str">
        <f t="shared" si="6"/>
        <v>reserved_byte178</v>
      </c>
      <c r="C180" s="59">
        <v>1</v>
      </c>
      <c r="D180" s="59">
        <v>1</v>
      </c>
      <c r="E180" s="59">
        <v>0</v>
      </c>
      <c r="F180" s="59">
        <v>254</v>
      </c>
      <c r="G180" s="76" t="s">
        <v>59</v>
      </c>
      <c r="H180" s="64" t="str">
        <f t="shared" si="5"/>
        <v>12B3</v>
      </c>
      <c r="I180" s="59">
        <v>1</v>
      </c>
      <c r="J180" s="61"/>
    </row>
    <row r="181" spans="1:10" s="25" customFormat="1" ht="27" customHeight="1">
      <c r="A181" s="65">
        <f t="shared" si="4"/>
        <v>179</v>
      </c>
      <c r="B181" s="76" t="str">
        <f t="shared" si="6"/>
        <v>reserved_byte179</v>
      </c>
      <c r="C181" s="59">
        <v>1</v>
      </c>
      <c r="D181" s="59">
        <v>1</v>
      </c>
      <c r="E181" s="59">
        <v>0</v>
      </c>
      <c r="F181" s="59">
        <v>254</v>
      </c>
      <c r="G181" s="76" t="s">
        <v>59</v>
      </c>
      <c r="H181" s="64" t="str">
        <f t="shared" si="5"/>
        <v>12B4</v>
      </c>
      <c r="I181" s="59">
        <v>1</v>
      </c>
      <c r="J181" s="61"/>
    </row>
    <row r="182" spans="1:10" s="25" customFormat="1" ht="27" customHeight="1">
      <c r="A182" s="65">
        <f t="shared" si="4"/>
        <v>180</v>
      </c>
      <c r="B182" s="76" t="str">
        <f t="shared" si="6"/>
        <v>reserved_byte180</v>
      </c>
      <c r="C182" s="59">
        <v>1</v>
      </c>
      <c r="D182" s="59">
        <v>1</v>
      </c>
      <c r="E182" s="59">
        <v>0</v>
      </c>
      <c r="F182" s="59">
        <v>254</v>
      </c>
      <c r="G182" s="76" t="s">
        <v>59</v>
      </c>
      <c r="H182" s="64" t="str">
        <f t="shared" si="5"/>
        <v>12B5</v>
      </c>
      <c r="I182" s="59">
        <v>1</v>
      </c>
      <c r="J182" s="61"/>
    </row>
    <row r="183" spans="1:10" s="25" customFormat="1" ht="27" customHeight="1">
      <c r="A183" s="65">
        <f t="shared" si="4"/>
        <v>181</v>
      </c>
      <c r="B183" s="76" t="str">
        <f t="shared" si="6"/>
        <v>reserved_byte181</v>
      </c>
      <c r="C183" s="59">
        <v>1</v>
      </c>
      <c r="D183" s="59">
        <v>1</v>
      </c>
      <c r="E183" s="59">
        <v>0</v>
      </c>
      <c r="F183" s="59">
        <v>254</v>
      </c>
      <c r="G183" s="76" t="s">
        <v>59</v>
      </c>
      <c r="H183" s="64" t="str">
        <f t="shared" si="5"/>
        <v>12B6</v>
      </c>
      <c r="I183" s="59">
        <v>1</v>
      </c>
      <c r="J183" s="61"/>
    </row>
    <row r="184" spans="1:10" s="25" customFormat="1" ht="27" customHeight="1">
      <c r="A184" s="65">
        <f t="shared" si="4"/>
        <v>182</v>
      </c>
      <c r="B184" s="76" t="str">
        <f t="shared" si="6"/>
        <v>reserved_byte182</v>
      </c>
      <c r="C184" s="59">
        <v>1</v>
      </c>
      <c r="D184" s="59">
        <v>1</v>
      </c>
      <c r="E184" s="59">
        <v>0</v>
      </c>
      <c r="F184" s="59">
        <v>254</v>
      </c>
      <c r="G184" s="76" t="s">
        <v>59</v>
      </c>
      <c r="H184" s="64" t="str">
        <f t="shared" si="5"/>
        <v>12B7</v>
      </c>
      <c r="I184" s="59">
        <v>1</v>
      </c>
      <c r="J184" s="61"/>
    </row>
    <row r="185" spans="1:10" s="25" customFormat="1" ht="27" customHeight="1">
      <c r="A185" s="65">
        <f t="shared" si="4"/>
        <v>183</v>
      </c>
      <c r="B185" s="76" t="str">
        <f t="shared" si="6"/>
        <v>reserved_byte183</v>
      </c>
      <c r="C185" s="59">
        <v>1</v>
      </c>
      <c r="D185" s="59">
        <v>1</v>
      </c>
      <c r="E185" s="59">
        <v>0</v>
      </c>
      <c r="F185" s="59">
        <v>254</v>
      </c>
      <c r="G185" s="76" t="s">
        <v>59</v>
      </c>
      <c r="H185" s="64" t="str">
        <f t="shared" si="5"/>
        <v>12B8</v>
      </c>
      <c r="I185" s="59">
        <v>1</v>
      </c>
      <c r="J185" s="61"/>
    </row>
    <row r="186" spans="1:10" s="25" customFormat="1" ht="27" customHeight="1">
      <c r="A186" s="65">
        <f t="shared" si="4"/>
        <v>184</v>
      </c>
      <c r="B186" s="76" t="str">
        <f t="shared" si="6"/>
        <v>reserved_byte184</v>
      </c>
      <c r="C186" s="59">
        <v>1</v>
      </c>
      <c r="D186" s="59">
        <v>1</v>
      </c>
      <c r="E186" s="59">
        <v>0</v>
      </c>
      <c r="F186" s="59">
        <v>254</v>
      </c>
      <c r="G186" s="76" t="s">
        <v>59</v>
      </c>
      <c r="H186" s="64" t="str">
        <f t="shared" si="5"/>
        <v>12B9</v>
      </c>
      <c r="I186" s="59">
        <v>1</v>
      </c>
      <c r="J186" s="61"/>
    </row>
    <row r="187" spans="1:10" s="25" customFormat="1" ht="27" customHeight="1">
      <c r="A187" s="65">
        <f t="shared" si="4"/>
        <v>185</v>
      </c>
      <c r="B187" s="76" t="str">
        <f t="shared" si="6"/>
        <v>reserved_byte185</v>
      </c>
      <c r="C187" s="59">
        <v>1</v>
      </c>
      <c r="D187" s="59">
        <v>1</v>
      </c>
      <c r="E187" s="59">
        <v>0</v>
      </c>
      <c r="F187" s="59">
        <v>254</v>
      </c>
      <c r="G187" s="76" t="s">
        <v>59</v>
      </c>
      <c r="H187" s="64" t="str">
        <f t="shared" si="5"/>
        <v>12BA</v>
      </c>
      <c r="I187" s="59">
        <v>1</v>
      </c>
      <c r="J187" s="61"/>
    </row>
    <row r="188" spans="1:10" s="25" customFormat="1" ht="27" customHeight="1">
      <c r="A188" s="65">
        <f t="shared" si="4"/>
        <v>186</v>
      </c>
      <c r="B188" s="76" t="str">
        <f t="shared" si="6"/>
        <v>reserved_byte186</v>
      </c>
      <c r="C188" s="59">
        <v>1</v>
      </c>
      <c r="D188" s="59">
        <v>1</v>
      </c>
      <c r="E188" s="59">
        <v>0</v>
      </c>
      <c r="F188" s="59">
        <v>254</v>
      </c>
      <c r="G188" s="76" t="s">
        <v>59</v>
      </c>
      <c r="H188" s="64" t="str">
        <f t="shared" si="5"/>
        <v>12BB</v>
      </c>
      <c r="I188" s="59">
        <v>1</v>
      </c>
      <c r="J188" s="61"/>
    </row>
    <row r="189" spans="1:10" s="25" customFormat="1" ht="27" customHeight="1">
      <c r="A189" s="65">
        <f t="shared" si="4"/>
        <v>187</v>
      </c>
      <c r="B189" s="76" t="str">
        <f t="shared" ref="B189:B193" si="7">"reserved_byte" &amp;TEXT(A189,0)</f>
        <v>reserved_byte187</v>
      </c>
      <c r="C189" s="59">
        <v>1</v>
      </c>
      <c r="D189" s="59">
        <v>1</v>
      </c>
      <c r="E189" s="59">
        <v>0</v>
      </c>
      <c r="F189" s="59">
        <v>254</v>
      </c>
      <c r="G189" s="76" t="s">
        <v>59</v>
      </c>
      <c r="H189" s="64" t="str">
        <f t="shared" si="5"/>
        <v>12BC</v>
      </c>
      <c r="I189" s="59">
        <v>1</v>
      </c>
      <c r="J189" s="61"/>
    </row>
    <row r="190" spans="1:10" s="25" customFormat="1" ht="27" customHeight="1">
      <c r="A190" s="65">
        <f t="shared" si="4"/>
        <v>188</v>
      </c>
      <c r="B190" s="76" t="str">
        <f t="shared" si="7"/>
        <v>reserved_byte188</v>
      </c>
      <c r="C190" s="59">
        <v>1</v>
      </c>
      <c r="D190" s="59">
        <v>1</v>
      </c>
      <c r="E190" s="59">
        <v>0</v>
      </c>
      <c r="F190" s="59">
        <v>254</v>
      </c>
      <c r="G190" s="76" t="s">
        <v>59</v>
      </c>
      <c r="H190" s="64" t="str">
        <f t="shared" si="5"/>
        <v>12BD</v>
      </c>
      <c r="I190" s="59">
        <v>1</v>
      </c>
      <c r="J190" s="61"/>
    </row>
    <row r="191" spans="1:10" s="25" customFormat="1" ht="27" customHeight="1">
      <c r="A191" s="65">
        <f t="shared" si="4"/>
        <v>189</v>
      </c>
      <c r="B191" s="76" t="str">
        <f t="shared" si="7"/>
        <v>reserved_byte189</v>
      </c>
      <c r="C191" s="59">
        <v>1</v>
      </c>
      <c r="D191" s="59">
        <v>1</v>
      </c>
      <c r="E191" s="59">
        <v>0</v>
      </c>
      <c r="F191" s="59">
        <v>254</v>
      </c>
      <c r="G191" s="76" t="s">
        <v>59</v>
      </c>
      <c r="H191" s="64" t="str">
        <f t="shared" si="5"/>
        <v>12BE</v>
      </c>
      <c r="I191" s="59">
        <v>1</v>
      </c>
      <c r="J191" s="61"/>
    </row>
    <row r="192" spans="1:10" s="25" customFormat="1" ht="27" customHeight="1">
      <c r="A192" s="65">
        <f t="shared" si="4"/>
        <v>190</v>
      </c>
      <c r="B192" s="76" t="str">
        <f t="shared" si="7"/>
        <v>reserved_byte190</v>
      </c>
      <c r="C192" s="59">
        <v>1</v>
      </c>
      <c r="D192" s="59">
        <v>1</v>
      </c>
      <c r="E192" s="59">
        <v>0</v>
      </c>
      <c r="F192" s="59">
        <v>254</v>
      </c>
      <c r="G192" s="76" t="s">
        <v>59</v>
      </c>
      <c r="H192" s="64" t="str">
        <f t="shared" si="5"/>
        <v>12BF</v>
      </c>
      <c r="I192" s="59">
        <v>1</v>
      </c>
      <c r="J192" s="61"/>
    </row>
    <row r="193" spans="1:10" s="25" customFormat="1" ht="27" customHeight="1">
      <c r="A193" s="65">
        <f t="shared" si="4"/>
        <v>191</v>
      </c>
      <c r="B193" s="76" t="str">
        <f t="shared" si="7"/>
        <v>reserved_byte191</v>
      </c>
      <c r="C193" s="59">
        <v>1</v>
      </c>
      <c r="D193" s="59">
        <v>1</v>
      </c>
      <c r="E193" s="59">
        <v>0</v>
      </c>
      <c r="F193" s="59">
        <v>254</v>
      </c>
      <c r="G193" s="76" t="s">
        <v>59</v>
      </c>
      <c r="H193" s="64" t="str">
        <f t="shared" si="5"/>
        <v>12C0</v>
      </c>
      <c r="I193" s="59">
        <v>1</v>
      </c>
      <c r="J193" s="61"/>
    </row>
    <row r="194" spans="1:10" s="25" customFormat="1" ht="27" customHeight="1">
      <c r="A194" s="65">
        <f t="shared" si="4"/>
        <v>192</v>
      </c>
      <c r="B194" s="76" t="str">
        <f t="shared" ref="B194:B221" si="8">"reserved_byte" &amp;TEXT(A194,0)</f>
        <v>reserved_byte192</v>
      </c>
      <c r="C194" s="59">
        <v>1</v>
      </c>
      <c r="D194" s="59">
        <v>1</v>
      </c>
      <c r="E194" s="59">
        <v>0</v>
      </c>
      <c r="F194" s="59">
        <v>254</v>
      </c>
      <c r="G194" s="76" t="s">
        <v>59</v>
      </c>
      <c r="H194" s="64" t="str">
        <f t="shared" si="5"/>
        <v>12C1</v>
      </c>
      <c r="I194" s="59">
        <v>1</v>
      </c>
      <c r="J194" s="61"/>
    </row>
    <row r="195" spans="1:10" s="25" customFormat="1" ht="27" customHeight="1">
      <c r="A195" s="65">
        <f t="shared" ref="A195:A221" si="9">A194+1</f>
        <v>193</v>
      </c>
      <c r="B195" s="76" t="str">
        <f t="shared" si="8"/>
        <v>reserved_byte193</v>
      </c>
      <c r="C195" s="59">
        <v>1</v>
      </c>
      <c r="D195" s="59">
        <v>1</v>
      </c>
      <c r="E195" s="59">
        <v>0</v>
      </c>
      <c r="F195" s="59">
        <v>254</v>
      </c>
      <c r="G195" s="76" t="s">
        <v>59</v>
      </c>
      <c r="H195" s="64" t="str">
        <f t="shared" ref="H195:H221" si="10">DEC2HEX((HEX2DEC(H194)+1),4)</f>
        <v>12C2</v>
      </c>
      <c r="I195" s="59">
        <v>1</v>
      </c>
      <c r="J195" s="61"/>
    </row>
    <row r="196" spans="1:10" s="25" customFormat="1" ht="27" customHeight="1">
      <c r="A196" s="65">
        <f t="shared" si="9"/>
        <v>194</v>
      </c>
      <c r="B196" s="76" t="str">
        <f t="shared" si="8"/>
        <v>reserved_byte194</v>
      </c>
      <c r="C196" s="59">
        <v>1</v>
      </c>
      <c r="D196" s="59">
        <v>1</v>
      </c>
      <c r="E196" s="59">
        <v>0</v>
      </c>
      <c r="F196" s="59">
        <v>254</v>
      </c>
      <c r="G196" s="76" t="s">
        <v>59</v>
      </c>
      <c r="H196" s="64" t="str">
        <f t="shared" si="10"/>
        <v>12C3</v>
      </c>
      <c r="I196" s="59">
        <v>1</v>
      </c>
      <c r="J196" s="61"/>
    </row>
    <row r="197" spans="1:10" s="25" customFormat="1" ht="27" customHeight="1">
      <c r="A197" s="65">
        <f t="shared" si="9"/>
        <v>195</v>
      </c>
      <c r="B197" s="76" t="str">
        <f t="shared" si="8"/>
        <v>reserved_byte195</v>
      </c>
      <c r="C197" s="59">
        <v>1</v>
      </c>
      <c r="D197" s="59">
        <v>1</v>
      </c>
      <c r="E197" s="59">
        <v>0</v>
      </c>
      <c r="F197" s="59">
        <v>254</v>
      </c>
      <c r="G197" s="76" t="s">
        <v>59</v>
      </c>
      <c r="H197" s="64" t="str">
        <f t="shared" si="10"/>
        <v>12C4</v>
      </c>
      <c r="I197" s="59">
        <v>1</v>
      </c>
      <c r="J197" s="61"/>
    </row>
    <row r="198" spans="1:10" s="25" customFormat="1" ht="27" customHeight="1">
      <c r="A198" s="65">
        <f t="shared" si="9"/>
        <v>196</v>
      </c>
      <c r="B198" s="76" t="str">
        <f t="shared" si="8"/>
        <v>reserved_byte196</v>
      </c>
      <c r="C198" s="59">
        <v>1</v>
      </c>
      <c r="D198" s="59">
        <v>1</v>
      </c>
      <c r="E198" s="59">
        <v>0</v>
      </c>
      <c r="F198" s="59">
        <v>254</v>
      </c>
      <c r="G198" s="76" t="s">
        <v>59</v>
      </c>
      <c r="H198" s="64" t="str">
        <f t="shared" si="10"/>
        <v>12C5</v>
      </c>
      <c r="I198" s="59">
        <v>1</v>
      </c>
      <c r="J198" s="61"/>
    </row>
    <row r="199" spans="1:10" s="25" customFormat="1" ht="27" customHeight="1">
      <c r="A199" s="65">
        <f t="shared" si="9"/>
        <v>197</v>
      </c>
      <c r="B199" s="76" t="str">
        <f t="shared" si="8"/>
        <v>reserved_byte197</v>
      </c>
      <c r="C199" s="59">
        <v>1</v>
      </c>
      <c r="D199" s="59">
        <v>1</v>
      </c>
      <c r="E199" s="59">
        <v>0</v>
      </c>
      <c r="F199" s="59">
        <v>254</v>
      </c>
      <c r="G199" s="76" t="s">
        <v>59</v>
      </c>
      <c r="H199" s="64" t="str">
        <f t="shared" si="10"/>
        <v>12C6</v>
      </c>
      <c r="I199" s="59">
        <v>1</v>
      </c>
      <c r="J199" s="61"/>
    </row>
    <row r="200" spans="1:10" s="25" customFormat="1" ht="27" customHeight="1">
      <c r="A200" s="65">
        <f t="shared" si="9"/>
        <v>198</v>
      </c>
      <c r="B200" s="76" t="str">
        <f t="shared" si="8"/>
        <v>reserved_byte198</v>
      </c>
      <c r="C200" s="59">
        <v>1</v>
      </c>
      <c r="D200" s="59">
        <v>1</v>
      </c>
      <c r="E200" s="59">
        <v>0</v>
      </c>
      <c r="F200" s="59">
        <v>254</v>
      </c>
      <c r="G200" s="76" t="s">
        <v>59</v>
      </c>
      <c r="H200" s="64" t="str">
        <f t="shared" si="10"/>
        <v>12C7</v>
      </c>
      <c r="I200" s="59">
        <v>1</v>
      </c>
      <c r="J200" s="61"/>
    </row>
    <row r="201" spans="1:10" s="25" customFormat="1" ht="27" customHeight="1">
      <c r="A201" s="65">
        <f t="shared" si="9"/>
        <v>199</v>
      </c>
      <c r="B201" s="76" t="str">
        <f t="shared" si="8"/>
        <v>reserved_byte199</v>
      </c>
      <c r="C201" s="59">
        <v>1</v>
      </c>
      <c r="D201" s="59">
        <v>1</v>
      </c>
      <c r="E201" s="59">
        <v>0</v>
      </c>
      <c r="F201" s="59">
        <v>254</v>
      </c>
      <c r="G201" s="76" t="s">
        <v>59</v>
      </c>
      <c r="H201" s="64" t="str">
        <f t="shared" si="10"/>
        <v>12C8</v>
      </c>
      <c r="I201" s="59">
        <v>1</v>
      </c>
      <c r="J201" s="61"/>
    </row>
    <row r="202" spans="1:10" s="25" customFormat="1" ht="27" customHeight="1">
      <c r="A202" s="65">
        <f t="shared" si="9"/>
        <v>200</v>
      </c>
      <c r="B202" s="76" t="str">
        <f t="shared" si="8"/>
        <v>reserved_byte200</v>
      </c>
      <c r="C202" s="59">
        <v>1</v>
      </c>
      <c r="D202" s="59">
        <v>1</v>
      </c>
      <c r="E202" s="59">
        <v>0</v>
      </c>
      <c r="F202" s="59">
        <v>254</v>
      </c>
      <c r="G202" s="76" t="s">
        <v>59</v>
      </c>
      <c r="H202" s="64" t="str">
        <f t="shared" si="10"/>
        <v>12C9</v>
      </c>
      <c r="I202" s="59">
        <v>1</v>
      </c>
      <c r="J202" s="61"/>
    </row>
    <row r="203" spans="1:10" s="25" customFormat="1" ht="27" customHeight="1">
      <c r="A203" s="65">
        <f t="shared" si="9"/>
        <v>201</v>
      </c>
      <c r="B203" s="76" t="str">
        <f t="shared" si="8"/>
        <v>reserved_byte201</v>
      </c>
      <c r="C203" s="59">
        <v>1</v>
      </c>
      <c r="D203" s="59">
        <v>1</v>
      </c>
      <c r="E203" s="59">
        <v>0</v>
      </c>
      <c r="F203" s="59">
        <v>254</v>
      </c>
      <c r="G203" s="76" t="s">
        <v>59</v>
      </c>
      <c r="H203" s="64" t="str">
        <f t="shared" si="10"/>
        <v>12CA</v>
      </c>
      <c r="I203" s="59">
        <v>1</v>
      </c>
      <c r="J203" s="61"/>
    </row>
    <row r="204" spans="1:10" s="25" customFormat="1" ht="27" customHeight="1">
      <c r="A204" s="65">
        <f t="shared" si="9"/>
        <v>202</v>
      </c>
      <c r="B204" s="76" t="str">
        <f t="shared" si="8"/>
        <v>reserved_byte202</v>
      </c>
      <c r="C204" s="59">
        <v>1</v>
      </c>
      <c r="D204" s="59">
        <v>1</v>
      </c>
      <c r="E204" s="59">
        <v>0</v>
      </c>
      <c r="F204" s="59">
        <v>254</v>
      </c>
      <c r="G204" s="76" t="s">
        <v>59</v>
      </c>
      <c r="H204" s="64" t="str">
        <f t="shared" si="10"/>
        <v>12CB</v>
      </c>
      <c r="I204" s="59">
        <v>1</v>
      </c>
      <c r="J204" s="61"/>
    </row>
    <row r="205" spans="1:10" s="25" customFormat="1" ht="27" customHeight="1">
      <c r="A205" s="65">
        <f t="shared" si="9"/>
        <v>203</v>
      </c>
      <c r="B205" s="76" t="str">
        <f t="shared" si="8"/>
        <v>reserved_byte203</v>
      </c>
      <c r="C205" s="59">
        <v>1</v>
      </c>
      <c r="D205" s="59">
        <v>1</v>
      </c>
      <c r="E205" s="59">
        <v>0</v>
      </c>
      <c r="F205" s="59">
        <v>254</v>
      </c>
      <c r="G205" s="76" t="s">
        <v>59</v>
      </c>
      <c r="H205" s="64" t="str">
        <f t="shared" si="10"/>
        <v>12CC</v>
      </c>
      <c r="I205" s="59">
        <v>1</v>
      </c>
      <c r="J205" s="61"/>
    </row>
    <row r="206" spans="1:10" s="25" customFormat="1" ht="27" customHeight="1">
      <c r="A206" s="65">
        <f t="shared" si="9"/>
        <v>204</v>
      </c>
      <c r="B206" s="76" t="str">
        <f t="shared" si="8"/>
        <v>reserved_byte204</v>
      </c>
      <c r="C206" s="59">
        <v>1</v>
      </c>
      <c r="D206" s="59">
        <v>1</v>
      </c>
      <c r="E206" s="59">
        <v>0</v>
      </c>
      <c r="F206" s="59">
        <v>254</v>
      </c>
      <c r="G206" s="76" t="s">
        <v>59</v>
      </c>
      <c r="H206" s="64" t="str">
        <f t="shared" si="10"/>
        <v>12CD</v>
      </c>
      <c r="I206" s="59">
        <v>1</v>
      </c>
      <c r="J206" s="61"/>
    </row>
    <row r="207" spans="1:10" s="25" customFormat="1" ht="27" customHeight="1">
      <c r="A207" s="65">
        <f t="shared" si="9"/>
        <v>205</v>
      </c>
      <c r="B207" s="76" t="str">
        <f t="shared" si="8"/>
        <v>reserved_byte205</v>
      </c>
      <c r="C207" s="59">
        <v>1</v>
      </c>
      <c r="D207" s="59">
        <v>1</v>
      </c>
      <c r="E207" s="59">
        <v>0</v>
      </c>
      <c r="F207" s="59">
        <v>254</v>
      </c>
      <c r="G207" s="76" t="s">
        <v>59</v>
      </c>
      <c r="H207" s="64" t="str">
        <f t="shared" si="10"/>
        <v>12CE</v>
      </c>
      <c r="I207" s="59">
        <v>1</v>
      </c>
      <c r="J207" s="61"/>
    </row>
    <row r="208" spans="1:10" s="25" customFormat="1" ht="27" customHeight="1">
      <c r="A208" s="65">
        <f t="shared" si="9"/>
        <v>206</v>
      </c>
      <c r="B208" s="76" t="str">
        <f t="shared" si="8"/>
        <v>reserved_byte206</v>
      </c>
      <c r="C208" s="59">
        <v>1</v>
      </c>
      <c r="D208" s="59">
        <v>1</v>
      </c>
      <c r="E208" s="59">
        <v>0</v>
      </c>
      <c r="F208" s="59">
        <v>254</v>
      </c>
      <c r="G208" s="76" t="s">
        <v>59</v>
      </c>
      <c r="H208" s="64" t="str">
        <f t="shared" si="10"/>
        <v>12CF</v>
      </c>
      <c r="I208" s="59">
        <v>1</v>
      </c>
      <c r="J208" s="61"/>
    </row>
    <row r="209" spans="1:10" s="25" customFormat="1" ht="27" customHeight="1">
      <c r="A209" s="65">
        <f t="shared" si="9"/>
        <v>207</v>
      </c>
      <c r="B209" s="76" t="str">
        <f t="shared" si="8"/>
        <v>reserved_byte207</v>
      </c>
      <c r="C209" s="59">
        <v>1</v>
      </c>
      <c r="D209" s="59">
        <v>1</v>
      </c>
      <c r="E209" s="59">
        <v>0</v>
      </c>
      <c r="F209" s="59">
        <v>254</v>
      </c>
      <c r="G209" s="76" t="s">
        <v>59</v>
      </c>
      <c r="H209" s="64" t="str">
        <f t="shared" si="10"/>
        <v>12D0</v>
      </c>
      <c r="I209" s="59">
        <v>1</v>
      </c>
      <c r="J209" s="61"/>
    </row>
    <row r="210" spans="1:10" s="25" customFormat="1" ht="27" customHeight="1">
      <c r="A210" s="65">
        <f t="shared" si="9"/>
        <v>208</v>
      </c>
      <c r="B210" s="76" t="str">
        <f t="shared" si="8"/>
        <v>reserved_byte208</v>
      </c>
      <c r="C210" s="59">
        <v>1</v>
      </c>
      <c r="D210" s="59">
        <v>1</v>
      </c>
      <c r="E210" s="59">
        <v>0</v>
      </c>
      <c r="F210" s="59">
        <v>254</v>
      </c>
      <c r="G210" s="76" t="s">
        <v>59</v>
      </c>
      <c r="H210" s="64" t="str">
        <f t="shared" si="10"/>
        <v>12D1</v>
      </c>
      <c r="I210" s="59">
        <v>1</v>
      </c>
      <c r="J210" s="61"/>
    </row>
    <row r="211" spans="1:10" s="25" customFormat="1" ht="27" customHeight="1">
      <c r="A211" s="65">
        <f t="shared" si="9"/>
        <v>209</v>
      </c>
      <c r="B211" s="76" t="str">
        <f t="shared" si="8"/>
        <v>reserved_byte209</v>
      </c>
      <c r="C211" s="59">
        <v>1</v>
      </c>
      <c r="D211" s="59">
        <v>1</v>
      </c>
      <c r="E211" s="59">
        <v>0</v>
      </c>
      <c r="F211" s="59">
        <v>254</v>
      </c>
      <c r="G211" s="76" t="s">
        <v>59</v>
      </c>
      <c r="H211" s="64" t="str">
        <f t="shared" si="10"/>
        <v>12D2</v>
      </c>
      <c r="I211" s="59">
        <v>1</v>
      </c>
      <c r="J211" s="61"/>
    </row>
    <row r="212" spans="1:10" s="25" customFormat="1" ht="27" customHeight="1">
      <c r="A212" s="65">
        <f t="shared" si="9"/>
        <v>210</v>
      </c>
      <c r="B212" s="76" t="str">
        <f t="shared" si="8"/>
        <v>reserved_byte210</v>
      </c>
      <c r="C212" s="59">
        <v>1</v>
      </c>
      <c r="D212" s="59">
        <v>1</v>
      </c>
      <c r="E212" s="59">
        <v>0</v>
      </c>
      <c r="F212" s="59">
        <v>254</v>
      </c>
      <c r="G212" s="76" t="s">
        <v>59</v>
      </c>
      <c r="H212" s="64" t="str">
        <f t="shared" si="10"/>
        <v>12D3</v>
      </c>
      <c r="I212" s="59">
        <v>1</v>
      </c>
      <c r="J212" s="61"/>
    </row>
    <row r="213" spans="1:10" s="25" customFormat="1" ht="27" customHeight="1">
      <c r="A213" s="65">
        <f t="shared" si="9"/>
        <v>211</v>
      </c>
      <c r="B213" s="76" t="str">
        <f t="shared" si="8"/>
        <v>reserved_byte211</v>
      </c>
      <c r="C213" s="59">
        <v>1</v>
      </c>
      <c r="D213" s="59">
        <v>1</v>
      </c>
      <c r="E213" s="59">
        <v>0</v>
      </c>
      <c r="F213" s="59">
        <v>254</v>
      </c>
      <c r="G213" s="76" t="s">
        <v>59</v>
      </c>
      <c r="H213" s="64" t="str">
        <f t="shared" si="10"/>
        <v>12D4</v>
      </c>
      <c r="I213" s="59">
        <v>1</v>
      </c>
      <c r="J213" s="61"/>
    </row>
    <row r="214" spans="1:10" s="25" customFormat="1" ht="27" customHeight="1">
      <c r="A214" s="65">
        <f t="shared" si="9"/>
        <v>212</v>
      </c>
      <c r="B214" s="76" t="str">
        <f t="shared" si="8"/>
        <v>reserved_byte212</v>
      </c>
      <c r="C214" s="59">
        <v>1</v>
      </c>
      <c r="D214" s="59">
        <v>1</v>
      </c>
      <c r="E214" s="59">
        <v>0</v>
      </c>
      <c r="F214" s="59">
        <v>254</v>
      </c>
      <c r="G214" s="76" t="s">
        <v>59</v>
      </c>
      <c r="H214" s="64" t="str">
        <f t="shared" si="10"/>
        <v>12D5</v>
      </c>
      <c r="I214" s="59">
        <v>1</v>
      </c>
      <c r="J214" s="61"/>
    </row>
    <row r="215" spans="1:10" s="25" customFormat="1" ht="27" customHeight="1">
      <c r="A215" s="65">
        <f t="shared" si="9"/>
        <v>213</v>
      </c>
      <c r="B215" s="76" t="str">
        <f t="shared" si="8"/>
        <v>reserved_byte213</v>
      </c>
      <c r="C215" s="59">
        <v>1</v>
      </c>
      <c r="D215" s="59">
        <v>1</v>
      </c>
      <c r="E215" s="59">
        <v>0</v>
      </c>
      <c r="F215" s="59">
        <v>254</v>
      </c>
      <c r="G215" s="76" t="s">
        <v>59</v>
      </c>
      <c r="H215" s="64" t="str">
        <f t="shared" si="10"/>
        <v>12D6</v>
      </c>
      <c r="I215" s="59">
        <v>1</v>
      </c>
      <c r="J215" s="61"/>
    </row>
    <row r="216" spans="1:10" s="25" customFormat="1" ht="27" customHeight="1">
      <c r="A216" s="65">
        <f t="shared" si="9"/>
        <v>214</v>
      </c>
      <c r="B216" s="76" t="str">
        <f t="shared" si="8"/>
        <v>reserved_byte214</v>
      </c>
      <c r="C216" s="59">
        <v>1</v>
      </c>
      <c r="D216" s="59">
        <v>1</v>
      </c>
      <c r="E216" s="59">
        <v>0</v>
      </c>
      <c r="F216" s="59">
        <v>254</v>
      </c>
      <c r="G216" s="76" t="s">
        <v>59</v>
      </c>
      <c r="H216" s="64" t="str">
        <f t="shared" si="10"/>
        <v>12D7</v>
      </c>
      <c r="I216" s="59">
        <v>1</v>
      </c>
      <c r="J216" s="61"/>
    </row>
    <row r="217" spans="1:10" s="25" customFormat="1" ht="27" customHeight="1">
      <c r="A217" s="65">
        <f t="shared" si="9"/>
        <v>215</v>
      </c>
      <c r="B217" s="76" t="str">
        <f t="shared" si="8"/>
        <v>reserved_byte215</v>
      </c>
      <c r="C217" s="59">
        <v>1</v>
      </c>
      <c r="D217" s="59">
        <v>1</v>
      </c>
      <c r="E217" s="59">
        <v>0</v>
      </c>
      <c r="F217" s="59">
        <v>254</v>
      </c>
      <c r="G217" s="76" t="s">
        <v>59</v>
      </c>
      <c r="H217" s="64" t="str">
        <f t="shared" si="10"/>
        <v>12D8</v>
      </c>
      <c r="I217" s="59">
        <v>1</v>
      </c>
      <c r="J217" s="61"/>
    </row>
    <row r="218" spans="1:10" s="25" customFormat="1" ht="27" customHeight="1">
      <c r="A218" s="65">
        <f t="shared" si="9"/>
        <v>216</v>
      </c>
      <c r="B218" s="76" t="str">
        <f t="shared" si="8"/>
        <v>reserved_byte216</v>
      </c>
      <c r="C218" s="59">
        <v>1</v>
      </c>
      <c r="D218" s="59">
        <v>1</v>
      </c>
      <c r="E218" s="59">
        <v>0</v>
      </c>
      <c r="F218" s="59">
        <v>254</v>
      </c>
      <c r="G218" s="76" t="s">
        <v>59</v>
      </c>
      <c r="H218" s="64" t="str">
        <f t="shared" si="10"/>
        <v>12D9</v>
      </c>
      <c r="I218" s="59">
        <v>1</v>
      </c>
      <c r="J218" s="61"/>
    </row>
    <row r="219" spans="1:10" s="25" customFormat="1" ht="27" customHeight="1">
      <c r="A219" s="65">
        <f t="shared" si="9"/>
        <v>217</v>
      </c>
      <c r="B219" s="76" t="str">
        <f t="shared" si="8"/>
        <v>reserved_byte217</v>
      </c>
      <c r="C219" s="59">
        <v>1</v>
      </c>
      <c r="D219" s="59">
        <v>1</v>
      </c>
      <c r="E219" s="59">
        <v>0</v>
      </c>
      <c r="F219" s="59">
        <v>254</v>
      </c>
      <c r="G219" s="76" t="s">
        <v>59</v>
      </c>
      <c r="H219" s="64" t="str">
        <f t="shared" si="10"/>
        <v>12DA</v>
      </c>
      <c r="I219" s="59">
        <v>1</v>
      </c>
      <c r="J219" s="61"/>
    </row>
    <row r="220" spans="1:10" s="25" customFormat="1" ht="27" customHeight="1">
      <c r="A220" s="65">
        <f t="shared" si="9"/>
        <v>218</v>
      </c>
      <c r="B220" s="76" t="str">
        <f t="shared" si="8"/>
        <v>reserved_byte218</v>
      </c>
      <c r="C220" s="59">
        <v>1</v>
      </c>
      <c r="D220" s="59">
        <v>1</v>
      </c>
      <c r="E220" s="59">
        <v>0</v>
      </c>
      <c r="F220" s="59">
        <v>254</v>
      </c>
      <c r="G220" s="76" t="s">
        <v>59</v>
      </c>
      <c r="H220" s="64" t="str">
        <f t="shared" si="10"/>
        <v>12DB</v>
      </c>
      <c r="I220" s="59">
        <v>1</v>
      </c>
      <c r="J220" s="61"/>
    </row>
    <row r="221" spans="1:10" s="25" customFormat="1" ht="27" customHeight="1">
      <c r="A221" s="65">
        <f t="shared" si="9"/>
        <v>219</v>
      </c>
      <c r="B221" s="76" t="str">
        <f t="shared" si="8"/>
        <v>reserved_byte219</v>
      </c>
      <c r="C221" s="59">
        <v>1</v>
      </c>
      <c r="D221" s="59">
        <v>1</v>
      </c>
      <c r="E221" s="59">
        <v>0</v>
      </c>
      <c r="F221" s="59">
        <v>254</v>
      </c>
      <c r="G221" s="76" t="s">
        <v>59</v>
      </c>
      <c r="H221" s="64" t="str">
        <f t="shared" si="10"/>
        <v>12DC</v>
      </c>
      <c r="I221" s="59">
        <v>1</v>
      </c>
      <c r="J221" s="61"/>
    </row>
  </sheetData>
  <autoFilter ref="A1:J221"/>
  <dataValidations count="3">
    <dataValidation type="decimal" operator="lessThan" allowBlank="1" showInputMessage="1" showErrorMessage="1" sqref="F2:F221">
      <formula1>255</formula1>
    </dataValidation>
    <dataValidation type="decimal" allowBlank="1" showInputMessage="1" showErrorMessage="1" sqref="C2:C1048576 D2:D41 D43:D221">
      <formula1>E2</formula1>
      <formula2>F2</formula2>
    </dataValidation>
    <dataValidation type="decimal" allowBlank="1" showInputMessage="1" showErrorMessage="1" sqref="D42">
      <formula1>E42</formula1>
      <formula2>F42</formula2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>
    <tabColor rgb="FFFF0000"/>
    <pageSetUpPr fitToPage="1"/>
  </sheetPr>
  <dimension ref="A1:J25"/>
  <sheetViews>
    <sheetView topLeftCell="A28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">
        <v>59</v>
      </c>
      <c r="C2" s="59">
        <v>255</v>
      </c>
      <c r="D2" s="60">
        <v>255</v>
      </c>
      <c r="E2" s="59">
        <v>0</v>
      </c>
      <c r="F2" s="59">
        <v>255</v>
      </c>
      <c r="G2" s="79" t="s">
        <v>397</v>
      </c>
      <c r="H2" s="63" t="s">
        <v>1220</v>
      </c>
      <c r="I2" s="59">
        <v>1</v>
      </c>
      <c r="J2" s="61"/>
    </row>
    <row r="3" spans="1:10" s="25" customFormat="1" ht="27" customHeight="1">
      <c r="A3" s="65">
        <f t="shared" ref="A3:A25" si="0">A2+1</f>
        <v>1</v>
      </c>
      <c r="B3" s="76" t="s">
        <v>59</v>
      </c>
      <c r="C3" s="59">
        <v>255</v>
      </c>
      <c r="D3" s="60">
        <v>255</v>
      </c>
      <c r="E3" s="59">
        <v>0</v>
      </c>
      <c r="F3" s="59">
        <v>255</v>
      </c>
      <c r="G3" s="79" t="s">
        <v>398</v>
      </c>
      <c r="H3" s="64" t="str">
        <f t="shared" ref="H3:H25" si="1">DEC2HEX((HEX2DEC(H2)+1),4)</f>
        <v>1F02</v>
      </c>
      <c r="I3" s="59">
        <v>1</v>
      </c>
      <c r="J3" s="61"/>
    </row>
    <row r="4" spans="1:10" s="25" customFormat="1" ht="27" customHeight="1">
      <c r="A4" s="65">
        <f t="shared" si="0"/>
        <v>2</v>
      </c>
      <c r="B4" s="76" t="s">
        <v>59</v>
      </c>
      <c r="C4" s="59">
        <v>255</v>
      </c>
      <c r="D4" s="60">
        <v>255</v>
      </c>
      <c r="E4" s="59">
        <v>0</v>
      </c>
      <c r="F4" s="59">
        <v>255</v>
      </c>
      <c r="G4" s="79" t="s">
        <v>399</v>
      </c>
      <c r="H4" s="64" t="str">
        <f t="shared" si="1"/>
        <v>1F03</v>
      </c>
      <c r="I4" s="59">
        <v>1</v>
      </c>
      <c r="J4" s="61"/>
    </row>
    <row r="5" spans="1:10" s="25" customFormat="1" ht="27" customHeight="1">
      <c r="A5" s="65">
        <f t="shared" si="0"/>
        <v>3</v>
      </c>
      <c r="B5" s="76" t="s">
        <v>59</v>
      </c>
      <c r="C5" s="59">
        <v>255</v>
      </c>
      <c r="D5" s="60">
        <v>255</v>
      </c>
      <c r="E5" s="59">
        <v>0</v>
      </c>
      <c r="F5" s="59">
        <v>255</v>
      </c>
      <c r="G5" s="79" t="s">
        <v>400</v>
      </c>
      <c r="H5" s="64" t="str">
        <f t="shared" si="1"/>
        <v>1F04</v>
      </c>
      <c r="I5" s="59">
        <v>1</v>
      </c>
      <c r="J5" s="61"/>
    </row>
    <row r="6" spans="1:10" s="25" customFormat="1" ht="27" customHeight="1">
      <c r="A6" s="65">
        <f t="shared" si="0"/>
        <v>4</v>
      </c>
      <c r="B6" s="76" t="s">
        <v>59</v>
      </c>
      <c r="C6" s="59">
        <v>255</v>
      </c>
      <c r="D6" s="60">
        <v>255</v>
      </c>
      <c r="E6" s="59">
        <v>0</v>
      </c>
      <c r="F6" s="59">
        <v>255</v>
      </c>
      <c r="G6" s="79" t="s">
        <v>401</v>
      </c>
      <c r="H6" s="64" t="str">
        <f t="shared" si="1"/>
        <v>1F05</v>
      </c>
      <c r="I6" s="59">
        <v>1</v>
      </c>
      <c r="J6" s="61"/>
    </row>
    <row r="7" spans="1:10" s="25" customFormat="1" ht="27" customHeight="1">
      <c r="A7" s="65">
        <f t="shared" si="0"/>
        <v>5</v>
      </c>
      <c r="B7" s="76" t="s">
        <v>59</v>
      </c>
      <c r="C7" s="59">
        <v>255</v>
      </c>
      <c r="D7" s="60">
        <v>255</v>
      </c>
      <c r="E7" s="59">
        <v>0</v>
      </c>
      <c r="F7" s="59">
        <v>255</v>
      </c>
      <c r="G7" s="79" t="s">
        <v>402</v>
      </c>
      <c r="H7" s="64" t="str">
        <f t="shared" si="1"/>
        <v>1F06</v>
      </c>
      <c r="I7" s="59">
        <v>1</v>
      </c>
      <c r="J7" s="61"/>
    </row>
    <row r="8" spans="1:10" s="25" customFormat="1" ht="27" customHeight="1">
      <c r="A8" s="65">
        <f t="shared" si="0"/>
        <v>6</v>
      </c>
      <c r="B8" s="76" t="s">
        <v>59</v>
      </c>
      <c r="C8" s="59">
        <v>255</v>
      </c>
      <c r="D8" s="60">
        <v>255</v>
      </c>
      <c r="E8" s="59">
        <v>0</v>
      </c>
      <c r="F8" s="59">
        <v>255</v>
      </c>
      <c r="G8" s="79" t="s">
        <v>403</v>
      </c>
      <c r="H8" s="64" t="str">
        <f t="shared" si="1"/>
        <v>1F07</v>
      </c>
      <c r="I8" s="59">
        <v>1</v>
      </c>
      <c r="J8" s="61"/>
    </row>
    <row r="9" spans="1:10" s="25" customFormat="1" ht="27" customHeight="1">
      <c r="A9" s="65">
        <f t="shared" si="0"/>
        <v>7</v>
      </c>
      <c r="B9" s="76" t="s">
        <v>59</v>
      </c>
      <c r="C9" s="59">
        <v>255</v>
      </c>
      <c r="D9" s="60">
        <v>255</v>
      </c>
      <c r="E9" s="59">
        <v>0</v>
      </c>
      <c r="F9" s="59">
        <v>255</v>
      </c>
      <c r="G9" s="79" t="s">
        <v>404</v>
      </c>
      <c r="H9" s="64" t="str">
        <f t="shared" si="1"/>
        <v>1F08</v>
      </c>
      <c r="I9" s="59">
        <v>1</v>
      </c>
      <c r="J9" s="61"/>
    </row>
    <row r="10" spans="1:10" s="25" customFormat="1" ht="27" customHeight="1">
      <c r="A10" s="65">
        <f t="shared" si="0"/>
        <v>8</v>
      </c>
      <c r="B10" s="76" t="s">
        <v>59</v>
      </c>
      <c r="C10" s="59">
        <v>255</v>
      </c>
      <c r="D10" s="60">
        <v>255</v>
      </c>
      <c r="E10" s="59">
        <v>0</v>
      </c>
      <c r="F10" s="59">
        <v>255</v>
      </c>
      <c r="G10" s="79" t="s">
        <v>405</v>
      </c>
      <c r="H10" s="64" t="str">
        <f t="shared" si="1"/>
        <v>1F09</v>
      </c>
      <c r="I10" s="59">
        <v>1</v>
      </c>
      <c r="J10" s="61"/>
    </row>
    <row r="11" spans="1:10" s="25" customFormat="1" ht="27" customHeight="1">
      <c r="A11" s="65">
        <f t="shared" si="0"/>
        <v>9</v>
      </c>
      <c r="B11" s="76" t="s">
        <v>59</v>
      </c>
      <c r="C11" s="59">
        <v>255</v>
      </c>
      <c r="D11" s="60">
        <v>255</v>
      </c>
      <c r="E11" s="59">
        <v>0</v>
      </c>
      <c r="F11" s="59">
        <v>255</v>
      </c>
      <c r="G11" s="79" t="s">
        <v>406</v>
      </c>
      <c r="H11" s="64" t="str">
        <f t="shared" si="1"/>
        <v>1F0A</v>
      </c>
      <c r="I11" s="59">
        <v>1</v>
      </c>
      <c r="J11" s="61"/>
    </row>
    <row r="12" spans="1:10" s="25" customFormat="1" ht="27" customHeight="1">
      <c r="A12" s="65">
        <f t="shared" si="0"/>
        <v>10</v>
      </c>
      <c r="B12" s="76" t="s">
        <v>59</v>
      </c>
      <c r="C12" s="59">
        <v>255</v>
      </c>
      <c r="D12" s="60">
        <v>255</v>
      </c>
      <c r="E12" s="59">
        <v>0</v>
      </c>
      <c r="F12" s="59">
        <v>255</v>
      </c>
      <c r="G12" s="79" t="s">
        <v>407</v>
      </c>
      <c r="H12" s="64" t="str">
        <f t="shared" si="1"/>
        <v>1F0B</v>
      </c>
      <c r="I12" s="59">
        <v>1</v>
      </c>
      <c r="J12" s="61"/>
    </row>
    <row r="13" spans="1:10" s="25" customFormat="1" ht="27" customHeight="1">
      <c r="A13" s="65">
        <f t="shared" si="0"/>
        <v>11</v>
      </c>
      <c r="B13" s="76" t="s">
        <v>59</v>
      </c>
      <c r="C13" s="59">
        <v>255</v>
      </c>
      <c r="D13" s="60">
        <v>255</v>
      </c>
      <c r="E13" s="59">
        <v>0</v>
      </c>
      <c r="F13" s="59">
        <v>255</v>
      </c>
      <c r="G13" s="79" t="s">
        <v>408</v>
      </c>
      <c r="H13" s="64" t="str">
        <f t="shared" si="1"/>
        <v>1F0C</v>
      </c>
      <c r="I13" s="59">
        <v>1</v>
      </c>
      <c r="J13" s="61"/>
    </row>
    <row r="14" spans="1:10" s="25" customFormat="1" ht="27" customHeight="1">
      <c r="A14" s="65">
        <f t="shared" si="0"/>
        <v>12</v>
      </c>
      <c r="B14" s="76" t="s">
        <v>59</v>
      </c>
      <c r="C14" s="59">
        <v>255</v>
      </c>
      <c r="D14" s="60">
        <v>255</v>
      </c>
      <c r="E14" s="59">
        <v>0</v>
      </c>
      <c r="F14" s="59">
        <v>255</v>
      </c>
      <c r="G14" s="79" t="s">
        <v>409</v>
      </c>
      <c r="H14" s="64" t="str">
        <f t="shared" si="1"/>
        <v>1F0D</v>
      </c>
      <c r="I14" s="59">
        <v>1</v>
      </c>
      <c r="J14" s="61"/>
    </row>
    <row r="15" spans="1:10" s="25" customFormat="1" ht="27" customHeight="1">
      <c r="A15" s="65">
        <f t="shared" si="0"/>
        <v>13</v>
      </c>
      <c r="B15" s="76" t="s">
        <v>59</v>
      </c>
      <c r="C15" s="59">
        <v>255</v>
      </c>
      <c r="D15" s="60">
        <v>255</v>
      </c>
      <c r="E15" s="59">
        <v>0</v>
      </c>
      <c r="F15" s="59">
        <v>255</v>
      </c>
      <c r="G15" s="79" t="s">
        <v>410</v>
      </c>
      <c r="H15" s="64" t="str">
        <f t="shared" si="1"/>
        <v>1F0E</v>
      </c>
      <c r="I15" s="59">
        <v>1</v>
      </c>
      <c r="J15" s="61"/>
    </row>
    <row r="16" spans="1:10" s="25" customFormat="1" ht="27" customHeight="1">
      <c r="A16" s="65">
        <f t="shared" si="0"/>
        <v>14</v>
      </c>
      <c r="B16" s="76" t="s">
        <v>59</v>
      </c>
      <c r="C16" s="59">
        <v>255</v>
      </c>
      <c r="D16" s="60">
        <v>255</v>
      </c>
      <c r="E16" s="59">
        <v>0</v>
      </c>
      <c r="F16" s="59">
        <v>255</v>
      </c>
      <c r="G16" s="79" t="s">
        <v>411</v>
      </c>
      <c r="H16" s="64" t="str">
        <f t="shared" si="1"/>
        <v>1F0F</v>
      </c>
      <c r="I16" s="59">
        <v>1</v>
      </c>
      <c r="J16" s="61"/>
    </row>
    <row r="17" spans="1:10" s="25" customFormat="1" ht="27" customHeight="1">
      <c r="A17" s="65">
        <f t="shared" si="0"/>
        <v>15</v>
      </c>
      <c r="B17" s="76" t="s">
        <v>59</v>
      </c>
      <c r="C17" s="59">
        <v>255</v>
      </c>
      <c r="D17" s="60">
        <v>255</v>
      </c>
      <c r="E17" s="59">
        <v>0</v>
      </c>
      <c r="F17" s="59">
        <v>255</v>
      </c>
      <c r="G17" s="79" t="s">
        <v>412</v>
      </c>
      <c r="H17" s="64" t="str">
        <f t="shared" si="1"/>
        <v>1F10</v>
      </c>
      <c r="I17" s="59">
        <v>1</v>
      </c>
      <c r="J17" s="61"/>
    </row>
    <row r="18" spans="1:10" s="25" customFormat="1" ht="27" customHeight="1">
      <c r="A18" s="65">
        <f t="shared" si="0"/>
        <v>16</v>
      </c>
      <c r="B18" s="76" t="s">
        <v>59</v>
      </c>
      <c r="C18" s="59">
        <v>255</v>
      </c>
      <c r="D18" s="60">
        <v>255</v>
      </c>
      <c r="E18" s="59">
        <v>0</v>
      </c>
      <c r="F18" s="59">
        <v>255</v>
      </c>
      <c r="G18" s="79" t="s">
        <v>413</v>
      </c>
      <c r="H18" s="64" t="str">
        <f t="shared" si="1"/>
        <v>1F11</v>
      </c>
      <c r="I18" s="59">
        <v>1</v>
      </c>
      <c r="J18" s="61"/>
    </row>
    <row r="19" spans="1:10" s="25" customFormat="1" ht="27" customHeight="1">
      <c r="A19" s="65">
        <f t="shared" si="0"/>
        <v>17</v>
      </c>
      <c r="B19" s="76" t="s">
        <v>59</v>
      </c>
      <c r="C19" s="59">
        <v>255</v>
      </c>
      <c r="D19" s="60">
        <v>255</v>
      </c>
      <c r="E19" s="59">
        <v>0</v>
      </c>
      <c r="F19" s="59">
        <v>255</v>
      </c>
      <c r="G19" s="79" t="s">
        <v>414</v>
      </c>
      <c r="H19" s="64" t="str">
        <f t="shared" si="1"/>
        <v>1F12</v>
      </c>
      <c r="I19" s="59">
        <v>1</v>
      </c>
      <c r="J19" s="61"/>
    </row>
    <row r="20" spans="1:10" s="25" customFormat="1" ht="27" customHeight="1">
      <c r="A20" s="65">
        <f t="shared" si="0"/>
        <v>18</v>
      </c>
      <c r="B20" s="76" t="s">
        <v>59</v>
      </c>
      <c r="C20" s="59">
        <v>255</v>
      </c>
      <c r="D20" s="60">
        <v>255</v>
      </c>
      <c r="E20" s="59">
        <v>0</v>
      </c>
      <c r="F20" s="59">
        <v>255</v>
      </c>
      <c r="G20" s="79" t="s">
        <v>415</v>
      </c>
      <c r="H20" s="64" t="str">
        <f t="shared" si="1"/>
        <v>1F13</v>
      </c>
      <c r="I20" s="59">
        <v>1</v>
      </c>
      <c r="J20" s="61"/>
    </row>
    <row r="21" spans="1:10" s="25" customFormat="1" ht="27" customHeight="1">
      <c r="A21" s="65">
        <f t="shared" si="0"/>
        <v>19</v>
      </c>
      <c r="B21" s="76" t="s">
        <v>59</v>
      </c>
      <c r="C21" s="59">
        <v>255</v>
      </c>
      <c r="D21" s="60">
        <v>255</v>
      </c>
      <c r="E21" s="59">
        <v>0</v>
      </c>
      <c r="F21" s="59">
        <v>255</v>
      </c>
      <c r="G21" s="79" t="s">
        <v>416</v>
      </c>
      <c r="H21" s="64" t="str">
        <f t="shared" si="1"/>
        <v>1F14</v>
      </c>
      <c r="I21" s="59">
        <v>1</v>
      </c>
      <c r="J21" s="61"/>
    </row>
    <row r="22" spans="1:10" s="25" customFormat="1" ht="27" customHeight="1">
      <c r="A22" s="65">
        <f t="shared" si="0"/>
        <v>20</v>
      </c>
      <c r="B22" s="76" t="s">
        <v>59</v>
      </c>
      <c r="C22" s="59">
        <v>255</v>
      </c>
      <c r="D22" s="60">
        <v>255</v>
      </c>
      <c r="E22" s="59">
        <v>0</v>
      </c>
      <c r="F22" s="59">
        <v>255</v>
      </c>
      <c r="G22" s="76" t="s">
        <v>59</v>
      </c>
      <c r="H22" s="64" t="str">
        <f t="shared" si="1"/>
        <v>1F15</v>
      </c>
      <c r="I22" s="59">
        <v>1</v>
      </c>
      <c r="J22" s="61"/>
    </row>
    <row r="23" spans="1:10" s="25" customFormat="1" ht="27" customHeight="1">
      <c r="A23" s="65">
        <f t="shared" si="0"/>
        <v>21</v>
      </c>
      <c r="B23" s="76" t="s">
        <v>59</v>
      </c>
      <c r="C23" s="59">
        <v>255</v>
      </c>
      <c r="D23" s="60">
        <v>255</v>
      </c>
      <c r="E23" s="59">
        <v>0</v>
      </c>
      <c r="F23" s="59">
        <v>255</v>
      </c>
      <c r="G23" s="76" t="s">
        <v>59</v>
      </c>
      <c r="H23" s="64" t="str">
        <f t="shared" si="1"/>
        <v>1F16</v>
      </c>
      <c r="I23" s="59">
        <v>1</v>
      </c>
      <c r="J23" s="61"/>
    </row>
    <row r="24" spans="1:10" s="25" customFormat="1" ht="27" customHeight="1">
      <c r="A24" s="65">
        <f t="shared" si="0"/>
        <v>22</v>
      </c>
      <c r="B24" s="76" t="s">
        <v>59</v>
      </c>
      <c r="C24" s="59">
        <v>255</v>
      </c>
      <c r="D24" s="60">
        <v>255</v>
      </c>
      <c r="E24" s="59">
        <v>0</v>
      </c>
      <c r="F24" s="59">
        <v>255</v>
      </c>
      <c r="G24" s="76" t="s">
        <v>59</v>
      </c>
      <c r="H24" s="64" t="str">
        <f t="shared" si="1"/>
        <v>1F17</v>
      </c>
      <c r="I24" s="59">
        <v>1</v>
      </c>
      <c r="J24" s="61"/>
    </row>
    <row r="25" spans="1:10" s="25" customFormat="1" ht="27" customHeight="1">
      <c r="A25" s="65">
        <f t="shared" si="0"/>
        <v>23</v>
      </c>
      <c r="B25" s="76" t="s">
        <v>59</v>
      </c>
      <c r="C25" s="59">
        <v>255</v>
      </c>
      <c r="D25" s="60">
        <v>255</v>
      </c>
      <c r="E25" s="59">
        <v>0</v>
      </c>
      <c r="F25" s="59">
        <v>255</v>
      </c>
      <c r="G25" s="76" t="s">
        <v>59</v>
      </c>
      <c r="H25" s="64" t="str">
        <f t="shared" si="1"/>
        <v>1F18</v>
      </c>
      <c r="I25" s="59">
        <v>1</v>
      </c>
      <c r="J25" s="61"/>
    </row>
  </sheetData>
  <dataValidations count="3">
    <dataValidation type="decimal" allowBlank="1" showInputMessage="1" showErrorMessage="1" sqref="D2:D25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  <dataValidation type="decimal" operator="lessThanOrEqual" allowBlank="1" showInputMessage="1" showErrorMessage="1" sqref="F2:F25">
      <formula1>255</formula1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>
    <tabColor rgb="FFFF0000"/>
    <pageSetUpPr fitToPage="1"/>
  </sheetPr>
  <dimension ref="A1:G146"/>
  <sheetViews>
    <sheetView topLeftCell="A109" zoomScaleNormal="100" zoomScaleSheetLayoutView="50" workbookViewId="0">
      <selection activeCell="E141" sqref="E141"/>
    </sheetView>
  </sheetViews>
  <sheetFormatPr defaultColWidth="11.42578125" defaultRowHeight="12.75"/>
  <cols>
    <col min="1" max="1" width="12.7109375" style="131" bestFit="1" customWidth="1"/>
    <col min="2" max="2" width="38.5703125" style="112" bestFit="1" customWidth="1"/>
    <col min="3" max="4" width="9.7109375" style="122" customWidth="1"/>
    <col min="5" max="5" width="77.7109375" style="112" customWidth="1"/>
    <col min="6" max="6" width="9.7109375" style="122" customWidth="1"/>
    <col min="7" max="7" width="9.7109375" style="112" customWidth="1"/>
    <col min="8" max="8" width="10.28515625" style="112" bestFit="1" customWidth="1"/>
    <col min="9" max="16384" width="11.42578125" style="112"/>
  </cols>
  <sheetData>
    <row r="1" spans="1:7" ht="38.25">
      <c r="A1" s="156" t="s">
        <v>20</v>
      </c>
      <c r="B1" s="156" t="s">
        <v>64</v>
      </c>
      <c r="C1" s="156" t="s">
        <v>34</v>
      </c>
      <c r="D1" s="156" t="s">
        <v>35</v>
      </c>
      <c r="E1" s="156" t="s">
        <v>21</v>
      </c>
      <c r="F1" s="156" t="s">
        <v>4</v>
      </c>
      <c r="G1" s="156" t="s">
        <v>16</v>
      </c>
    </row>
    <row r="2" spans="1:7">
      <c r="A2" s="155">
        <v>0</v>
      </c>
      <c r="B2" s="147" t="str">
        <f>"Byte" &amp;A2&amp;" Name"</f>
        <v>Byte0 Name</v>
      </c>
      <c r="C2" s="146" t="str">
        <f>DEC2HEX(C3+C4*2+C5*4+C6*8+C7*16+C8*32+C9*64+C10*128)</f>
        <v>6F</v>
      </c>
      <c r="D2" s="146" t="str">
        <f>DEC2HEX(D3+D4*2+D5*4+D6*8+D7*16+D8*32+D9*64+D10*128)</f>
        <v>6F</v>
      </c>
      <c r="E2" s="154" t="str">
        <f>B2</f>
        <v>Byte0 Name</v>
      </c>
      <c r="F2" s="153" t="s">
        <v>90</v>
      </c>
      <c r="G2" s="137" t="s">
        <v>22</v>
      </c>
    </row>
    <row r="3" spans="1:7">
      <c r="A3" s="142"/>
      <c r="B3" s="152" t="s">
        <v>119</v>
      </c>
      <c r="C3" s="152">
        <v>1</v>
      </c>
      <c r="D3" s="152">
        <v>1</v>
      </c>
      <c r="E3" s="150" t="s">
        <v>1121</v>
      </c>
      <c r="F3" s="138"/>
      <c r="G3" s="137" t="s">
        <v>15</v>
      </c>
    </row>
    <row r="4" spans="1:7">
      <c r="A4" s="142"/>
      <c r="B4" s="152" t="s">
        <v>346</v>
      </c>
      <c r="C4" s="152">
        <v>1</v>
      </c>
      <c r="D4" s="152">
        <v>1</v>
      </c>
      <c r="E4" s="150" t="s">
        <v>1122</v>
      </c>
      <c r="F4" s="138"/>
      <c r="G4" s="137" t="s">
        <v>14</v>
      </c>
    </row>
    <row r="5" spans="1:7" ht="14.25">
      <c r="A5" s="142"/>
      <c r="B5" s="316" t="s">
        <v>2570</v>
      </c>
      <c r="C5" s="152">
        <v>1</v>
      </c>
      <c r="D5" s="152">
        <v>1</v>
      </c>
      <c r="E5" s="316" t="s">
        <v>2571</v>
      </c>
      <c r="F5" s="138"/>
      <c r="G5" s="137" t="s">
        <v>13</v>
      </c>
    </row>
    <row r="6" spans="1:7">
      <c r="A6" s="142"/>
      <c r="B6" s="152" t="s">
        <v>347</v>
      </c>
      <c r="C6" s="152">
        <v>1</v>
      </c>
      <c r="D6" s="152">
        <v>1</v>
      </c>
      <c r="E6" s="150" t="s">
        <v>1123</v>
      </c>
      <c r="F6" s="138"/>
      <c r="G6" s="137" t="s">
        <v>12</v>
      </c>
    </row>
    <row r="7" spans="1:7">
      <c r="A7" s="142"/>
      <c r="B7" s="152" t="s">
        <v>643</v>
      </c>
      <c r="C7" s="152">
        <v>0</v>
      </c>
      <c r="D7" s="152">
        <v>0</v>
      </c>
      <c r="E7" s="150" t="s">
        <v>1124</v>
      </c>
      <c r="F7" s="138"/>
      <c r="G7" s="137" t="s">
        <v>11</v>
      </c>
    </row>
    <row r="8" spans="1:7">
      <c r="A8" s="142"/>
      <c r="B8" s="152" t="s">
        <v>644</v>
      </c>
      <c r="C8" s="152">
        <v>1</v>
      </c>
      <c r="D8" s="152">
        <v>1</v>
      </c>
      <c r="E8" s="150" t="s">
        <v>1125</v>
      </c>
      <c r="F8" s="138"/>
      <c r="G8" s="137" t="s">
        <v>10</v>
      </c>
    </row>
    <row r="9" spans="1:7">
      <c r="A9" s="142"/>
      <c r="B9" s="140" t="s">
        <v>1207</v>
      </c>
      <c r="C9" s="152">
        <v>1</v>
      </c>
      <c r="D9" s="152">
        <v>1</v>
      </c>
      <c r="E9" s="150" t="s">
        <v>1207</v>
      </c>
      <c r="F9" s="138"/>
      <c r="G9" s="137" t="s">
        <v>8</v>
      </c>
    </row>
    <row r="10" spans="1:7" ht="13.5" thickBot="1">
      <c r="A10" s="136"/>
      <c r="B10" s="135" t="str">
        <f>"reserved_byte"&amp;A2&amp;"_bit_7"</f>
        <v>reserved_byte0_bit_7</v>
      </c>
      <c r="C10" s="132">
        <v>0</v>
      </c>
      <c r="D10" s="132">
        <v>0</v>
      </c>
      <c r="E10" s="149" t="s">
        <v>33</v>
      </c>
      <c r="F10" s="133"/>
      <c r="G10" s="132" t="s">
        <v>7</v>
      </c>
    </row>
    <row r="11" spans="1:7" ht="13.5" thickTop="1">
      <c r="A11" s="148">
        <f>A2+1</f>
        <v>1</v>
      </c>
      <c r="B11" s="147" t="str">
        <f>"Byte" &amp;A11&amp;" Name"</f>
        <v>Byte1 Name</v>
      </c>
      <c r="C11" s="146" t="str">
        <f>DEC2HEX(C12+C13*2+C14*4+C15*8+C16*16+C17*32+C18*64+C19*128)</f>
        <v>3D</v>
      </c>
      <c r="D11" s="146" t="str">
        <f>DEC2HEX(D12+D13*2+D14*4+D15*8+D16*16+D17*32+D18*64+D19*128)</f>
        <v>3D</v>
      </c>
      <c r="E11" s="151" t="str">
        <f>B11</f>
        <v>Byte1 Name</v>
      </c>
      <c r="F11" s="144" t="str">
        <f>DEC2HEX((HEX2DEC(F2)+1),4)</f>
        <v>0A02</v>
      </c>
      <c r="G11" s="143" t="s">
        <v>22</v>
      </c>
    </row>
    <row r="12" spans="1:7">
      <c r="A12" s="142"/>
      <c r="B12" s="152" t="s">
        <v>280</v>
      </c>
      <c r="C12" s="152">
        <v>1</v>
      </c>
      <c r="D12" s="152">
        <v>1</v>
      </c>
      <c r="E12" s="150" t="s">
        <v>1126</v>
      </c>
      <c r="F12" s="138"/>
      <c r="G12" s="137" t="s">
        <v>15</v>
      </c>
    </row>
    <row r="13" spans="1:7">
      <c r="A13" s="142"/>
      <c r="B13" s="152" t="s">
        <v>281</v>
      </c>
      <c r="C13" s="152">
        <v>0</v>
      </c>
      <c r="D13" s="152">
        <v>0</v>
      </c>
      <c r="E13" s="150" t="s">
        <v>1127</v>
      </c>
      <c r="F13" s="138"/>
      <c r="G13" s="137" t="s">
        <v>14</v>
      </c>
    </row>
    <row r="14" spans="1:7">
      <c r="A14" s="142"/>
      <c r="B14" s="152" t="s">
        <v>282</v>
      </c>
      <c r="C14" s="152">
        <v>1</v>
      </c>
      <c r="D14" s="152">
        <v>1</v>
      </c>
      <c r="E14" s="150" t="s">
        <v>1128</v>
      </c>
      <c r="F14" s="138"/>
      <c r="G14" s="137" t="s">
        <v>13</v>
      </c>
    </row>
    <row r="15" spans="1:7">
      <c r="A15" s="142"/>
      <c r="B15" s="152" t="s">
        <v>303</v>
      </c>
      <c r="C15" s="152">
        <v>1</v>
      </c>
      <c r="D15" s="152">
        <v>1</v>
      </c>
      <c r="E15" s="150" t="s">
        <v>1129</v>
      </c>
      <c r="F15" s="138"/>
      <c r="G15" s="137" t="s">
        <v>12</v>
      </c>
    </row>
    <row r="16" spans="1:7">
      <c r="A16" s="142"/>
      <c r="B16" s="152" t="s">
        <v>285</v>
      </c>
      <c r="C16" s="152">
        <v>1</v>
      </c>
      <c r="D16" s="152">
        <v>1</v>
      </c>
      <c r="E16" s="150" t="s">
        <v>1130</v>
      </c>
      <c r="F16" s="138"/>
      <c r="G16" s="137" t="s">
        <v>11</v>
      </c>
    </row>
    <row r="17" spans="1:7">
      <c r="A17" s="142"/>
      <c r="B17" s="152" t="s">
        <v>286</v>
      </c>
      <c r="C17" s="152">
        <v>1</v>
      </c>
      <c r="D17" s="152">
        <v>1</v>
      </c>
      <c r="E17" s="150" t="s">
        <v>1131</v>
      </c>
      <c r="F17" s="138"/>
      <c r="G17" s="137" t="s">
        <v>10</v>
      </c>
    </row>
    <row r="18" spans="1:7">
      <c r="A18" s="142"/>
      <c r="B18" s="152" t="s">
        <v>287</v>
      </c>
      <c r="C18" s="152">
        <v>0</v>
      </c>
      <c r="D18" s="152">
        <v>0</v>
      </c>
      <c r="E18" s="150" t="s">
        <v>1132</v>
      </c>
      <c r="F18" s="138"/>
      <c r="G18" s="137" t="s">
        <v>8</v>
      </c>
    </row>
    <row r="19" spans="1:7" ht="13.5" thickBot="1">
      <c r="A19" s="136"/>
      <c r="B19" s="135" t="str">
        <f>"reserved_byte"&amp;A11&amp;"_bit_7"</f>
        <v>reserved_byte1_bit_7</v>
      </c>
      <c r="C19" s="132">
        <v>0</v>
      </c>
      <c r="D19" s="132">
        <v>0</v>
      </c>
      <c r="E19" s="149" t="s">
        <v>33</v>
      </c>
      <c r="F19" s="133"/>
      <c r="G19" s="132" t="s">
        <v>7</v>
      </c>
    </row>
    <row r="20" spans="1:7" ht="13.5" thickTop="1">
      <c r="A20" s="148">
        <f>A11+1</f>
        <v>2</v>
      </c>
      <c r="B20" s="147" t="str">
        <f>"Byte" &amp;A20&amp;" Name"</f>
        <v>Byte2 Name</v>
      </c>
      <c r="C20" s="146" t="str">
        <f>DEC2HEX(C21+C22*2+C23*4+C24*8+C25*16+C26*32+C27*64+C28*128)</f>
        <v>4D</v>
      </c>
      <c r="D20" s="146" t="str">
        <f>DEC2HEX(D21+D22*2+D23*4+D24*8+D25*16+D26*32+D27*64+D28*128)</f>
        <v>4D</v>
      </c>
      <c r="E20" s="151" t="str">
        <f>B20</f>
        <v>Byte2 Name</v>
      </c>
      <c r="F20" s="144" t="str">
        <f>DEC2HEX((HEX2DEC(F11)+1),4)</f>
        <v>0A03</v>
      </c>
      <c r="G20" s="143" t="s">
        <v>22</v>
      </c>
    </row>
    <row r="21" spans="1:7">
      <c r="A21" s="142"/>
      <c r="B21" s="141" t="s">
        <v>288</v>
      </c>
      <c r="C21" s="140">
        <v>1</v>
      </c>
      <c r="D21" s="140">
        <v>1</v>
      </c>
      <c r="E21" s="150" t="s">
        <v>1133</v>
      </c>
      <c r="F21" s="138"/>
      <c r="G21" s="137" t="s">
        <v>15</v>
      </c>
    </row>
    <row r="22" spans="1:7">
      <c r="A22" s="142"/>
      <c r="B22" s="141" t="s">
        <v>289</v>
      </c>
      <c r="C22" s="140">
        <v>0</v>
      </c>
      <c r="D22" s="140">
        <v>0</v>
      </c>
      <c r="E22" s="150" t="s">
        <v>1134</v>
      </c>
      <c r="F22" s="138"/>
      <c r="G22" s="137" t="s">
        <v>14</v>
      </c>
    </row>
    <row r="23" spans="1:7">
      <c r="A23" s="142"/>
      <c r="B23" s="141" t="s">
        <v>290</v>
      </c>
      <c r="C23" s="140">
        <v>1</v>
      </c>
      <c r="D23" s="140">
        <v>1</v>
      </c>
      <c r="E23" s="150" t="s">
        <v>1135</v>
      </c>
      <c r="F23" s="138"/>
      <c r="G23" s="137" t="s">
        <v>13</v>
      </c>
    </row>
    <row r="24" spans="1:7">
      <c r="A24" s="142"/>
      <c r="B24" s="141" t="s">
        <v>291</v>
      </c>
      <c r="C24" s="140">
        <v>1</v>
      </c>
      <c r="D24" s="140">
        <v>1</v>
      </c>
      <c r="E24" s="150" t="s">
        <v>1136</v>
      </c>
      <c r="F24" s="138"/>
      <c r="G24" s="137" t="s">
        <v>12</v>
      </c>
    </row>
    <row r="25" spans="1:7">
      <c r="A25" s="142"/>
      <c r="B25" s="141" t="s">
        <v>292</v>
      </c>
      <c r="C25" s="140">
        <v>0</v>
      </c>
      <c r="D25" s="140">
        <v>0</v>
      </c>
      <c r="E25" s="150" t="s">
        <v>1137</v>
      </c>
      <c r="F25" s="138"/>
      <c r="G25" s="137" t="s">
        <v>11</v>
      </c>
    </row>
    <row r="26" spans="1:7">
      <c r="A26" s="142"/>
      <c r="B26" s="141" t="s">
        <v>293</v>
      </c>
      <c r="C26" s="140">
        <v>0</v>
      </c>
      <c r="D26" s="140">
        <v>0</v>
      </c>
      <c r="E26" s="150" t="s">
        <v>1138</v>
      </c>
      <c r="F26" s="138"/>
      <c r="G26" s="137" t="s">
        <v>10</v>
      </c>
    </row>
    <row r="27" spans="1:7">
      <c r="A27" s="142"/>
      <c r="B27" s="141" t="s">
        <v>294</v>
      </c>
      <c r="C27" s="140">
        <v>1</v>
      </c>
      <c r="D27" s="140">
        <v>1</v>
      </c>
      <c r="E27" s="150" t="s">
        <v>1139</v>
      </c>
      <c r="F27" s="138"/>
      <c r="G27" s="137" t="s">
        <v>8</v>
      </c>
    </row>
    <row r="28" spans="1:7" ht="13.5" thickBot="1">
      <c r="A28" s="136"/>
      <c r="B28" s="135" t="str">
        <f>"reserved_byte"&amp;A20&amp;"_bit_7"</f>
        <v>reserved_byte2_bit_7</v>
      </c>
      <c r="C28" s="132">
        <v>0</v>
      </c>
      <c r="D28" s="132">
        <v>0</v>
      </c>
      <c r="E28" s="149" t="s">
        <v>33</v>
      </c>
      <c r="F28" s="133"/>
      <c r="G28" s="132" t="s">
        <v>7</v>
      </c>
    </row>
    <row r="29" spans="1:7" ht="13.5" thickTop="1">
      <c r="A29" s="148">
        <f>A20+1</f>
        <v>3</v>
      </c>
      <c r="B29" s="147" t="str">
        <f>"Byte" &amp;A29&amp;" Name"</f>
        <v>Byte3 Name</v>
      </c>
      <c r="C29" s="146" t="str">
        <f>DEC2HEX(C30+C31*2+C32*4+C33*8+C34*16+C35*32+C36*64+C37*128)</f>
        <v>2F</v>
      </c>
      <c r="D29" s="146" t="str">
        <f>DEC2HEX(D30+D31*2+D32*4+D33*8+D34*16+D35*32+D36*64+D37*128)</f>
        <v>2F</v>
      </c>
      <c r="E29" s="151" t="str">
        <f>B29</f>
        <v>Byte3 Name</v>
      </c>
      <c r="F29" s="144" t="str">
        <f>DEC2HEX((HEX2DEC(F20)+1),4)</f>
        <v>0A04</v>
      </c>
      <c r="G29" s="143" t="s">
        <v>22</v>
      </c>
    </row>
    <row r="30" spans="1:7">
      <c r="A30" s="142"/>
      <c r="B30" s="141" t="s">
        <v>296</v>
      </c>
      <c r="C30" s="140">
        <v>1</v>
      </c>
      <c r="D30" s="140">
        <v>1</v>
      </c>
      <c r="E30" s="150" t="s">
        <v>1140</v>
      </c>
      <c r="F30" s="138"/>
      <c r="G30" s="137" t="s">
        <v>15</v>
      </c>
    </row>
    <row r="31" spans="1:7">
      <c r="A31" s="142"/>
      <c r="B31" s="141" t="s">
        <v>297</v>
      </c>
      <c r="C31" s="140">
        <v>1</v>
      </c>
      <c r="D31" s="140">
        <v>1</v>
      </c>
      <c r="E31" s="150" t="s">
        <v>1141</v>
      </c>
      <c r="F31" s="138"/>
      <c r="G31" s="137" t="s">
        <v>14</v>
      </c>
    </row>
    <row r="32" spans="1:7">
      <c r="A32" s="142"/>
      <c r="B32" s="141" t="s">
        <v>298</v>
      </c>
      <c r="C32" s="140">
        <v>1</v>
      </c>
      <c r="D32" s="140">
        <v>1</v>
      </c>
      <c r="E32" s="150" t="s">
        <v>1142</v>
      </c>
      <c r="F32" s="138"/>
      <c r="G32" s="137" t="s">
        <v>13</v>
      </c>
    </row>
    <row r="33" spans="1:7">
      <c r="A33" s="142"/>
      <c r="B33" s="141" t="s">
        <v>299</v>
      </c>
      <c r="C33" s="140">
        <v>1</v>
      </c>
      <c r="D33" s="140">
        <v>1</v>
      </c>
      <c r="E33" s="150" t="s">
        <v>1143</v>
      </c>
      <c r="F33" s="138"/>
      <c r="G33" s="137" t="s">
        <v>12</v>
      </c>
    </row>
    <row r="34" spans="1:7">
      <c r="A34" s="142"/>
      <c r="B34" s="141" t="s">
        <v>300</v>
      </c>
      <c r="C34" s="140">
        <v>0</v>
      </c>
      <c r="D34" s="140">
        <v>0</v>
      </c>
      <c r="E34" s="150" t="s">
        <v>1144</v>
      </c>
      <c r="F34" s="138"/>
      <c r="G34" s="137" t="s">
        <v>11</v>
      </c>
    </row>
    <row r="35" spans="1:7">
      <c r="A35" s="142"/>
      <c r="B35" s="141" t="s">
        <v>301</v>
      </c>
      <c r="C35" s="140">
        <v>1</v>
      </c>
      <c r="D35" s="140">
        <v>1</v>
      </c>
      <c r="E35" s="150" t="s">
        <v>1145</v>
      </c>
      <c r="F35" s="138"/>
      <c r="G35" s="137" t="s">
        <v>10</v>
      </c>
    </row>
    <row r="36" spans="1:7">
      <c r="A36" s="142"/>
      <c r="B36" s="141" t="s">
        <v>337</v>
      </c>
      <c r="C36" s="140">
        <v>0</v>
      </c>
      <c r="D36" s="140">
        <v>0</v>
      </c>
      <c r="E36" s="150" t="s">
        <v>1146</v>
      </c>
      <c r="F36" s="138"/>
      <c r="G36" s="137" t="s">
        <v>8</v>
      </c>
    </row>
    <row r="37" spans="1:7" ht="13.5" thickBot="1">
      <c r="A37" s="136"/>
      <c r="B37" s="135" t="str">
        <f>"reserved_byte"&amp;A29&amp;"_bit_7"</f>
        <v>reserved_byte3_bit_7</v>
      </c>
      <c r="C37" s="132">
        <v>0</v>
      </c>
      <c r="D37" s="132">
        <v>0</v>
      </c>
      <c r="E37" s="149" t="s">
        <v>33</v>
      </c>
      <c r="F37" s="133"/>
      <c r="G37" s="132" t="s">
        <v>7</v>
      </c>
    </row>
    <row r="38" spans="1:7" ht="13.5" thickTop="1">
      <c r="A38" s="148">
        <f>A29+1</f>
        <v>4</v>
      </c>
      <c r="B38" s="147" t="str">
        <f>"Byte" &amp;A38&amp;" Name"</f>
        <v>Byte4 Name</v>
      </c>
      <c r="C38" s="146" t="str">
        <f>DEC2HEX(C39+C40*2+C41*4+C42*8+C43*16+C44*32+C45*64+C46*128)</f>
        <v>77</v>
      </c>
      <c r="D38" s="146" t="str">
        <f>DEC2HEX(D39+D40*2+D41*4+D42*8+D43*16+D44*32+D45*64+D46*128)</f>
        <v>77</v>
      </c>
      <c r="E38" s="151" t="str">
        <f>B38</f>
        <v>Byte4 Name</v>
      </c>
      <c r="F38" s="144" t="str">
        <f>DEC2HEX((HEX2DEC(F29)+1),4)</f>
        <v>0A05</v>
      </c>
      <c r="G38" s="143" t="s">
        <v>22</v>
      </c>
    </row>
    <row r="39" spans="1:7">
      <c r="A39" s="142"/>
      <c r="B39" s="152" t="s">
        <v>123</v>
      </c>
      <c r="C39" s="152">
        <v>1</v>
      </c>
      <c r="D39" s="140">
        <v>1</v>
      </c>
      <c r="E39" s="150" t="s">
        <v>1147</v>
      </c>
      <c r="F39" s="138"/>
      <c r="G39" s="137" t="s">
        <v>15</v>
      </c>
    </row>
    <row r="40" spans="1:7">
      <c r="A40" s="142"/>
      <c r="B40" s="152" t="s">
        <v>124</v>
      </c>
      <c r="C40" s="152">
        <v>1</v>
      </c>
      <c r="D40" s="140">
        <v>1</v>
      </c>
      <c r="E40" s="150" t="s">
        <v>1148</v>
      </c>
      <c r="F40" s="138"/>
      <c r="G40" s="137" t="s">
        <v>14</v>
      </c>
    </row>
    <row r="41" spans="1:7">
      <c r="A41" s="142"/>
      <c r="B41" s="152" t="s">
        <v>125</v>
      </c>
      <c r="C41" s="152">
        <v>1</v>
      </c>
      <c r="D41" s="140">
        <v>1</v>
      </c>
      <c r="E41" s="150" t="s">
        <v>1149</v>
      </c>
      <c r="F41" s="138"/>
      <c r="G41" s="137" t="s">
        <v>13</v>
      </c>
    </row>
    <row r="42" spans="1:7">
      <c r="A42" s="142"/>
      <c r="B42" s="152" t="s">
        <v>339</v>
      </c>
      <c r="C42" s="152">
        <v>0</v>
      </c>
      <c r="D42" s="140">
        <v>0</v>
      </c>
      <c r="E42" s="150" t="s">
        <v>1150</v>
      </c>
      <c r="F42" s="138"/>
      <c r="G42" s="137" t="s">
        <v>12</v>
      </c>
    </row>
    <row r="43" spans="1:7">
      <c r="A43" s="142"/>
      <c r="B43" s="152" t="s">
        <v>325</v>
      </c>
      <c r="C43" s="152">
        <v>1</v>
      </c>
      <c r="D43" s="140">
        <v>1</v>
      </c>
      <c r="E43" s="150" t="s">
        <v>1151</v>
      </c>
      <c r="F43" s="138"/>
      <c r="G43" s="137" t="s">
        <v>11</v>
      </c>
    </row>
    <row r="44" spans="1:7">
      <c r="A44" s="142"/>
      <c r="B44" s="152" t="s">
        <v>326</v>
      </c>
      <c r="C44" s="152">
        <v>1</v>
      </c>
      <c r="D44" s="140">
        <v>1</v>
      </c>
      <c r="E44" s="150" t="s">
        <v>1152</v>
      </c>
      <c r="F44" s="138"/>
      <c r="G44" s="137" t="s">
        <v>10</v>
      </c>
    </row>
    <row r="45" spans="1:7">
      <c r="A45" s="142"/>
      <c r="B45" s="152" t="s">
        <v>327</v>
      </c>
      <c r="C45" s="152">
        <v>1</v>
      </c>
      <c r="D45" s="140">
        <v>1</v>
      </c>
      <c r="E45" s="150" t="s">
        <v>1153</v>
      </c>
      <c r="F45" s="138"/>
      <c r="G45" s="137" t="s">
        <v>8</v>
      </c>
    </row>
    <row r="46" spans="1:7" ht="13.5" thickBot="1">
      <c r="A46" s="136"/>
      <c r="B46" s="135" t="str">
        <f>"reserved_byte"&amp;A38&amp;"_bit_7"</f>
        <v>reserved_byte4_bit_7</v>
      </c>
      <c r="C46" s="132">
        <v>0</v>
      </c>
      <c r="D46" s="132">
        <v>0</v>
      </c>
      <c r="E46" s="149" t="s">
        <v>33</v>
      </c>
      <c r="F46" s="133"/>
      <c r="G46" s="132" t="s">
        <v>7</v>
      </c>
    </row>
    <row r="47" spans="1:7" ht="13.5" thickTop="1">
      <c r="A47" s="148">
        <f>A38+1</f>
        <v>5</v>
      </c>
      <c r="B47" s="147" t="str">
        <f>"Byte" &amp;A47&amp;" Name"</f>
        <v>Byte5 Name</v>
      </c>
      <c r="C47" s="146" t="str">
        <f>DEC2HEX(C48+C49*2+C50*4+C51*8+C52*16+C53*32+C54*64+C55*128)</f>
        <v>3D</v>
      </c>
      <c r="D47" s="146" t="str">
        <f>DEC2HEX(D48+D49*2+D50*4+D51*8+D52*16+D53*32+D54*64+D55*128)</f>
        <v>3D</v>
      </c>
      <c r="E47" s="151" t="str">
        <f>B47</f>
        <v>Byte5 Name</v>
      </c>
      <c r="F47" s="144" t="str">
        <f>DEC2HEX((HEX2DEC(F38)+1),4)</f>
        <v>0A06</v>
      </c>
      <c r="G47" s="143" t="s">
        <v>22</v>
      </c>
    </row>
    <row r="48" spans="1:7">
      <c r="A48" s="142"/>
      <c r="B48" s="141" t="s">
        <v>328</v>
      </c>
      <c r="C48" s="140">
        <v>1</v>
      </c>
      <c r="D48" s="140">
        <v>1</v>
      </c>
      <c r="E48" s="150" t="s">
        <v>1154</v>
      </c>
      <c r="F48" s="138"/>
      <c r="G48" s="137" t="s">
        <v>15</v>
      </c>
    </row>
    <row r="49" spans="1:7">
      <c r="A49" s="142"/>
      <c r="B49" s="141" t="s">
        <v>329</v>
      </c>
      <c r="C49" s="140">
        <v>0</v>
      </c>
      <c r="D49" s="140">
        <v>0</v>
      </c>
      <c r="E49" s="150" t="s">
        <v>1155</v>
      </c>
      <c r="F49" s="138"/>
      <c r="G49" s="137" t="s">
        <v>14</v>
      </c>
    </row>
    <row r="50" spans="1:7">
      <c r="A50" s="142"/>
      <c r="B50" s="141" t="s">
        <v>330</v>
      </c>
      <c r="C50" s="140">
        <v>1</v>
      </c>
      <c r="D50" s="140">
        <v>1</v>
      </c>
      <c r="E50" s="150" t="s">
        <v>1156</v>
      </c>
      <c r="F50" s="138"/>
      <c r="G50" s="137" t="s">
        <v>13</v>
      </c>
    </row>
    <row r="51" spans="1:7">
      <c r="A51" s="142"/>
      <c r="B51" s="141" t="s">
        <v>338</v>
      </c>
      <c r="C51" s="140">
        <v>1</v>
      </c>
      <c r="D51" s="140">
        <v>1</v>
      </c>
      <c r="E51" s="150" t="s">
        <v>1157</v>
      </c>
      <c r="F51" s="138"/>
      <c r="G51" s="137" t="s">
        <v>12</v>
      </c>
    </row>
    <row r="52" spans="1:7">
      <c r="A52" s="142"/>
      <c r="B52" s="141" t="s">
        <v>332</v>
      </c>
      <c r="C52" s="140">
        <v>1</v>
      </c>
      <c r="D52" s="140">
        <v>1</v>
      </c>
      <c r="E52" s="150" t="s">
        <v>1158</v>
      </c>
      <c r="F52" s="138"/>
      <c r="G52" s="137" t="s">
        <v>11</v>
      </c>
    </row>
    <row r="53" spans="1:7">
      <c r="A53" s="142"/>
      <c r="B53" s="141" t="s">
        <v>333</v>
      </c>
      <c r="C53" s="140">
        <v>1</v>
      </c>
      <c r="D53" s="140">
        <v>1</v>
      </c>
      <c r="E53" s="150" t="s">
        <v>1159</v>
      </c>
      <c r="F53" s="138"/>
      <c r="G53" s="137" t="s">
        <v>10</v>
      </c>
    </row>
    <row r="54" spans="1:7">
      <c r="A54" s="142"/>
      <c r="B54" s="141" t="s">
        <v>335</v>
      </c>
      <c r="C54" s="140">
        <v>0</v>
      </c>
      <c r="D54" s="140">
        <v>0</v>
      </c>
      <c r="E54" s="150" t="s">
        <v>1160</v>
      </c>
      <c r="F54" s="138"/>
      <c r="G54" s="137" t="s">
        <v>8</v>
      </c>
    </row>
    <row r="55" spans="1:7" ht="13.5" thickBot="1">
      <c r="A55" s="136"/>
      <c r="B55" s="135" t="str">
        <f>"reserved_byte"&amp;A47&amp;"_bit_7"</f>
        <v>reserved_byte5_bit_7</v>
      </c>
      <c r="C55" s="132">
        <v>0</v>
      </c>
      <c r="D55" s="132">
        <v>0</v>
      </c>
      <c r="E55" s="149" t="s">
        <v>33</v>
      </c>
      <c r="F55" s="133"/>
      <c r="G55" s="132" t="s">
        <v>7</v>
      </c>
    </row>
    <row r="56" spans="1:7" ht="13.5" thickTop="1">
      <c r="A56" s="148">
        <f>A47+1</f>
        <v>6</v>
      </c>
      <c r="B56" s="147" t="str">
        <f>"Byte" &amp;A56&amp;" Name"</f>
        <v>Byte6 Name</v>
      </c>
      <c r="C56" s="146" t="str">
        <f>DEC2HEX(C57+C58*2+C59*4+C60*8+C61*16+C62*32+C63*64+C64*128)</f>
        <v>1F</v>
      </c>
      <c r="D56" s="146" t="str">
        <f>DEC2HEX(D57+D58*2+D59*4+D60*8+D61*16+D62*32+D63*64+D64*128)</f>
        <v>1F</v>
      </c>
      <c r="E56" s="151" t="str">
        <f>B56</f>
        <v>Byte6 Name</v>
      </c>
      <c r="F56" s="144" t="str">
        <f>DEC2HEX((HEX2DEC(F47)+1),4)</f>
        <v>0A07</v>
      </c>
      <c r="G56" s="143" t="s">
        <v>22</v>
      </c>
    </row>
    <row r="57" spans="1:7">
      <c r="A57" s="142"/>
      <c r="B57" s="140" t="s">
        <v>1208</v>
      </c>
      <c r="C57" s="140">
        <v>1</v>
      </c>
      <c r="D57" s="140">
        <v>1</v>
      </c>
      <c r="E57" s="150" t="s">
        <v>1208</v>
      </c>
      <c r="F57" s="138"/>
      <c r="G57" s="137" t="s">
        <v>15</v>
      </c>
    </row>
    <row r="58" spans="1:7">
      <c r="A58" s="142"/>
      <c r="B58" s="152" t="s">
        <v>334</v>
      </c>
      <c r="C58" s="140">
        <v>1</v>
      </c>
      <c r="D58" s="140">
        <v>1</v>
      </c>
      <c r="E58" s="150" t="s">
        <v>1161</v>
      </c>
      <c r="F58" s="138"/>
      <c r="G58" s="137" t="s">
        <v>14</v>
      </c>
    </row>
    <row r="59" spans="1:7">
      <c r="A59" s="142"/>
      <c r="B59" s="152" t="s">
        <v>126</v>
      </c>
      <c r="C59" s="140">
        <v>1</v>
      </c>
      <c r="D59" s="140">
        <v>1</v>
      </c>
      <c r="E59" s="150" t="s">
        <v>1162</v>
      </c>
      <c r="F59" s="138"/>
      <c r="G59" s="137" t="s">
        <v>13</v>
      </c>
    </row>
    <row r="60" spans="1:7">
      <c r="A60" s="142"/>
      <c r="B60" s="152" t="s">
        <v>321</v>
      </c>
      <c r="C60" s="140">
        <v>1</v>
      </c>
      <c r="D60" s="140">
        <v>1</v>
      </c>
      <c r="E60" s="150" t="s">
        <v>1163</v>
      </c>
      <c r="F60" s="138"/>
      <c r="G60" s="137" t="s">
        <v>12</v>
      </c>
    </row>
    <row r="61" spans="1:7">
      <c r="A61" s="142"/>
      <c r="B61" s="140" t="s">
        <v>2139</v>
      </c>
      <c r="C61" s="140">
        <v>1</v>
      </c>
      <c r="D61" s="140">
        <v>1</v>
      </c>
      <c r="E61" s="122" t="s">
        <v>2140</v>
      </c>
      <c r="F61" s="138"/>
      <c r="G61" s="137" t="s">
        <v>11</v>
      </c>
    </row>
    <row r="62" spans="1:7">
      <c r="A62" s="142"/>
      <c r="B62" s="152" t="s">
        <v>316</v>
      </c>
      <c r="C62" s="140">
        <v>0</v>
      </c>
      <c r="D62" s="140">
        <v>0</v>
      </c>
      <c r="E62" s="150" t="s">
        <v>1164</v>
      </c>
      <c r="F62" s="138"/>
      <c r="G62" s="137" t="s">
        <v>10</v>
      </c>
    </row>
    <row r="63" spans="1:7">
      <c r="A63" s="142"/>
      <c r="B63" s="152" t="s">
        <v>317</v>
      </c>
      <c r="C63" s="140">
        <v>0</v>
      </c>
      <c r="D63" s="140">
        <v>0</v>
      </c>
      <c r="E63" s="150" t="s">
        <v>1165</v>
      </c>
      <c r="F63" s="138"/>
      <c r="G63" s="137" t="s">
        <v>8</v>
      </c>
    </row>
    <row r="64" spans="1:7" ht="13.5" thickBot="1">
      <c r="A64" s="136"/>
      <c r="B64" s="135" t="str">
        <f>"reserved_byte"&amp;A56&amp;"_bit_7"</f>
        <v>reserved_byte6_bit_7</v>
      </c>
      <c r="C64" s="132">
        <v>0</v>
      </c>
      <c r="D64" s="132">
        <v>0</v>
      </c>
      <c r="E64" s="149" t="s">
        <v>33</v>
      </c>
      <c r="F64" s="133"/>
      <c r="G64" s="132" t="s">
        <v>7</v>
      </c>
    </row>
    <row r="65" spans="1:7" ht="13.5" thickTop="1">
      <c r="A65" s="148">
        <f>A56+1</f>
        <v>7</v>
      </c>
      <c r="B65" s="147" t="str">
        <f>"Byte" &amp;A65&amp;" Name"</f>
        <v>Byte7 Name</v>
      </c>
      <c r="C65" s="146" t="str">
        <f>DEC2HEX(C66+C67*2+C68*4+C69*8+C70*16+C71*32+C72*64+C73*128)</f>
        <v>23</v>
      </c>
      <c r="D65" s="146" t="str">
        <f>DEC2HEX(D66+D67*2+D68*4+D69*8+D70*16+D71*32+D72*64+D73*128)</f>
        <v>23</v>
      </c>
      <c r="E65" s="151" t="str">
        <f>B65</f>
        <v>Byte7 Name</v>
      </c>
      <c r="F65" s="144" t="str">
        <f>DEC2HEX((HEX2DEC(F56)+1),4)</f>
        <v>0A08</v>
      </c>
      <c r="G65" s="143" t="s">
        <v>22</v>
      </c>
    </row>
    <row r="66" spans="1:7">
      <c r="A66" s="142"/>
      <c r="B66" s="140" t="s">
        <v>1209</v>
      </c>
      <c r="C66" s="140">
        <v>1</v>
      </c>
      <c r="D66" s="140">
        <v>1</v>
      </c>
      <c r="E66" s="150" t="s">
        <v>1209</v>
      </c>
      <c r="F66" s="138"/>
      <c r="G66" s="137" t="s">
        <v>15</v>
      </c>
    </row>
    <row r="67" spans="1:7">
      <c r="A67" s="142"/>
      <c r="B67" s="152" t="s">
        <v>318</v>
      </c>
      <c r="C67" s="140">
        <v>1</v>
      </c>
      <c r="D67" s="140">
        <v>1</v>
      </c>
      <c r="E67" s="150" t="s">
        <v>1166</v>
      </c>
      <c r="F67" s="138"/>
      <c r="G67" s="137" t="s">
        <v>14</v>
      </c>
    </row>
    <row r="68" spans="1:7">
      <c r="A68" s="142"/>
      <c r="B68" s="152" t="s">
        <v>319</v>
      </c>
      <c r="C68" s="140">
        <v>0</v>
      </c>
      <c r="D68" s="140">
        <v>0</v>
      </c>
      <c r="E68" s="150" t="s">
        <v>1167</v>
      </c>
      <c r="F68" s="138"/>
      <c r="G68" s="137" t="s">
        <v>13</v>
      </c>
    </row>
    <row r="69" spans="1:7">
      <c r="A69" s="142"/>
      <c r="B69" s="152" t="s">
        <v>320</v>
      </c>
      <c r="C69" s="140">
        <v>0</v>
      </c>
      <c r="D69" s="140">
        <v>0</v>
      </c>
      <c r="E69" s="150" t="s">
        <v>1168</v>
      </c>
      <c r="F69" s="138"/>
      <c r="G69" s="137" t="s">
        <v>12</v>
      </c>
    </row>
    <row r="70" spans="1:7">
      <c r="A70" s="142"/>
      <c r="B70" s="152" t="s">
        <v>122</v>
      </c>
      <c r="C70" s="140">
        <v>0</v>
      </c>
      <c r="D70" s="140">
        <v>0</v>
      </c>
      <c r="E70" s="150" t="s">
        <v>1169</v>
      </c>
      <c r="F70" s="138"/>
      <c r="G70" s="137" t="s">
        <v>11</v>
      </c>
    </row>
    <row r="71" spans="1:7">
      <c r="A71" s="142"/>
      <c r="B71" s="140" t="s">
        <v>1210</v>
      </c>
      <c r="C71" s="140">
        <v>1</v>
      </c>
      <c r="D71" s="140">
        <v>1</v>
      </c>
      <c r="E71" s="122" t="s">
        <v>1210</v>
      </c>
      <c r="F71" s="138"/>
      <c r="G71" s="137" t="s">
        <v>10</v>
      </c>
    </row>
    <row r="72" spans="1:7">
      <c r="A72" s="142"/>
      <c r="B72" s="152" t="s">
        <v>120</v>
      </c>
      <c r="C72" s="140">
        <v>0</v>
      </c>
      <c r="D72" s="140">
        <v>0</v>
      </c>
      <c r="E72" s="150" t="s">
        <v>1170</v>
      </c>
      <c r="F72" s="138"/>
      <c r="G72" s="137" t="s">
        <v>8</v>
      </c>
    </row>
    <row r="73" spans="1:7" ht="13.5" thickBot="1">
      <c r="A73" s="136"/>
      <c r="B73" s="135" t="str">
        <f>"reserved_byte"&amp;A65&amp;"_bit_7"</f>
        <v>reserved_byte7_bit_7</v>
      </c>
      <c r="C73" s="132">
        <v>0</v>
      </c>
      <c r="D73" s="132">
        <v>0</v>
      </c>
      <c r="E73" s="149" t="s">
        <v>33</v>
      </c>
      <c r="F73" s="133"/>
      <c r="G73" s="132" t="s">
        <v>7</v>
      </c>
    </row>
    <row r="74" spans="1:7" ht="13.5" thickTop="1">
      <c r="A74" s="148">
        <f>A65+1</f>
        <v>8</v>
      </c>
      <c r="B74" s="147" t="str">
        <f>"Byte" &amp;A74&amp;" Name"</f>
        <v>Byte8 Name</v>
      </c>
      <c r="C74" s="146" t="str">
        <f>DEC2HEX(C75+C76*2+C77*4+C78*8+C79*16+C80*32+C81*64+C82*128)</f>
        <v>49</v>
      </c>
      <c r="D74" s="146" t="str">
        <f>DEC2HEX(D75+D76*2+D77*4+D78*8+D79*16+D80*32+D81*64+D82*128)</f>
        <v>49</v>
      </c>
      <c r="E74" s="151" t="str">
        <f>B74</f>
        <v>Byte8 Name</v>
      </c>
      <c r="F74" s="144" t="str">
        <f>DEC2HEX((HEX2DEC(F65)+1),4)</f>
        <v>0A09</v>
      </c>
      <c r="G74" s="143" t="s">
        <v>22</v>
      </c>
    </row>
    <row r="75" spans="1:7">
      <c r="A75" s="142"/>
      <c r="B75" s="152" t="s">
        <v>308</v>
      </c>
      <c r="C75" s="140">
        <v>1</v>
      </c>
      <c r="D75" s="140">
        <v>1</v>
      </c>
      <c r="E75" s="150" t="s">
        <v>1171</v>
      </c>
      <c r="F75" s="138"/>
      <c r="G75" s="137" t="s">
        <v>15</v>
      </c>
    </row>
    <row r="76" spans="1:7">
      <c r="A76" s="142"/>
      <c r="B76" s="152" t="s">
        <v>304</v>
      </c>
      <c r="C76" s="140">
        <v>0</v>
      </c>
      <c r="D76" s="140">
        <v>0</v>
      </c>
      <c r="E76" s="150" t="s">
        <v>1172</v>
      </c>
      <c r="F76" s="138"/>
      <c r="G76" s="137" t="s">
        <v>14</v>
      </c>
    </row>
    <row r="77" spans="1:7">
      <c r="A77" s="142"/>
      <c r="B77" s="152" t="s">
        <v>305</v>
      </c>
      <c r="C77" s="140">
        <v>0</v>
      </c>
      <c r="D77" s="140">
        <v>0</v>
      </c>
      <c r="E77" s="150" t="s">
        <v>1173</v>
      </c>
      <c r="F77" s="138"/>
      <c r="G77" s="137" t="s">
        <v>13</v>
      </c>
    </row>
    <row r="78" spans="1:7">
      <c r="A78" s="142"/>
      <c r="B78" s="152" t="s">
        <v>306</v>
      </c>
      <c r="C78" s="140">
        <v>1</v>
      </c>
      <c r="D78" s="140">
        <v>1</v>
      </c>
      <c r="E78" s="150" t="s">
        <v>1174</v>
      </c>
      <c r="F78" s="138"/>
      <c r="G78" s="137" t="s">
        <v>12</v>
      </c>
    </row>
    <row r="79" spans="1:7">
      <c r="A79" s="142"/>
      <c r="B79" s="152" t="s">
        <v>645</v>
      </c>
      <c r="C79" s="140">
        <v>0</v>
      </c>
      <c r="D79" s="140">
        <v>0</v>
      </c>
      <c r="E79" s="150" t="s">
        <v>1175</v>
      </c>
      <c r="F79" s="138"/>
      <c r="G79" s="137" t="s">
        <v>11</v>
      </c>
    </row>
    <row r="80" spans="1:7">
      <c r="A80" s="142"/>
      <c r="B80" s="152" t="s">
        <v>646</v>
      </c>
      <c r="C80" s="140">
        <v>0</v>
      </c>
      <c r="D80" s="140">
        <v>0</v>
      </c>
      <c r="E80" s="150" t="s">
        <v>1176</v>
      </c>
      <c r="F80" s="138"/>
      <c r="G80" s="137" t="s">
        <v>10</v>
      </c>
    </row>
    <row r="81" spans="1:7">
      <c r="A81" s="142"/>
      <c r="B81" s="112" t="s">
        <v>121</v>
      </c>
      <c r="C81" s="140">
        <v>1</v>
      </c>
      <c r="D81" s="140">
        <v>1</v>
      </c>
      <c r="E81" s="150" t="s">
        <v>1177</v>
      </c>
      <c r="F81" s="138"/>
      <c r="G81" s="137" t="s">
        <v>8</v>
      </c>
    </row>
    <row r="82" spans="1:7" ht="13.5" thickBot="1">
      <c r="A82" s="136"/>
      <c r="B82" s="135" t="str">
        <f>"reserved_byte"&amp;A74&amp;"_bit_7"</f>
        <v>reserved_byte8_bit_7</v>
      </c>
      <c r="C82" s="132">
        <v>0</v>
      </c>
      <c r="D82" s="132">
        <v>0</v>
      </c>
      <c r="E82" s="149" t="s">
        <v>33</v>
      </c>
      <c r="F82" s="133"/>
      <c r="G82" s="132" t="s">
        <v>7</v>
      </c>
    </row>
    <row r="83" spans="1:7" ht="13.5" thickTop="1">
      <c r="A83" s="148">
        <f>A74+1</f>
        <v>9</v>
      </c>
      <c r="B83" s="147" t="str">
        <f>"Byte" &amp;A83&amp;" Name"</f>
        <v>Byte9 Name</v>
      </c>
      <c r="C83" s="146" t="str">
        <f>DEC2HEX(C84+C85*2+C86*4+C87*8+C88*16+C89*32+C90*64+C91*128)</f>
        <v>3F</v>
      </c>
      <c r="D83" s="146" t="str">
        <f>DEC2HEX(D84+D85*2+D86*4+D87*8+D88*16+D89*32+D90*64+D91*128)</f>
        <v>3F</v>
      </c>
      <c r="E83" s="151" t="str">
        <f>B83</f>
        <v>Byte9 Name</v>
      </c>
      <c r="F83" s="144" t="str">
        <f>DEC2HEX((HEX2DEC(F74)+1),4)</f>
        <v>0A0A</v>
      </c>
      <c r="G83" s="143" t="s">
        <v>22</v>
      </c>
    </row>
    <row r="84" spans="1:7">
      <c r="A84" s="142"/>
      <c r="B84" s="141" t="s">
        <v>1947</v>
      </c>
      <c r="C84" s="140">
        <v>1</v>
      </c>
      <c r="D84" s="140">
        <v>1</v>
      </c>
      <c r="E84" s="150" t="s">
        <v>2063</v>
      </c>
      <c r="F84" s="138"/>
      <c r="G84" s="137" t="s">
        <v>15</v>
      </c>
    </row>
    <row r="85" spans="1:7">
      <c r="A85" s="142"/>
      <c r="B85" s="141" t="s">
        <v>351</v>
      </c>
      <c r="C85" s="140">
        <v>1</v>
      </c>
      <c r="D85" s="140">
        <v>1</v>
      </c>
      <c r="E85" s="150" t="s">
        <v>1178</v>
      </c>
      <c r="F85" s="138"/>
      <c r="G85" s="137" t="s">
        <v>14</v>
      </c>
    </row>
    <row r="86" spans="1:7">
      <c r="A86" s="142"/>
      <c r="B86" s="141" t="s">
        <v>344</v>
      </c>
      <c r="C86" s="140">
        <v>1</v>
      </c>
      <c r="D86" s="140">
        <v>1</v>
      </c>
      <c r="E86" s="150" t="s">
        <v>1179</v>
      </c>
      <c r="F86" s="138"/>
      <c r="G86" s="137" t="s">
        <v>13</v>
      </c>
    </row>
    <row r="87" spans="1:7">
      <c r="A87" s="142"/>
      <c r="B87" s="141" t="s">
        <v>341</v>
      </c>
      <c r="C87" s="140">
        <v>1</v>
      </c>
      <c r="D87" s="140">
        <v>1</v>
      </c>
      <c r="E87" s="150" t="s">
        <v>1180</v>
      </c>
      <c r="F87" s="138"/>
      <c r="G87" s="137" t="s">
        <v>12</v>
      </c>
    </row>
    <row r="88" spans="1:7">
      <c r="A88" s="142"/>
      <c r="B88" s="141" t="s">
        <v>342</v>
      </c>
      <c r="C88" s="140">
        <v>1</v>
      </c>
      <c r="D88" s="140">
        <v>1</v>
      </c>
      <c r="E88" s="150" t="s">
        <v>1181</v>
      </c>
      <c r="F88" s="138"/>
      <c r="G88" s="137" t="s">
        <v>11</v>
      </c>
    </row>
    <row r="89" spans="1:7">
      <c r="A89" s="142"/>
      <c r="B89" s="141" t="s">
        <v>343</v>
      </c>
      <c r="C89" s="140">
        <v>1</v>
      </c>
      <c r="D89" s="140">
        <v>1</v>
      </c>
      <c r="E89" s="150" t="s">
        <v>1182</v>
      </c>
      <c r="F89" s="138"/>
      <c r="G89" s="137" t="s">
        <v>10</v>
      </c>
    </row>
    <row r="90" spans="1:7">
      <c r="A90" s="142"/>
      <c r="B90" s="141" t="s">
        <v>345</v>
      </c>
      <c r="C90" s="140">
        <v>0</v>
      </c>
      <c r="D90" s="140">
        <v>0</v>
      </c>
      <c r="E90" s="150" t="s">
        <v>1183</v>
      </c>
      <c r="F90" s="138"/>
      <c r="G90" s="137" t="s">
        <v>8</v>
      </c>
    </row>
    <row r="91" spans="1:7" ht="13.5" thickBot="1">
      <c r="A91" s="136"/>
      <c r="B91" s="135" t="str">
        <f>"reserved_byte"&amp;A83&amp;"_bit_7"</f>
        <v>reserved_byte9_bit_7</v>
      </c>
      <c r="C91" s="132">
        <v>0</v>
      </c>
      <c r="D91" s="132">
        <v>0</v>
      </c>
      <c r="E91" s="149" t="s">
        <v>33</v>
      </c>
      <c r="F91" s="133"/>
      <c r="G91" s="132" t="s">
        <v>7</v>
      </c>
    </row>
    <row r="92" spans="1:7" ht="13.5" thickTop="1">
      <c r="A92" s="148">
        <f>A83+1</f>
        <v>10</v>
      </c>
      <c r="B92" s="147" t="str">
        <f>"Byte" &amp;A92&amp;" Name"</f>
        <v>Byte10 Name</v>
      </c>
      <c r="C92" s="146" t="str">
        <f>DEC2HEX(C93+C94*2+C95*4+C96*8+C97*16+C98*32+C99*64+C100*128)</f>
        <v>F</v>
      </c>
      <c r="D92" s="146" t="str">
        <f>DEC2HEX(D93+D94*2+D95*4+D96*8+D97*16+D98*32+D99*64+D100*128)</f>
        <v>F</v>
      </c>
      <c r="E92" s="151" t="str">
        <f>B92</f>
        <v>Byte10 Name</v>
      </c>
      <c r="F92" s="144" t="str">
        <f>DEC2HEX((HEX2DEC(F83)+1),4)</f>
        <v>0A0B</v>
      </c>
      <c r="G92" s="143" t="s">
        <v>22</v>
      </c>
    </row>
    <row r="93" spans="1:7">
      <c r="A93" s="142"/>
      <c r="B93" s="152" t="s">
        <v>582</v>
      </c>
      <c r="C93" s="140">
        <v>1</v>
      </c>
      <c r="D93" s="140">
        <v>1</v>
      </c>
      <c r="E93" s="150" t="s">
        <v>1184</v>
      </c>
      <c r="F93" s="138"/>
      <c r="G93" s="137" t="s">
        <v>15</v>
      </c>
    </row>
    <row r="94" spans="1:7">
      <c r="A94" s="142"/>
      <c r="B94" s="141" t="s">
        <v>583</v>
      </c>
      <c r="C94" s="140">
        <v>1</v>
      </c>
      <c r="D94" s="140">
        <v>1</v>
      </c>
      <c r="E94" s="150" t="s">
        <v>1185</v>
      </c>
      <c r="F94" s="138"/>
      <c r="G94" s="137" t="s">
        <v>14</v>
      </c>
    </row>
    <row r="95" spans="1:7">
      <c r="A95" s="142"/>
      <c r="B95" s="152" t="s">
        <v>584</v>
      </c>
      <c r="C95" s="140">
        <v>1</v>
      </c>
      <c r="D95" s="140">
        <v>1</v>
      </c>
      <c r="E95" s="150" t="s">
        <v>1186</v>
      </c>
      <c r="F95" s="138"/>
      <c r="G95" s="137" t="s">
        <v>13</v>
      </c>
    </row>
    <row r="96" spans="1:7">
      <c r="A96" s="142"/>
      <c r="B96" s="152" t="s">
        <v>585</v>
      </c>
      <c r="C96" s="140">
        <v>1</v>
      </c>
      <c r="D96" s="140">
        <v>1</v>
      </c>
      <c r="E96" s="150" t="s">
        <v>1187</v>
      </c>
      <c r="F96" s="138"/>
      <c r="G96" s="137" t="s">
        <v>12</v>
      </c>
    </row>
    <row r="97" spans="1:7">
      <c r="A97" s="142"/>
      <c r="B97" s="152" t="s">
        <v>586</v>
      </c>
      <c r="C97" s="140">
        <v>0</v>
      </c>
      <c r="D97" s="140">
        <v>0</v>
      </c>
      <c r="E97" s="150" t="s">
        <v>1188</v>
      </c>
      <c r="F97" s="138"/>
      <c r="G97" s="137" t="s">
        <v>11</v>
      </c>
    </row>
    <row r="98" spans="1:7">
      <c r="A98" s="142"/>
      <c r="B98" s="152" t="s">
        <v>587</v>
      </c>
      <c r="C98" s="140">
        <v>0</v>
      </c>
      <c r="D98" s="140">
        <v>0</v>
      </c>
      <c r="E98" s="150" t="s">
        <v>1189</v>
      </c>
      <c r="F98" s="138"/>
      <c r="G98" s="137" t="s">
        <v>10</v>
      </c>
    </row>
    <row r="99" spans="1:7">
      <c r="A99" s="142"/>
      <c r="B99" s="152" t="s">
        <v>588</v>
      </c>
      <c r="C99" s="140">
        <v>0</v>
      </c>
      <c r="D99" s="140">
        <v>0</v>
      </c>
      <c r="E99" s="150" t="s">
        <v>1190</v>
      </c>
      <c r="F99" s="138"/>
      <c r="G99" s="137" t="s">
        <v>8</v>
      </c>
    </row>
    <row r="100" spans="1:7" ht="13.5" thickBot="1">
      <c r="A100" s="136"/>
      <c r="B100" s="135" t="str">
        <f>"reserved_byte"&amp;A92&amp;"_bit_7"</f>
        <v>reserved_byte10_bit_7</v>
      </c>
      <c r="C100" s="132">
        <v>0</v>
      </c>
      <c r="D100" s="132">
        <v>0</v>
      </c>
      <c r="E100" s="149" t="s">
        <v>33</v>
      </c>
      <c r="F100" s="133"/>
      <c r="G100" s="132" t="s">
        <v>7</v>
      </c>
    </row>
    <row r="101" spans="1:7" ht="13.5" thickTop="1">
      <c r="A101" s="148">
        <f>A92+1</f>
        <v>11</v>
      </c>
      <c r="B101" s="147" t="str">
        <f>"Byte" &amp;A101&amp;" Name"</f>
        <v>Byte11 Name</v>
      </c>
      <c r="C101" s="146" t="str">
        <f>DEC2HEX(C102+C103*2+C104*4+C105*8+C106*16+C107*32+C108*64+C109*128)</f>
        <v>7A</v>
      </c>
      <c r="D101" s="146" t="str">
        <f>DEC2HEX(D102+D103*2+D104*4+D105*8+D106*16+D107*32+D108*64+D109*128)</f>
        <v>7A</v>
      </c>
      <c r="E101" s="151" t="str">
        <f>B101</f>
        <v>Byte11 Name</v>
      </c>
      <c r="F101" s="144" t="str">
        <f>DEC2HEX((HEX2DEC(F92)+1),4)</f>
        <v>0A0C</v>
      </c>
      <c r="G101" s="143" t="s">
        <v>22</v>
      </c>
    </row>
    <row r="102" spans="1:7">
      <c r="A102" s="142"/>
      <c r="B102" s="152" t="s">
        <v>589</v>
      </c>
      <c r="C102" s="140">
        <v>0</v>
      </c>
      <c r="D102" s="112">
        <v>0</v>
      </c>
      <c r="E102" s="150" t="s">
        <v>1191</v>
      </c>
      <c r="F102" s="138"/>
      <c r="G102" s="137" t="s">
        <v>15</v>
      </c>
    </row>
    <row r="103" spans="1:7">
      <c r="A103" s="142"/>
      <c r="B103" s="152" t="s">
        <v>348</v>
      </c>
      <c r="C103" s="140">
        <v>1</v>
      </c>
      <c r="D103" s="140">
        <v>1</v>
      </c>
      <c r="E103" s="150" t="s">
        <v>1192</v>
      </c>
      <c r="F103" s="138"/>
      <c r="G103" s="137" t="s">
        <v>14</v>
      </c>
    </row>
    <row r="104" spans="1:7">
      <c r="A104" s="142"/>
      <c r="B104" s="152" t="s">
        <v>349</v>
      </c>
      <c r="C104" s="140">
        <v>0</v>
      </c>
      <c r="D104" s="140">
        <v>0</v>
      </c>
      <c r="E104" s="150" t="s">
        <v>1193</v>
      </c>
      <c r="F104" s="138"/>
      <c r="G104" s="137" t="s">
        <v>13</v>
      </c>
    </row>
    <row r="105" spans="1:7">
      <c r="A105" s="142"/>
      <c r="B105" s="152" t="s">
        <v>322</v>
      </c>
      <c r="C105" s="140">
        <v>1</v>
      </c>
      <c r="D105" s="140">
        <v>1</v>
      </c>
      <c r="E105" s="150" t="s">
        <v>1194</v>
      </c>
      <c r="F105" s="138"/>
      <c r="G105" s="137" t="s">
        <v>12</v>
      </c>
    </row>
    <row r="106" spans="1:7">
      <c r="A106" s="142"/>
      <c r="B106" s="152" t="s">
        <v>324</v>
      </c>
      <c r="C106" s="140">
        <v>1</v>
      </c>
      <c r="D106" s="140">
        <v>1</v>
      </c>
      <c r="E106" s="150" t="s">
        <v>1195</v>
      </c>
      <c r="F106" s="138"/>
      <c r="G106" s="137" t="s">
        <v>11</v>
      </c>
    </row>
    <row r="107" spans="1:7">
      <c r="A107" s="142"/>
      <c r="B107" s="152" t="s">
        <v>323</v>
      </c>
      <c r="C107" s="140">
        <v>1</v>
      </c>
      <c r="D107" s="140">
        <v>1</v>
      </c>
      <c r="E107" s="150" t="s">
        <v>1196</v>
      </c>
      <c r="F107" s="138"/>
      <c r="G107" s="137" t="s">
        <v>10</v>
      </c>
    </row>
    <row r="108" spans="1:7">
      <c r="A108" s="142"/>
      <c r="B108" s="152" t="s">
        <v>592</v>
      </c>
      <c r="C108" s="140">
        <v>1</v>
      </c>
      <c r="D108" s="140">
        <v>1</v>
      </c>
      <c r="E108" s="150" t="s">
        <v>2438</v>
      </c>
      <c r="F108" s="138"/>
      <c r="G108" s="137" t="s">
        <v>8</v>
      </c>
    </row>
    <row r="109" spans="1:7" ht="13.5" thickBot="1">
      <c r="A109" s="136"/>
      <c r="B109" s="135" t="str">
        <f>"reserved_byte"&amp;A101&amp;"_bit_7"</f>
        <v>reserved_byte11_bit_7</v>
      </c>
      <c r="C109" s="132">
        <v>0</v>
      </c>
      <c r="D109" s="132">
        <v>0</v>
      </c>
      <c r="E109" s="149" t="s">
        <v>33</v>
      </c>
      <c r="F109" s="133"/>
      <c r="G109" s="132" t="s">
        <v>7</v>
      </c>
    </row>
    <row r="110" spans="1:7" ht="13.5" thickTop="1">
      <c r="A110" s="148">
        <f>A101+1</f>
        <v>12</v>
      </c>
      <c r="B110" s="147" t="str">
        <f>"Byte" &amp;A110&amp;" Name"</f>
        <v>Byte12 Name</v>
      </c>
      <c r="C110" s="146" t="str">
        <f>DEC2HEX(C111+C112*2+C113*4+C114*8+C115*16+C116*32+C117*64+C118*128)</f>
        <v>55</v>
      </c>
      <c r="D110" s="146" t="str">
        <f>DEC2HEX(D111+D112*2+D113*4+D114*8+D115*16+D116*32+D117*64+D118*128)</f>
        <v>55</v>
      </c>
      <c r="E110" s="151" t="str">
        <f>B110</f>
        <v>Byte12 Name</v>
      </c>
      <c r="F110" s="144" t="str">
        <f>DEC2HEX((HEX2DEC(F101)+1),4)</f>
        <v>0A0D</v>
      </c>
      <c r="G110" s="143" t="s">
        <v>22</v>
      </c>
    </row>
    <row r="111" spans="1:7">
      <c r="A111" s="142"/>
      <c r="B111" s="141" t="s">
        <v>314</v>
      </c>
      <c r="C111" s="140">
        <v>1</v>
      </c>
      <c r="D111" s="140">
        <v>1</v>
      </c>
      <c r="E111" s="150" t="s">
        <v>1197</v>
      </c>
      <c r="F111" s="138"/>
      <c r="G111" s="137" t="s">
        <v>15</v>
      </c>
    </row>
    <row r="112" spans="1:7">
      <c r="A112" s="142"/>
      <c r="B112" s="141" t="s">
        <v>310</v>
      </c>
      <c r="C112" s="140">
        <v>0</v>
      </c>
      <c r="D112" s="140">
        <v>0</v>
      </c>
      <c r="E112" s="150" t="s">
        <v>1198</v>
      </c>
      <c r="F112" s="138"/>
      <c r="G112" s="137" t="s">
        <v>14</v>
      </c>
    </row>
    <row r="113" spans="1:7" ht="14.25">
      <c r="A113" s="142"/>
      <c r="B113" s="316" t="s">
        <v>2572</v>
      </c>
      <c r="C113" s="140">
        <v>1</v>
      </c>
      <c r="D113" s="140">
        <v>1</v>
      </c>
      <c r="E113" s="150" t="s">
        <v>2573</v>
      </c>
      <c r="F113" s="138"/>
      <c r="G113" s="137" t="s">
        <v>13</v>
      </c>
    </row>
    <row r="114" spans="1:7">
      <c r="A114" s="142"/>
      <c r="B114" s="141" t="s">
        <v>311</v>
      </c>
      <c r="C114" s="140">
        <v>0</v>
      </c>
      <c r="D114" s="140">
        <v>0</v>
      </c>
      <c r="E114" s="150" t="s">
        <v>1199</v>
      </c>
      <c r="F114" s="138"/>
      <c r="G114" s="137" t="s">
        <v>12</v>
      </c>
    </row>
    <row r="115" spans="1:7">
      <c r="A115" s="142"/>
      <c r="B115" s="141" t="s">
        <v>312</v>
      </c>
      <c r="C115" s="140">
        <v>1</v>
      </c>
      <c r="D115" s="140">
        <v>1</v>
      </c>
      <c r="E115" s="150" t="s">
        <v>1200</v>
      </c>
      <c r="F115" s="138"/>
      <c r="G115" s="137" t="s">
        <v>11</v>
      </c>
    </row>
    <row r="116" spans="1:7">
      <c r="A116" s="142"/>
      <c r="B116" s="141" t="s">
        <v>313</v>
      </c>
      <c r="C116" s="140">
        <v>0</v>
      </c>
      <c r="D116" s="140">
        <v>0</v>
      </c>
      <c r="E116" s="150" t="s">
        <v>1201</v>
      </c>
      <c r="F116" s="138"/>
      <c r="G116" s="137" t="s">
        <v>10</v>
      </c>
    </row>
    <row r="117" spans="1:7">
      <c r="A117" s="142"/>
      <c r="B117" s="141" t="s">
        <v>315</v>
      </c>
      <c r="C117" s="140">
        <v>1</v>
      </c>
      <c r="D117" s="140">
        <v>1</v>
      </c>
      <c r="E117" s="150" t="s">
        <v>1202</v>
      </c>
      <c r="F117" s="138"/>
      <c r="G117" s="137" t="s">
        <v>8</v>
      </c>
    </row>
    <row r="118" spans="1:7" ht="13.5" thickBot="1">
      <c r="A118" s="136"/>
      <c r="B118" s="135" t="str">
        <f>"reserved_byte"&amp;A110&amp;"_bit_7"</f>
        <v>reserved_byte12_bit_7</v>
      </c>
      <c r="C118" s="132">
        <v>0</v>
      </c>
      <c r="D118" s="132">
        <v>0</v>
      </c>
      <c r="E118" s="149" t="s">
        <v>33</v>
      </c>
      <c r="F118" s="133"/>
      <c r="G118" s="132" t="s">
        <v>7</v>
      </c>
    </row>
    <row r="119" spans="1:7" ht="13.5" thickTop="1">
      <c r="A119" s="148">
        <f>A110+1</f>
        <v>13</v>
      </c>
      <c r="B119" s="147" t="str">
        <f>"Byte" &amp;A119&amp;" Name"</f>
        <v>Byte13 Name</v>
      </c>
      <c r="C119" s="146" t="str">
        <f>DEC2HEX(C120+C121*2+C122*4+C123*8+C124*16+C125*32+C126*64+C127*128)</f>
        <v>66</v>
      </c>
      <c r="D119" s="146" t="str">
        <f>DEC2HEX(D120+D121*2+D122*4+D123*8+D124*16+D125*32+D126*64+D127*128)</f>
        <v>66</v>
      </c>
      <c r="E119" s="151" t="str">
        <f>B119</f>
        <v>Byte13 Name</v>
      </c>
      <c r="F119" s="144" t="str">
        <f>DEC2HEX((HEX2DEC(F110)+1),4)</f>
        <v>0A0E</v>
      </c>
      <c r="G119" s="143" t="s">
        <v>22</v>
      </c>
    </row>
    <row r="120" spans="1:7">
      <c r="A120" s="142"/>
      <c r="B120" s="141" t="s">
        <v>593</v>
      </c>
      <c r="C120" s="140">
        <v>0</v>
      </c>
      <c r="D120" s="140">
        <v>0</v>
      </c>
      <c r="E120" s="150" t="s">
        <v>1203</v>
      </c>
      <c r="F120" s="138"/>
      <c r="G120" s="137" t="s">
        <v>15</v>
      </c>
    </row>
    <row r="121" spans="1:7">
      <c r="A121" s="142"/>
      <c r="B121" s="141" t="s">
        <v>2150</v>
      </c>
      <c r="C121" s="140">
        <v>1</v>
      </c>
      <c r="D121" s="140">
        <v>1</v>
      </c>
      <c r="E121" s="150" t="s">
        <v>2151</v>
      </c>
      <c r="F121" s="138"/>
      <c r="G121" s="137" t="s">
        <v>14</v>
      </c>
    </row>
    <row r="122" spans="1:7">
      <c r="A122" s="142"/>
      <c r="B122" s="321" t="s">
        <v>1943</v>
      </c>
      <c r="C122" s="322">
        <v>1</v>
      </c>
      <c r="D122" s="322">
        <v>1</v>
      </c>
      <c r="E122" s="150" t="s">
        <v>2064</v>
      </c>
      <c r="F122" s="138"/>
      <c r="G122" s="137" t="s">
        <v>13</v>
      </c>
    </row>
    <row r="123" spans="1:7">
      <c r="A123" s="142"/>
      <c r="B123" s="141" t="s">
        <v>1944</v>
      </c>
      <c r="C123" s="140">
        <v>0</v>
      </c>
      <c r="D123" s="140">
        <v>0</v>
      </c>
      <c r="E123" s="150" t="s">
        <v>2065</v>
      </c>
      <c r="F123" s="138"/>
      <c r="G123" s="137" t="s">
        <v>12</v>
      </c>
    </row>
    <row r="124" spans="1:7" ht="25.5">
      <c r="A124" s="142"/>
      <c r="B124" s="141" t="s">
        <v>1949</v>
      </c>
      <c r="C124" s="140">
        <v>0</v>
      </c>
      <c r="D124" s="140">
        <v>0</v>
      </c>
      <c r="E124" s="180" t="s">
        <v>1950</v>
      </c>
      <c r="F124" s="138"/>
      <c r="G124" s="137" t="s">
        <v>11</v>
      </c>
    </row>
    <row r="125" spans="1:7">
      <c r="A125" s="142"/>
      <c r="B125" s="141" t="s">
        <v>2173</v>
      </c>
      <c r="C125" s="140">
        <v>1</v>
      </c>
      <c r="D125" s="140">
        <v>1</v>
      </c>
      <c r="E125" s="150" t="s">
        <v>2174</v>
      </c>
      <c r="F125" s="138"/>
      <c r="G125" s="137" t="s">
        <v>10</v>
      </c>
    </row>
    <row r="126" spans="1:7">
      <c r="A126" s="142"/>
      <c r="B126" s="141" t="s">
        <v>2175</v>
      </c>
      <c r="C126" s="140">
        <v>1</v>
      </c>
      <c r="D126" s="140">
        <v>1</v>
      </c>
      <c r="E126" s="150" t="s">
        <v>2176</v>
      </c>
      <c r="F126" s="138"/>
      <c r="G126" s="137" t="s">
        <v>8</v>
      </c>
    </row>
    <row r="127" spans="1:7" ht="13.5" thickBot="1">
      <c r="A127" s="136"/>
      <c r="B127" s="135" t="str">
        <f>"reserved_byte"&amp;A119&amp;"_bit_7"</f>
        <v>reserved_byte13_bit_7</v>
      </c>
      <c r="C127" s="132">
        <v>0</v>
      </c>
      <c r="D127" s="132">
        <v>0</v>
      </c>
      <c r="E127" s="149" t="s">
        <v>33</v>
      </c>
      <c r="F127" s="133"/>
      <c r="G127" s="132" t="s">
        <v>7</v>
      </c>
    </row>
    <row r="128" spans="1:7" ht="13.5" thickTop="1">
      <c r="A128" s="148">
        <f>A119+1</f>
        <v>14</v>
      </c>
      <c r="B128" s="147" t="str">
        <f>"Byte" &amp;A128&amp;" Name"</f>
        <v>Byte14 Name</v>
      </c>
      <c r="C128" s="146" t="str">
        <f>DEC2HEX(C129+C130*2+C131*4+C132*8+C133*16+C134*32+C135*64+C136*128)</f>
        <v>F</v>
      </c>
      <c r="D128" s="146" t="str">
        <f>DEC2HEX(D129+D130*2+D131*4+D132*8+D133*16+D134*32+D135*64+D136*128)</f>
        <v>F</v>
      </c>
      <c r="E128" s="151" t="str">
        <f>B128</f>
        <v>Byte14 Name</v>
      </c>
      <c r="F128" s="144" t="str">
        <f>DEC2HEX((HEX2DEC(F119)+1),4)</f>
        <v>0A0F</v>
      </c>
      <c r="G128" s="143" t="s">
        <v>22</v>
      </c>
    </row>
    <row r="129" spans="1:7">
      <c r="A129" s="142"/>
      <c r="B129" s="141" t="s">
        <v>2177</v>
      </c>
      <c r="C129" s="140">
        <v>1</v>
      </c>
      <c r="D129" s="140">
        <v>1</v>
      </c>
      <c r="E129" s="150" t="s">
        <v>2178</v>
      </c>
      <c r="F129" s="138"/>
      <c r="G129" s="137" t="s">
        <v>15</v>
      </c>
    </row>
    <row r="130" spans="1:7">
      <c r="A130" s="142"/>
      <c r="B130" s="141" t="s">
        <v>2179</v>
      </c>
      <c r="C130" s="140">
        <v>1</v>
      </c>
      <c r="D130" s="140">
        <v>1</v>
      </c>
      <c r="E130" s="150" t="s">
        <v>2180</v>
      </c>
      <c r="F130" s="138"/>
      <c r="G130" s="137" t="s">
        <v>14</v>
      </c>
    </row>
    <row r="131" spans="1:7">
      <c r="A131" s="142"/>
      <c r="B131" s="292" t="s">
        <v>2446</v>
      </c>
      <c r="C131" s="140">
        <v>1</v>
      </c>
      <c r="D131" s="140">
        <v>1</v>
      </c>
      <c r="E131" s="150" t="s">
        <v>2447</v>
      </c>
      <c r="F131" s="138"/>
      <c r="G131" s="137" t="s">
        <v>13</v>
      </c>
    </row>
    <row r="132" spans="1:7">
      <c r="A132" s="142"/>
      <c r="B132" s="141" t="s">
        <v>2448</v>
      </c>
      <c r="C132" s="140">
        <v>1</v>
      </c>
      <c r="D132" s="140">
        <v>1</v>
      </c>
      <c r="E132" s="150" t="s">
        <v>2449</v>
      </c>
      <c r="F132" s="138"/>
      <c r="G132" s="137" t="s">
        <v>12</v>
      </c>
    </row>
    <row r="133" spans="1:7">
      <c r="A133" s="142"/>
      <c r="B133" s="141" t="s">
        <v>2534</v>
      </c>
      <c r="C133" s="140">
        <v>0</v>
      </c>
      <c r="D133" s="140">
        <v>0</v>
      </c>
      <c r="E133" s="150" t="s">
        <v>2535</v>
      </c>
      <c r="F133" s="138"/>
      <c r="G133" s="137" t="s">
        <v>11</v>
      </c>
    </row>
    <row r="134" spans="1:7">
      <c r="A134" s="142"/>
      <c r="B134" s="321" t="s">
        <v>2536</v>
      </c>
      <c r="C134" s="322">
        <v>0</v>
      </c>
      <c r="D134" s="322">
        <v>0</v>
      </c>
      <c r="E134" s="150" t="s">
        <v>2537</v>
      </c>
      <c r="F134" s="138"/>
      <c r="G134" s="137" t="s">
        <v>10</v>
      </c>
    </row>
    <row r="135" spans="1:7">
      <c r="A135" s="142"/>
      <c r="B135" s="321" t="s">
        <v>2540</v>
      </c>
      <c r="C135" s="322">
        <v>0</v>
      </c>
      <c r="D135" s="322">
        <v>0</v>
      </c>
      <c r="E135" s="150" t="s">
        <v>2541</v>
      </c>
      <c r="F135" s="138"/>
      <c r="G135" s="137" t="s">
        <v>8</v>
      </c>
    </row>
    <row r="136" spans="1:7" ht="13.5" thickBot="1">
      <c r="A136" s="136"/>
      <c r="B136" s="135" t="str">
        <f>"reserved_byte"&amp;A128&amp;"_bit_7"</f>
        <v>reserved_byte14_bit_7</v>
      </c>
      <c r="C136" s="132">
        <v>0</v>
      </c>
      <c r="D136" s="132">
        <v>0</v>
      </c>
      <c r="E136" s="149" t="s">
        <v>33</v>
      </c>
      <c r="F136" s="133"/>
      <c r="G136" s="132" t="s">
        <v>7</v>
      </c>
    </row>
    <row r="137" spans="1:7" ht="13.5" thickTop="1">
      <c r="A137" s="148">
        <f>A128+1</f>
        <v>15</v>
      </c>
      <c r="B137" s="147" t="str">
        <f>"Byte" &amp;A137&amp;" Name"</f>
        <v>Byte15 Name</v>
      </c>
      <c r="C137" s="146" t="str">
        <f>DEC2HEX(C138+C139*2+C140*4+C141*8+C142*16+C143*32+C144*64+C145*128)</f>
        <v>19</v>
      </c>
      <c r="D137" s="146" t="str">
        <f>DEC2HEX(D138+D139*2+D140*4+D141*8+D142*16+D143*32+D144*64+D145*128)</f>
        <v>19</v>
      </c>
      <c r="E137" s="145" t="str">
        <f>B137</f>
        <v>Byte15 Name</v>
      </c>
      <c r="F137" s="144" t="str">
        <f>DEC2HEX((HEX2DEC(F128)+1),4)</f>
        <v>0A10</v>
      </c>
      <c r="G137" s="143" t="s">
        <v>22</v>
      </c>
    </row>
    <row r="138" spans="1:7">
      <c r="A138" s="142"/>
      <c r="B138" s="141" t="s">
        <v>2578</v>
      </c>
      <c r="C138" s="140">
        <v>1</v>
      </c>
      <c r="D138" s="140">
        <v>1</v>
      </c>
      <c r="E138" s="139" t="s">
        <v>2579</v>
      </c>
      <c r="F138" s="138"/>
      <c r="G138" s="137" t="s">
        <v>15</v>
      </c>
    </row>
    <row r="139" spans="1:7" ht="25.5">
      <c r="A139" s="142"/>
      <c r="B139" s="317" t="s">
        <v>2575</v>
      </c>
      <c r="C139" s="323">
        <v>0</v>
      </c>
      <c r="D139" s="323">
        <v>0</v>
      </c>
      <c r="E139" s="139" t="s">
        <v>2577</v>
      </c>
      <c r="F139" s="138"/>
      <c r="G139" s="137" t="s">
        <v>14</v>
      </c>
    </row>
    <row r="140" spans="1:7">
      <c r="A140" s="142"/>
      <c r="B140" s="141" t="s">
        <v>2580</v>
      </c>
      <c r="C140" s="140">
        <v>0</v>
      </c>
      <c r="D140" s="140">
        <v>0</v>
      </c>
      <c r="E140" s="139" t="s">
        <v>2581</v>
      </c>
      <c r="F140" s="138"/>
      <c r="G140" s="137" t="s">
        <v>13</v>
      </c>
    </row>
    <row r="141" spans="1:7" ht="25.5">
      <c r="A141" s="142"/>
      <c r="B141" s="141" t="s">
        <v>2587</v>
      </c>
      <c r="C141" s="140">
        <v>1</v>
      </c>
      <c r="D141" s="140">
        <v>1</v>
      </c>
      <c r="E141" s="139" t="s">
        <v>2588</v>
      </c>
      <c r="F141" s="138"/>
      <c r="G141" s="137" t="s">
        <v>12</v>
      </c>
    </row>
    <row r="142" spans="1:7" ht="25.5">
      <c r="A142" s="142"/>
      <c r="B142" s="141" t="s">
        <v>2589</v>
      </c>
      <c r="C142" s="140">
        <v>1</v>
      </c>
      <c r="D142" s="140">
        <v>1</v>
      </c>
      <c r="E142" s="139" t="s">
        <v>2590</v>
      </c>
      <c r="F142" s="138"/>
      <c r="G142" s="137" t="s">
        <v>11</v>
      </c>
    </row>
    <row r="143" spans="1:7">
      <c r="A143" s="142"/>
      <c r="B143" s="141" t="s">
        <v>2597</v>
      </c>
      <c r="C143" s="140">
        <v>0</v>
      </c>
      <c r="D143" s="140">
        <v>0</v>
      </c>
      <c r="E143" s="139" t="s">
        <v>2598</v>
      </c>
      <c r="F143" s="138"/>
      <c r="G143" s="137" t="s">
        <v>10</v>
      </c>
    </row>
    <row r="144" spans="1:7">
      <c r="A144" s="142"/>
      <c r="B144" s="141" t="s">
        <v>2599</v>
      </c>
      <c r="C144" s="140">
        <v>0</v>
      </c>
      <c r="D144" s="140">
        <v>0</v>
      </c>
      <c r="E144" s="139" t="s">
        <v>2600</v>
      </c>
      <c r="F144" s="138"/>
      <c r="G144" s="137" t="s">
        <v>8</v>
      </c>
    </row>
    <row r="145" spans="1:7" ht="13.5" thickBot="1">
      <c r="A145" s="136"/>
      <c r="B145" s="135" t="str">
        <f>"reserved_byte"&amp;A137&amp;"_bit_7"</f>
        <v>reserved_byte15_bit_7</v>
      </c>
      <c r="C145" s="132">
        <v>0</v>
      </c>
      <c r="D145" s="132">
        <v>0</v>
      </c>
      <c r="E145" s="134" t="s">
        <v>33</v>
      </c>
      <c r="F145" s="133"/>
      <c r="G145" s="132" t="s">
        <v>7</v>
      </c>
    </row>
    <row r="146" spans="1:7" ht="13.5" thickTop="1"/>
  </sheetData>
  <dataConsolidate/>
  <conditionalFormatting sqref="J1 J20:J65211">
    <cfRule type="cellIs" dxfId="13" priority="3" stopIfTrue="1" operator="greaterThan">
      <formula>21</formula>
    </cfRule>
  </conditionalFormatting>
  <conditionalFormatting sqref="J2:J10">
    <cfRule type="cellIs" dxfId="12" priority="2" stopIfTrue="1" operator="greaterThan">
      <formula>21</formula>
    </cfRule>
  </conditionalFormatting>
  <conditionalFormatting sqref="J11:J19">
    <cfRule type="cellIs" dxfId="11" priority="1" stopIfTrue="1" operator="greaterThan">
      <formula>21</formula>
    </cfRule>
  </conditionalFormatting>
  <dataValidations count="4">
    <dataValidation operator="lessThan" allowBlank="1" showInputMessage="1" showErrorMessage="1" errorTitle="Achtung: Fehler!" error="Name darf nicht mehr als 21 Zeichen enthalten!" sqref="A2:A145"/>
    <dataValidation type="custom" allowBlank="1" showInputMessage="1" showErrorMessage="1" sqref="C10:D10 C19:D19 C28:D28 C37:D37 C46:D46 C55:D55 C64:D64 C73:D73 C82:D82 C91:D91 C100:D100 C109:D109 C118:D118 C145:D145 C136:D136 C127:D127">
      <formula1>0</formula1>
    </dataValidation>
    <dataValidation type="list" allowBlank="1" showInputMessage="1" showErrorMessage="1" sqref="J2 C93:D99 C75:D81 C21:D27 C30:D36 C39:D45 C48:D54 C57:D63 C66:D72 C120:D126 C84:D90 C129:D135 C102:D108 C111:D117 C12:D18 C3:D9 C138:D144">
      <formula1>"0,1"</formula1>
    </dataValidation>
    <dataValidation type="custom" allowBlank="1" showInputMessage="1" showErrorMessage="1" promptTitle="This bit can't used." sqref="B10 B19 B28 B37 B46 B55 B64 B73 B82 B91 B100 B109 B118 B145 B136 B127">
      <formula1>"not usable bit"</formula1>
    </dataValidation>
  </dataValidations>
  <pageMargins left="0.59055118110236227" right="0.59055118110236227" top="0.59055118110236227" bottom="0.98425196850393704" header="0.51181102362204722" footer="0.51181102362204722"/>
  <pageSetup paperSize="9" scale="80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>
    <tabColor rgb="FFFF0000"/>
    <pageSetUpPr fitToPage="1"/>
  </sheetPr>
  <dimension ref="A1:G38"/>
  <sheetViews>
    <sheetView topLeftCell="A10" zoomScaleNormal="100" zoomScaleSheetLayoutView="50" workbookViewId="0">
      <selection activeCell="D24" sqref="D24"/>
    </sheetView>
  </sheetViews>
  <sheetFormatPr defaultColWidth="11.42578125" defaultRowHeight="12.75"/>
  <cols>
    <col min="1" max="1" width="12.7109375" style="131" bestFit="1" customWidth="1"/>
    <col min="2" max="2" width="38.5703125" style="112" bestFit="1" customWidth="1"/>
    <col min="3" max="4" width="9.7109375" style="122" customWidth="1"/>
    <col min="5" max="5" width="77.7109375" style="112" customWidth="1"/>
    <col min="6" max="6" width="9.7109375" style="122" customWidth="1"/>
    <col min="7" max="7" width="9.7109375" style="112" customWidth="1"/>
    <col min="8" max="8" width="10.28515625" style="112" bestFit="1" customWidth="1"/>
    <col min="9" max="16384" width="11.42578125" style="112"/>
  </cols>
  <sheetData>
    <row r="1" spans="1:7" ht="38.25">
      <c r="A1" s="156" t="s">
        <v>20</v>
      </c>
      <c r="B1" s="156" t="s">
        <v>64</v>
      </c>
      <c r="C1" s="156" t="s">
        <v>34</v>
      </c>
      <c r="D1" s="156" t="s">
        <v>35</v>
      </c>
      <c r="E1" s="156" t="s">
        <v>21</v>
      </c>
      <c r="F1" s="156" t="s">
        <v>4</v>
      </c>
      <c r="G1" s="156" t="s">
        <v>16</v>
      </c>
    </row>
    <row r="2" spans="1:7">
      <c r="A2" s="155">
        <v>0</v>
      </c>
      <c r="B2" s="147" t="str">
        <f>"Byte" &amp;A2&amp;" Name"</f>
        <v>Byte0 Name</v>
      </c>
      <c r="C2" s="146" t="str">
        <f>DEC2HEX(C3+C4*2+C5*4+C6*8+C7*16+C8*32+C9*64+C10*128)</f>
        <v>4F</v>
      </c>
      <c r="D2" s="146" t="str">
        <f>DEC2HEX(D3+D4*2+D5*4+D6*8+D7*16+D8*32+D9*64+D10*128)</f>
        <v>4F</v>
      </c>
      <c r="E2" s="154" t="str">
        <f>B2</f>
        <v>Byte0 Name</v>
      </c>
      <c r="F2" s="153" t="s">
        <v>91</v>
      </c>
      <c r="G2" s="137" t="s">
        <v>22</v>
      </c>
    </row>
    <row r="3" spans="1:7" ht="25.5">
      <c r="A3" s="142"/>
      <c r="B3" s="320" t="s">
        <v>581</v>
      </c>
      <c r="C3" s="178">
        <v>1</v>
      </c>
      <c r="D3" s="176">
        <v>1</v>
      </c>
      <c r="E3" s="139" t="s">
        <v>1106</v>
      </c>
      <c r="F3" s="138"/>
      <c r="G3" s="137" t="s">
        <v>15</v>
      </c>
    </row>
    <row r="4" spans="1:7" ht="25.5">
      <c r="A4" s="142"/>
      <c r="B4" s="320" t="s">
        <v>279</v>
      </c>
      <c r="C4" s="178">
        <v>1</v>
      </c>
      <c r="D4" s="176">
        <v>1</v>
      </c>
      <c r="E4" s="139" t="s">
        <v>1107</v>
      </c>
      <c r="F4" s="138"/>
      <c r="G4" s="137" t="s">
        <v>14</v>
      </c>
    </row>
    <row r="5" spans="1:7">
      <c r="A5" s="142"/>
      <c r="B5" s="141" t="s">
        <v>283</v>
      </c>
      <c r="C5" s="152">
        <v>1</v>
      </c>
      <c r="D5" s="140">
        <v>1</v>
      </c>
      <c r="E5" s="139" t="s">
        <v>1108</v>
      </c>
      <c r="F5" s="138"/>
      <c r="G5" s="137" t="s">
        <v>13</v>
      </c>
    </row>
    <row r="6" spans="1:7">
      <c r="A6" s="142"/>
      <c r="B6" s="141" t="s">
        <v>284</v>
      </c>
      <c r="C6" s="152">
        <v>1</v>
      </c>
      <c r="D6" s="140">
        <v>1</v>
      </c>
      <c r="E6" s="139" t="s">
        <v>1109</v>
      </c>
      <c r="F6" s="138"/>
      <c r="G6" s="137" t="s">
        <v>12</v>
      </c>
    </row>
    <row r="7" spans="1:7" ht="38.25">
      <c r="A7" s="142"/>
      <c r="B7" s="141" t="s">
        <v>295</v>
      </c>
      <c r="C7" s="152">
        <v>0</v>
      </c>
      <c r="D7" s="140">
        <v>0</v>
      </c>
      <c r="E7" s="139" t="s">
        <v>1110</v>
      </c>
      <c r="F7" s="138"/>
      <c r="G7" s="137" t="s">
        <v>11</v>
      </c>
    </row>
    <row r="8" spans="1:7" ht="25.5">
      <c r="A8" s="142"/>
      <c r="B8" s="141" t="s">
        <v>302</v>
      </c>
      <c r="C8" s="152">
        <v>0</v>
      </c>
      <c r="D8" s="140">
        <v>0</v>
      </c>
      <c r="E8" s="139" t="s">
        <v>1211</v>
      </c>
      <c r="F8" s="138"/>
      <c r="G8" s="137" t="s">
        <v>10</v>
      </c>
    </row>
    <row r="9" spans="1:7" ht="25.5">
      <c r="A9" s="142"/>
      <c r="B9" s="141" t="s">
        <v>352</v>
      </c>
      <c r="C9" s="152">
        <v>1</v>
      </c>
      <c r="D9" s="140">
        <v>1</v>
      </c>
      <c r="E9" s="139" t="s">
        <v>1111</v>
      </c>
      <c r="F9" s="138"/>
      <c r="G9" s="137" t="s">
        <v>8</v>
      </c>
    </row>
    <row r="10" spans="1:7" ht="13.5" thickBot="1">
      <c r="A10" s="136"/>
      <c r="B10" s="135" t="str">
        <f>"reserved_byte"&amp;A2&amp;"_bit_7"</f>
        <v>reserved_byte0_bit_7</v>
      </c>
      <c r="C10" s="132">
        <v>0</v>
      </c>
      <c r="D10" s="132">
        <v>0</v>
      </c>
      <c r="E10" s="134" t="s">
        <v>33</v>
      </c>
      <c r="F10" s="133"/>
      <c r="G10" s="132" t="s">
        <v>7</v>
      </c>
    </row>
    <row r="11" spans="1:7" ht="13.5" thickTop="1">
      <c r="A11" s="148">
        <f>A2+1</f>
        <v>1</v>
      </c>
      <c r="B11" s="147" t="str">
        <f>"Byte" &amp;A11&amp;" Name"</f>
        <v>Byte1 Name</v>
      </c>
      <c r="C11" s="146" t="str">
        <f>DEC2HEX(C12+C13*2+C14*4+C15*8+C16*16+C17*32+C18*64+C19*128)</f>
        <v>58</v>
      </c>
      <c r="D11" s="146" t="str">
        <f>DEC2HEX(D12+D13*2+D14*4+D15*8+D16*16+D17*32+D18*64+D19*128)</f>
        <v>58</v>
      </c>
      <c r="E11" s="145" t="str">
        <f>B11</f>
        <v>Byte1 Name</v>
      </c>
      <c r="F11" s="144" t="str">
        <f>DEC2HEX((HEX2DEC(F2)+1),4)</f>
        <v>0B02</v>
      </c>
      <c r="G11" s="143" t="s">
        <v>22</v>
      </c>
    </row>
    <row r="12" spans="1:7" ht="25.5">
      <c r="A12" s="142"/>
      <c r="B12" s="141" t="s">
        <v>127</v>
      </c>
      <c r="C12" s="152">
        <v>0</v>
      </c>
      <c r="D12" s="152">
        <v>0</v>
      </c>
      <c r="E12" s="139" t="s">
        <v>1112</v>
      </c>
      <c r="F12" s="138"/>
      <c r="G12" s="137" t="s">
        <v>15</v>
      </c>
    </row>
    <row r="13" spans="1:7">
      <c r="A13" s="142"/>
      <c r="B13" s="320" t="s">
        <v>340</v>
      </c>
      <c r="C13" s="178">
        <v>0</v>
      </c>
      <c r="D13" s="178">
        <v>0</v>
      </c>
      <c r="E13" s="139" t="s">
        <v>1113</v>
      </c>
      <c r="F13" s="138"/>
      <c r="G13" s="137" t="s">
        <v>14</v>
      </c>
    </row>
    <row r="14" spans="1:7" ht="25.5">
      <c r="A14" s="142"/>
      <c r="B14" s="320" t="s">
        <v>594</v>
      </c>
      <c r="C14" s="178">
        <v>0</v>
      </c>
      <c r="D14" s="178">
        <v>0</v>
      </c>
      <c r="E14" s="139" t="s">
        <v>1114</v>
      </c>
      <c r="F14" s="138"/>
      <c r="G14" s="137" t="s">
        <v>13</v>
      </c>
    </row>
    <row r="15" spans="1:7">
      <c r="A15" s="142"/>
      <c r="B15" s="320" t="s">
        <v>307</v>
      </c>
      <c r="C15" s="178">
        <v>1</v>
      </c>
      <c r="D15" s="178">
        <v>1</v>
      </c>
      <c r="E15" s="139" t="s">
        <v>1115</v>
      </c>
      <c r="F15" s="138"/>
      <c r="G15" s="137" t="s">
        <v>12</v>
      </c>
    </row>
    <row r="16" spans="1:7">
      <c r="A16" s="142"/>
      <c r="B16" s="320" t="s">
        <v>309</v>
      </c>
      <c r="C16" s="178">
        <v>1</v>
      </c>
      <c r="D16" s="178">
        <v>1</v>
      </c>
      <c r="E16" s="150" t="s">
        <v>1120</v>
      </c>
      <c r="F16" s="138"/>
      <c r="G16" s="137" t="s">
        <v>11</v>
      </c>
    </row>
    <row r="17" spans="1:7">
      <c r="A17" s="142"/>
      <c r="B17" s="320" t="s">
        <v>595</v>
      </c>
      <c r="C17" s="178">
        <v>0</v>
      </c>
      <c r="D17" s="178">
        <v>0</v>
      </c>
      <c r="E17" s="139" t="s">
        <v>1116</v>
      </c>
      <c r="F17" s="138"/>
      <c r="G17" s="137" t="s">
        <v>10</v>
      </c>
    </row>
    <row r="18" spans="1:7">
      <c r="A18" s="142"/>
      <c r="B18" s="141" t="s">
        <v>596</v>
      </c>
      <c r="C18" s="152">
        <v>1</v>
      </c>
      <c r="D18" s="152">
        <v>1</v>
      </c>
      <c r="E18" s="139" t="s">
        <v>1117</v>
      </c>
      <c r="F18" s="138"/>
      <c r="G18" s="137" t="s">
        <v>8</v>
      </c>
    </row>
    <row r="19" spans="1:7" ht="13.5" thickBot="1">
      <c r="A19" s="136"/>
      <c r="B19" s="135" t="str">
        <f>"reserved_byte"&amp;A11&amp;"_bit_7"</f>
        <v>reserved_byte1_bit_7</v>
      </c>
      <c r="C19" s="132">
        <v>0</v>
      </c>
      <c r="D19" s="132">
        <v>0</v>
      </c>
      <c r="E19" s="134" t="s">
        <v>33</v>
      </c>
      <c r="F19" s="133"/>
      <c r="G19" s="132" t="s">
        <v>7</v>
      </c>
    </row>
    <row r="20" spans="1:7" ht="13.5" thickTop="1">
      <c r="A20" s="148">
        <f>A11+1</f>
        <v>2</v>
      </c>
      <c r="B20" s="147" t="str">
        <f>"Byte" &amp;A20&amp;" Name"</f>
        <v>Byte2 Name</v>
      </c>
      <c r="C20" s="146" t="str">
        <f>DEC2HEX(C21+C22*2+C23*4+C24*8+C25*16+C26*32+C27*64+C28*128)</f>
        <v>22</v>
      </c>
      <c r="D20" s="146" t="str">
        <f>DEC2HEX(D21+D22*2+D23*4+D24*8+D25*16+D26*32+D27*64+D28*128)</f>
        <v>22</v>
      </c>
      <c r="E20" s="145" t="str">
        <f>B20</f>
        <v>Byte2 Name</v>
      </c>
      <c r="F20" s="144" t="str">
        <f>DEC2HEX((HEX2DEC(F11)+1),4)</f>
        <v>0B03</v>
      </c>
      <c r="G20" s="143" t="s">
        <v>22</v>
      </c>
    </row>
    <row r="21" spans="1:7">
      <c r="A21" s="142"/>
      <c r="B21" s="320" t="s">
        <v>590</v>
      </c>
      <c r="C21" s="178">
        <v>0</v>
      </c>
      <c r="D21" s="178">
        <v>0</v>
      </c>
      <c r="E21" s="139" t="s">
        <v>1118</v>
      </c>
      <c r="F21" s="138"/>
      <c r="G21" s="137" t="s">
        <v>15</v>
      </c>
    </row>
    <row r="22" spans="1:7">
      <c r="A22" s="142"/>
      <c r="B22" s="320" t="s">
        <v>591</v>
      </c>
      <c r="C22" s="178">
        <v>1</v>
      </c>
      <c r="D22" s="178">
        <v>1</v>
      </c>
      <c r="E22" s="139" t="s">
        <v>1119</v>
      </c>
      <c r="F22" s="138"/>
      <c r="G22" s="137" t="s">
        <v>14</v>
      </c>
    </row>
    <row r="23" spans="1:7">
      <c r="A23" s="142"/>
      <c r="B23" s="320" t="s">
        <v>597</v>
      </c>
      <c r="C23" s="178">
        <v>0</v>
      </c>
      <c r="D23" s="178">
        <v>0</v>
      </c>
      <c r="E23" s="139" t="s">
        <v>1204</v>
      </c>
      <c r="F23" s="138"/>
      <c r="G23" s="137" t="s">
        <v>13</v>
      </c>
    </row>
    <row r="24" spans="1:7">
      <c r="A24" s="142"/>
      <c r="B24" s="320" t="s">
        <v>598</v>
      </c>
      <c r="C24" s="178">
        <v>0</v>
      </c>
      <c r="D24" s="178">
        <v>0</v>
      </c>
      <c r="E24" s="139" t="s">
        <v>1205</v>
      </c>
      <c r="F24" s="138"/>
      <c r="G24" s="137" t="s">
        <v>12</v>
      </c>
    </row>
    <row r="25" spans="1:7">
      <c r="A25" s="142"/>
      <c r="B25" s="141" t="s">
        <v>1900</v>
      </c>
      <c r="C25" s="140">
        <v>0</v>
      </c>
      <c r="D25" s="140">
        <v>0</v>
      </c>
      <c r="E25" s="139" t="s">
        <v>1901</v>
      </c>
      <c r="F25" s="138"/>
      <c r="G25" s="137" t="s">
        <v>11</v>
      </c>
    </row>
    <row r="26" spans="1:7">
      <c r="A26" s="142"/>
      <c r="B26" s="141" t="s">
        <v>1945</v>
      </c>
      <c r="C26" s="140">
        <v>1</v>
      </c>
      <c r="D26" s="140">
        <v>1</v>
      </c>
      <c r="E26" s="150" t="s">
        <v>1946</v>
      </c>
      <c r="F26" s="138"/>
      <c r="G26" s="137" t="s">
        <v>10</v>
      </c>
    </row>
    <row r="27" spans="1:7">
      <c r="A27" s="142"/>
      <c r="B27" s="141" t="s">
        <v>2445</v>
      </c>
      <c r="C27" s="152">
        <v>0</v>
      </c>
      <c r="D27" s="152">
        <v>0</v>
      </c>
      <c r="E27" s="139" t="s">
        <v>2444</v>
      </c>
      <c r="F27" s="138"/>
      <c r="G27" s="137" t="s">
        <v>8</v>
      </c>
    </row>
    <row r="28" spans="1:7" ht="13.5" thickBot="1">
      <c r="A28" s="136"/>
      <c r="B28" s="135" t="str">
        <f>"reserved_byte"&amp;A20&amp;"_bit_7"</f>
        <v>reserved_byte2_bit_7</v>
      </c>
      <c r="C28" s="132">
        <v>0</v>
      </c>
      <c r="D28" s="132">
        <v>0</v>
      </c>
      <c r="E28" s="134" t="s">
        <v>33</v>
      </c>
      <c r="F28" s="133"/>
      <c r="G28" s="132" t="s">
        <v>7</v>
      </c>
    </row>
    <row r="29" spans="1:7" ht="13.5" thickTop="1">
      <c r="A29" s="148">
        <f>A20+1</f>
        <v>3</v>
      </c>
      <c r="B29" s="147" t="str">
        <f>"Byte" &amp;A29&amp;" Name"</f>
        <v>Byte3 Name</v>
      </c>
      <c r="C29" s="146" t="str">
        <f>DEC2HEX(C30+C31*2+C32*4+C33*8+C34*16+C35*32+C36*64+C37*128)</f>
        <v>75</v>
      </c>
      <c r="D29" s="146" t="str">
        <f>DEC2HEX(D30+D31*2+D32*4+D33*8+D34*16+D35*32+D36*64+D37*128)</f>
        <v>75</v>
      </c>
      <c r="E29" s="145" t="str">
        <f>B29</f>
        <v>Byte3 Name</v>
      </c>
      <c r="F29" s="144" t="str">
        <f>DEC2HEX((HEX2DEC(F20)+1),4)</f>
        <v>0B04</v>
      </c>
      <c r="G29" s="143" t="s">
        <v>22</v>
      </c>
    </row>
    <row r="30" spans="1:7">
      <c r="A30" s="142"/>
      <c r="B30" s="141" t="s">
        <v>2061</v>
      </c>
      <c r="C30" s="152">
        <v>1</v>
      </c>
      <c r="D30" s="152">
        <v>1</v>
      </c>
      <c r="E30" s="139" t="s">
        <v>2062</v>
      </c>
      <c r="F30" s="138"/>
      <c r="G30" s="137" t="s">
        <v>15</v>
      </c>
    </row>
    <row r="31" spans="1:7">
      <c r="A31" s="142"/>
      <c r="B31" s="320" t="s">
        <v>2568</v>
      </c>
      <c r="C31" s="176">
        <v>0</v>
      </c>
      <c r="D31" s="176">
        <v>0</v>
      </c>
      <c r="E31" s="150" t="s">
        <v>2569</v>
      </c>
      <c r="F31" s="138"/>
      <c r="G31" s="137" t="s">
        <v>14</v>
      </c>
    </row>
    <row r="32" spans="1:7">
      <c r="A32" s="142"/>
      <c r="B32" s="320" t="s">
        <v>1948</v>
      </c>
      <c r="C32" s="176">
        <v>1</v>
      </c>
      <c r="D32" s="176">
        <v>1</v>
      </c>
      <c r="E32" s="150" t="s">
        <v>2066</v>
      </c>
      <c r="F32" s="138"/>
      <c r="G32" s="137" t="s">
        <v>13</v>
      </c>
    </row>
    <row r="33" spans="1:7">
      <c r="A33" s="142"/>
      <c r="B33" s="320" t="s">
        <v>2574</v>
      </c>
      <c r="C33" s="176">
        <v>0</v>
      </c>
      <c r="D33" s="176">
        <v>0</v>
      </c>
      <c r="E33" s="139" t="s">
        <v>2576</v>
      </c>
      <c r="F33" s="138"/>
      <c r="G33" s="137" t="s">
        <v>12</v>
      </c>
    </row>
    <row r="34" spans="1:7" ht="25.5">
      <c r="A34" s="142"/>
      <c r="B34" s="320" t="s">
        <v>2582</v>
      </c>
      <c r="C34" s="176">
        <v>1</v>
      </c>
      <c r="D34" s="176">
        <v>1</v>
      </c>
      <c r="E34" s="139" t="s">
        <v>2583</v>
      </c>
      <c r="F34" s="138"/>
      <c r="G34" s="137" t="s">
        <v>11</v>
      </c>
    </row>
    <row r="35" spans="1:7" ht="25.5">
      <c r="A35" s="142"/>
      <c r="B35" s="141" t="s">
        <v>3016</v>
      </c>
      <c r="C35" s="140">
        <v>1</v>
      </c>
      <c r="D35" s="140">
        <v>1</v>
      </c>
      <c r="E35" s="139" t="s">
        <v>3018</v>
      </c>
      <c r="F35" s="138"/>
      <c r="G35" s="137" t="s">
        <v>10</v>
      </c>
    </row>
    <row r="36" spans="1:7" ht="25.5">
      <c r="A36" s="142"/>
      <c r="B36" s="141" t="s">
        <v>3017</v>
      </c>
      <c r="C36" s="140">
        <v>1</v>
      </c>
      <c r="D36" s="140">
        <v>1</v>
      </c>
      <c r="E36" s="139" t="s">
        <v>3019</v>
      </c>
      <c r="F36" s="138"/>
      <c r="G36" s="137" t="s">
        <v>8</v>
      </c>
    </row>
    <row r="37" spans="1:7" ht="13.5" thickBot="1">
      <c r="A37" s="136"/>
      <c r="B37" s="135" t="str">
        <f>"reserved_byte"&amp;A29&amp;"_bit_7"</f>
        <v>reserved_byte3_bit_7</v>
      </c>
      <c r="C37" s="132">
        <v>0</v>
      </c>
      <c r="D37" s="132">
        <v>0</v>
      </c>
      <c r="E37" s="134" t="s">
        <v>33</v>
      </c>
      <c r="F37" s="133"/>
      <c r="G37" s="132" t="s">
        <v>7</v>
      </c>
    </row>
    <row r="38" spans="1:7" ht="13.5" thickTop="1"/>
  </sheetData>
  <dataConsolidate/>
  <conditionalFormatting sqref="J21:J65293 J19 J1:J9">
    <cfRule type="cellIs" dxfId="10" priority="3" stopIfTrue="1" operator="greaterThan">
      <formula>21</formula>
    </cfRule>
  </conditionalFormatting>
  <conditionalFormatting sqref="J10:J18">
    <cfRule type="cellIs" dxfId="9" priority="1" stopIfTrue="1" operator="greaterThan">
      <formula>21</formula>
    </cfRule>
  </conditionalFormatting>
  <dataValidations count="4">
    <dataValidation operator="lessThan" allowBlank="1" showInputMessage="1" showErrorMessage="1" errorTitle="Achtung: Fehler!" error="Name darf nicht mehr als 21 Zeichen enthalten!" sqref="A2:A37"/>
    <dataValidation type="custom" allowBlank="1" showInputMessage="1" showErrorMessage="1" sqref="C10:D10 C19:D19 C28:D28 C37:D37">
      <formula1>0</formula1>
    </dataValidation>
    <dataValidation type="list" allowBlank="1" showInputMessage="1" showErrorMessage="1" sqref="J2 C12:D18 C3:D9 C21:D27 C30:D36">
      <formula1>"0,1"</formula1>
    </dataValidation>
    <dataValidation type="custom" allowBlank="1" showInputMessage="1" showErrorMessage="1" promptTitle="This bit can't used." sqref="B10 B19 B28 B37">
      <formula1>"not usable bit"</formula1>
    </dataValidation>
  </dataValidations>
  <pageMargins left="0.59055118110236227" right="0.59055118110236227" top="0.59055118110236227" bottom="0.98425196850393704" header="0.51181102362204722" footer="0.51181102362204722"/>
  <pageSetup paperSize="9" scale="80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1">
    <tabColor rgb="FFFF0000"/>
    <pageSetUpPr fitToPage="1"/>
  </sheetPr>
  <dimension ref="A1:G38"/>
  <sheetViews>
    <sheetView zoomScaleNormal="100" zoomScaleSheetLayoutView="50" workbookViewId="0">
      <selection activeCell="E13" sqref="E13"/>
    </sheetView>
  </sheetViews>
  <sheetFormatPr defaultColWidth="11.42578125" defaultRowHeight="12.75"/>
  <cols>
    <col min="1" max="1" width="12.7109375" style="131" bestFit="1" customWidth="1"/>
    <col min="2" max="2" width="38.5703125" style="112" bestFit="1" customWidth="1"/>
    <col min="3" max="4" width="9.7109375" style="122" customWidth="1"/>
    <col min="5" max="5" width="77.7109375" style="112" customWidth="1"/>
    <col min="6" max="6" width="9.7109375" style="122" customWidth="1"/>
    <col min="7" max="7" width="9.7109375" style="112" customWidth="1"/>
    <col min="8" max="8" width="10.28515625" style="112" bestFit="1" customWidth="1"/>
    <col min="9" max="16384" width="11.42578125" style="112"/>
  </cols>
  <sheetData>
    <row r="1" spans="1:7" ht="38.25">
      <c r="A1" s="156" t="s">
        <v>20</v>
      </c>
      <c r="B1" s="156" t="s">
        <v>64</v>
      </c>
      <c r="C1" s="156" t="s">
        <v>34</v>
      </c>
      <c r="D1" s="156" t="s">
        <v>35</v>
      </c>
      <c r="E1" s="156" t="s">
        <v>21</v>
      </c>
      <c r="F1" s="156" t="s">
        <v>4</v>
      </c>
      <c r="G1" s="156" t="s">
        <v>16</v>
      </c>
    </row>
    <row r="2" spans="1:7">
      <c r="A2" s="155">
        <v>0</v>
      </c>
      <c r="B2" s="147" t="str">
        <f>"Byte" &amp;A2&amp;" Name"</f>
        <v>Byte0 Name</v>
      </c>
      <c r="C2" s="146" t="str">
        <f>DEC2HEX(C3+C4*2+C5*4+C6*8+C7*16+C8*32+C9*64+C10*128)</f>
        <v>7F</v>
      </c>
      <c r="D2" s="146" t="str">
        <f>DEC2HEX(D3+D4*2+D5*4+D6*8+D7*16+D8*32+D9*64+D10*128)</f>
        <v>7F</v>
      </c>
      <c r="E2" s="154" t="str">
        <f>B2</f>
        <v>Byte0 Name</v>
      </c>
      <c r="F2" s="153" t="s">
        <v>513</v>
      </c>
      <c r="G2" s="137" t="s">
        <v>22</v>
      </c>
    </row>
    <row r="3" spans="1:7" ht="25.5">
      <c r="A3" s="142"/>
      <c r="B3" s="141" t="s">
        <v>599</v>
      </c>
      <c r="C3" s="152">
        <v>1</v>
      </c>
      <c r="D3" s="152">
        <v>1</v>
      </c>
      <c r="E3" s="139" t="s">
        <v>600</v>
      </c>
      <c r="F3" s="138"/>
      <c r="G3" s="137" t="s">
        <v>15</v>
      </c>
    </row>
    <row r="4" spans="1:7">
      <c r="A4" s="142"/>
      <c r="B4" s="141" t="s">
        <v>350</v>
      </c>
      <c r="C4" s="152">
        <v>1</v>
      </c>
      <c r="D4" s="152">
        <v>1</v>
      </c>
      <c r="E4" s="139" t="s">
        <v>601</v>
      </c>
      <c r="F4" s="138"/>
      <c r="G4" s="137" t="s">
        <v>14</v>
      </c>
    </row>
    <row r="5" spans="1:7" ht="25.5">
      <c r="A5" s="142"/>
      <c r="B5" s="141" t="s">
        <v>336</v>
      </c>
      <c r="C5" s="152">
        <v>1</v>
      </c>
      <c r="D5" s="152">
        <v>1</v>
      </c>
      <c r="E5" s="139" t="s">
        <v>331</v>
      </c>
      <c r="F5" s="138"/>
      <c r="G5" s="137" t="s">
        <v>13</v>
      </c>
    </row>
    <row r="6" spans="1:7">
      <c r="A6" s="142"/>
      <c r="B6" s="141" t="s">
        <v>641</v>
      </c>
      <c r="C6" s="152">
        <v>1</v>
      </c>
      <c r="D6" s="152">
        <v>1</v>
      </c>
      <c r="E6" s="139" t="s">
        <v>642</v>
      </c>
      <c r="F6" s="138"/>
      <c r="G6" s="137" t="s">
        <v>12</v>
      </c>
    </row>
    <row r="7" spans="1:7" ht="25.5">
      <c r="A7" s="142"/>
      <c r="B7" s="141" t="s">
        <v>2152</v>
      </c>
      <c r="C7" s="140">
        <v>1</v>
      </c>
      <c r="D7" s="140">
        <v>1</v>
      </c>
      <c r="E7" s="139" t="s">
        <v>2141</v>
      </c>
      <c r="F7" s="138"/>
      <c r="G7" s="137" t="s">
        <v>11</v>
      </c>
    </row>
    <row r="8" spans="1:7" ht="25.5">
      <c r="A8" s="142"/>
      <c r="B8" s="141" t="s">
        <v>2142</v>
      </c>
      <c r="C8" s="140">
        <v>1</v>
      </c>
      <c r="D8" s="140">
        <v>1</v>
      </c>
      <c r="E8" s="139" t="s">
        <v>2143</v>
      </c>
      <c r="F8" s="138"/>
      <c r="G8" s="137" t="s">
        <v>10</v>
      </c>
    </row>
    <row r="9" spans="1:7">
      <c r="A9" s="142"/>
      <c r="B9" s="141" t="s">
        <v>3021</v>
      </c>
      <c r="C9" s="140">
        <v>1</v>
      </c>
      <c r="D9" s="140">
        <v>1</v>
      </c>
      <c r="E9" s="139" t="s">
        <v>3022</v>
      </c>
      <c r="F9" s="138"/>
      <c r="G9" s="137" t="s">
        <v>8</v>
      </c>
    </row>
    <row r="10" spans="1:7" ht="13.5" thickBot="1">
      <c r="A10" s="136"/>
      <c r="B10" s="135" t="str">
        <f>"reserved_byte"&amp;A2&amp;"_bit_7"</f>
        <v>reserved_byte0_bit_7</v>
      </c>
      <c r="C10" s="132">
        <v>0</v>
      </c>
      <c r="D10" s="132">
        <v>0</v>
      </c>
      <c r="E10" s="134" t="s">
        <v>33</v>
      </c>
      <c r="F10" s="133"/>
      <c r="G10" s="132" t="s">
        <v>7</v>
      </c>
    </row>
    <row r="11" spans="1:7" ht="13.5" thickTop="1">
      <c r="A11" s="148">
        <f>A2+1</f>
        <v>1</v>
      </c>
      <c r="B11" s="147" t="str">
        <f>"Byte" &amp;A11&amp;" Name"</f>
        <v>Byte1 Name</v>
      </c>
      <c r="C11" s="146" t="str">
        <f>DEC2HEX(C12+C13*2+C14*4+C15*8+C16*16+C17*32+C18*64+C19*128)</f>
        <v>1</v>
      </c>
      <c r="D11" s="146" t="str">
        <f>DEC2HEX(D12+D13*2+D14*4+D15*8+D16*16+D17*32+D18*64+D19*128)</f>
        <v>1</v>
      </c>
      <c r="E11" s="145" t="str">
        <f>B11</f>
        <v>Byte1 Name</v>
      </c>
      <c r="F11" s="144" t="str">
        <f>DEC2HEX((HEX2DEC(F2)+1),4)</f>
        <v>0C02</v>
      </c>
      <c r="G11" s="143" t="s">
        <v>22</v>
      </c>
    </row>
    <row r="12" spans="1:7" ht="25.5">
      <c r="A12" s="142"/>
      <c r="B12" s="141" t="s">
        <v>3023</v>
      </c>
      <c r="C12" s="140">
        <v>1</v>
      </c>
      <c r="D12" s="140">
        <v>1</v>
      </c>
      <c r="E12" s="139" t="s">
        <v>3024</v>
      </c>
      <c r="F12" s="138"/>
      <c r="G12" s="137" t="s">
        <v>15</v>
      </c>
    </row>
    <row r="13" spans="1:7">
      <c r="A13" s="142"/>
      <c r="B13" s="141" t="str">
        <f>"reserved_byte"&amp;A11&amp;"_bit_1"</f>
        <v>reserved_byte1_bit_1</v>
      </c>
      <c r="C13" s="140">
        <v>0</v>
      </c>
      <c r="D13" s="140">
        <v>0</v>
      </c>
      <c r="E13" s="139" t="s">
        <v>25</v>
      </c>
      <c r="F13" s="138"/>
      <c r="G13" s="137" t="s">
        <v>14</v>
      </c>
    </row>
    <row r="14" spans="1:7">
      <c r="A14" s="142"/>
      <c r="B14" s="141" t="str">
        <f>"reserved_byte"&amp;A11&amp;"_bit_2"</f>
        <v>reserved_byte1_bit_2</v>
      </c>
      <c r="C14" s="140">
        <v>0</v>
      </c>
      <c r="D14" s="140">
        <v>0</v>
      </c>
      <c r="E14" s="139" t="s">
        <v>26</v>
      </c>
      <c r="F14" s="138"/>
      <c r="G14" s="137" t="s">
        <v>13</v>
      </c>
    </row>
    <row r="15" spans="1:7">
      <c r="A15" s="142"/>
      <c r="B15" s="141" t="str">
        <f>"reserved_byte"&amp;A11&amp;"_bit_3"</f>
        <v>reserved_byte1_bit_3</v>
      </c>
      <c r="C15" s="140">
        <v>0</v>
      </c>
      <c r="D15" s="140">
        <v>0</v>
      </c>
      <c r="E15" s="139" t="s">
        <v>27</v>
      </c>
      <c r="F15" s="138"/>
      <c r="G15" s="137" t="s">
        <v>12</v>
      </c>
    </row>
    <row r="16" spans="1:7">
      <c r="A16" s="142"/>
      <c r="B16" s="141" t="str">
        <f>"reserved_byte"&amp;A11&amp;"_bit_4"</f>
        <v>reserved_byte1_bit_4</v>
      </c>
      <c r="C16" s="140">
        <v>0</v>
      </c>
      <c r="D16" s="140">
        <v>0</v>
      </c>
      <c r="E16" s="139" t="s">
        <v>28</v>
      </c>
      <c r="F16" s="138"/>
      <c r="G16" s="137" t="s">
        <v>11</v>
      </c>
    </row>
    <row r="17" spans="1:7">
      <c r="A17" s="142"/>
      <c r="B17" s="141" t="str">
        <f>"reserved_byte"&amp;A11&amp;"_bit_5"</f>
        <v>reserved_byte1_bit_5</v>
      </c>
      <c r="C17" s="140">
        <v>0</v>
      </c>
      <c r="D17" s="140">
        <v>0</v>
      </c>
      <c r="E17" s="139" t="s">
        <v>29</v>
      </c>
      <c r="F17" s="138"/>
      <c r="G17" s="137" t="s">
        <v>10</v>
      </c>
    </row>
    <row r="18" spans="1:7">
      <c r="A18" s="142"/>
      <c r="B18" s="141" t="str">
        <f>"reserved_byte"&amp;A11&amp;"_bit_6"</f>
        <v>reserved_byte1_bit_6</v>
      </c>
      <c r="C18" s="140">
        <v>0</v>
      </c>
      <c r="D18" s="140">
        <v>0</v>
      </c>
      <c r="E18" s="139" t="s">
        <v>30</v>
      </c>
      <c r="F18" s="138"/>
      <c r="G18" s="137" t="s">
        <v>8</v>
      </c>
    </row>
    <row r="19" spans="1:7" ht="13.5" thickBot="1">
      <c r="A19" s="136"/>
      <c r="B19" s="135" t="str">
        <f>"reserved_byte"&amp;A11&amp;"_bit_7"</f>
        <v>reserved_byte1_bit_7</v>
      </c>
      <c r="C19" s="132">
        <v>0</v>
      </c>
      <c r="D19" s="132">
        <v>0</v>
      </c>
      <c r="E19" s="134" t="s">
        <v>33</v>
      </c>
      <c r="F19" s="133"/>
      <c r="G19" s="132" t="s">
        <v>7</v>
      </c>
    </row>
    <row r="20" spans="1:7" ht="13.5" thickTop="1">
      <c r="A20" s="148">
        <f>A11+1</f>
        <v>2</v>
      </c>
      <c r="B20" s="147" t="str">
        <f>"Byte" &amp;A20&amp;" Name"</f>
        <v>Byte2 Name</v>
      </c>
      <c r="C20" s="146" t="str">
        <f>DEC2HEX(C21+C22*2+C23*4+C24*8+C25*16+C26*32+C27*64+C28*128)</f>
        <v>0</v>
      </c>
      <c r="D20" s="146" t="str">
        <f>DEC2HEX(D21+D22*2+D23*4+D24*8+D25*16+D26*32+D27*64+D28*128)</f>
        <v>0</v>
      </c>
      <c r="E20" s="145" t="str">
        <f>B20</f>
        <v>Byte2 Name</v>
      </c>
      <c r="F20" s="144" t="str">
        <f>DEC2HEX((HEX2DEC(F11)+1),4)</f>
        <v>0C03</v>
      </c>
      <c r="G20" s="143" t="s">
        <v>22</v>
      </c>
    </row>
    <row r="21" spans="1:7">
      <c r="A21" s="142"/>
      <c r="B21" s="141" t="str">
        <f>"reserved_byte"&amp;A20&amp;"_bit_0"</f>
        <v>reserved_byte2_bit_0</v>
      </c>
      <c r="C21" s="140">
        <v>0</v>
      </c>
      <c r="D21" s="140">
        <v>0</v>
      </c>
      <c r="E21" s="139" t="s">
        <v>24</v>
      </c>
      <c r="F21" s="138"/>
      <c r="G21" s="137" t="s">
        <v>15</v>
      </c>
    </row>
    <row r="22" spans="1:7">
      <c r="A22" s="142"/>
      <c r="B22" s="141" t="str">
        <f>"reserved_byte"&amp;A20&amp;"_bit_1"</f>
        <v>reserved_byte2_bit_1</v>
      </c>
      <c r="C22" s="140">
        <v>0</v>
      </c>
      <c r="D22" s="140">
        <v>0</v>
      </c>
      <c r="E22" s="139" t="s">
        <v>25</v>
      </c>
      <c r="F22" s="138"/>
      <c r="G22" s="137" t="s">
        <v>14</v>
      </c>
    </row>
    <row r="23" spans="1:7">
      <c r="A23" s="142"/>
      <c r="B23" s="141" t="str">
        <f>"reserved_byte"&amp;A20&amp;"_bit_2"</f>
        <v>reserved_byte2_bit_2</v>
      </c>
      <c r="C23" s="140">
        <v>0</v>
      </c>
      <c r="D23" s="140">
        <v>0</v>
      </c>
      <c r="E23" s="139" t="s">
        <v>26</v>
      </c>
      <c r="F23" s="138"/>
      <c r="G23" s="137" t="s">
        <v>13</v>
      </c>
    </row>
    <row r="24" spans="1:7">
      <c r="A24" s="142"/>
      <c r="B24" s="141" t="str">
        <f>"reserved_byte"&amp;A20&amp;"_bit_3"</f>
        <v>reserved_byte2_bit_3</v>
      </c>
      <c r="C24" s="140">
        <v>0</v>
      </c>
      <c r="D24" s="140">
        <v>0</v>
      </c>
      <c r="E24" s="139" t="s">
        <v>27</v>
      </c>
      <c r="F24" s="138"/>
      <c r="G24" s="137" t="s">
        <v>12</v>
      </c>
    </row>
    <row r="25" spans="1:7">
      <c r="A25" s="142"/>
      <c r="B25" s="141" t="str">
        <f>"reserved_byte"&amp;A20&amp;"_bit_4"</f>
        <v>reserved_byte2_bit_4</v>
      </c>
      <c r="C25" s="140">
        <v>0</v>
      </c>
      <c r="D25" s="140">
        <v>0</v>
      </c>
      <c r="E25" s="139" t="s">
        <v>28</v>
      </c>
      <c r="F25" s="138"/>
      <c r="G25" s="137" t="s">
        <v>11</v>
      </c>
    </row>
    <row r="26" spans="1:7">
      <c r="A26" s="142"/>
      <c r="B26" s="141" t="str">
        <f>"reserved_byte"&amp;A20&amp;"_bit_5"</f>
        <v>reserved_byte2_bit_5</v>
      </c>
      <c r="C26" s="140">
        <v>0</v>
      </c>
      <c r="D26" s="140">
        <v>0</v>
      </c>
      <c r="E26" s="139" t="s">
        <v>29</v>
      </c>
      <c r="F26" s="138"/>
      <c r="G26" s="137" t="s">
        <v>10</v>
      </c>
    </row>
    <row r="27" spans="1:7">
      <c r="A27" s="142"/>
      <c r="B27" s="141" t="str">
        <f>"reserved_byte"&amp;A20&amp;"_bit_6"</f>
        <v>reserved_byte2_bit_6</v>
      </c>
      <c r="C27" s="140">
        <v>0</v>
      </c>
      <c r="D27" s="140">
        <v>0</v>
      </c>
      <c r="E27" s="139" t="s">
        <v>30</v>
      </c>
      <c r="F27" s="138"/>
      <c r="G27" s="137" t="s">
        <v>8</v>
      </c>
    </row>
    <row r="28" spans="1:7" ht="13.5" thickBot="1">
      <c r="A28" s="136"/>
      <c r="B28" s="135" t="str">
        <f>"reserved_byte"&amp;A20&amp;"_bit_7"</f>
        <v>reserved_byte2_bit_7</v>
      </c>
      <c r="C28" s="132">
        <v>0</v>
      </c>
      <c r="D28" s="132">
        <v>0</v>
      </c>
      <c r="E28" s="134" t="s">
        <v>33</v>
      </c>
      <c r="F28" s="133"/>
      <c r="G28" s="132" t="s">
        <v>7</v>
      </c>
    </row>
    <row r="29" spans="1:7" ht="13.5" thickTop="1">
      <c r="A29" s="148">
        <f>A20+1</f>
        <v>3</v>
      </c>
      <c r="B29" s="147" t="str">
        <f>"Byte" &amp;A29&amp;" Name"</f>
        <v>Byte3 Name</v>
      </c>
      <c r="C29" s="146" t="str">
        <f>DEC2HEX(C30+C31*2+C32*4+C33*8+C34*16+C35*32+C36*64+C37*128)</f>
        <v>0</v>
      </c>
      <c r="D29" s="146" t="str">
        <f>DEC2HEX(D30+D31*2+D32*4+D33*8+D34*16+D35*32+D36*64+D37*128)</f>
        <v>0</v>
      </c>
      <c r="E29" s="145" t="str">
        <f>B29</f>
        <v>Byte3 Name</v>
      </c>
      <c r="F29" s="144" t="str">
        <f>DEC2HEX((HEX2DEC(F20)+1),4)</f>
        <v>0C04</v>
      </c>
      <c r="G29" s="143" t="s">
        <v>22</v>
      </c>
    </row>
    <row r="30" spans="1:7">
      <c r="A30" s="142"/>
      <c r="B30" s="141" t="str">
        <f>"reserved_byte"&amp;A29&amp;"_bit_0"</f>
        <v>reserved_byte3_bit_0</v>
      </c>
      <c r="C30" s="140">
        <v>0</v>
      </c>
      <c r="D30" s="140">
        <v>0</v>
      </c>
      <c r="E30" s="139" t="s">
        <v>24</v>
      </c>
      <c r="F30" s="138"/>
      <c r="G30" s="137" t="s">
        <v>15</v>
      </c>
    </row>
    <row r="31" spans="1:7">
      <c r="A31" s="142"/>
      <c r="B31" s="141" t="str">
        <f>"reserved_byte"&amp;A29&amp;"_bit_1"</f>
        <v>reserved_byte3_bit_1</v>
      </c>
      <c r="C31" s="140">
        <v>0</v>
      </c>
      <c r="D31" s="140">
        <v>0</v>
      </c>
      <c r="E31" s="139" t="s">
        <v>25</v>
      </c>
      <c r="F31" s="138"/>
      <c r="G31" s="137" t="s">
        <v>14</v>
      </c>
    </row>
    <row r="32" spans="1:7">
      <c r="A32" s="142"/>
      <c r="B32" s="141" t="str">
        <f>"reserved_byte"&amp;A29&amp;"_bit_2"</f>
        <v>reserved_byte3_bit_2</v>
      </c>
      <c r="C32" s="140">
        <v>0</v>
      </c>
      <c r="D32" s="140">
        <v>0</v>
      </c>
      <c r="E32" s="139" t="s">
        <v>26</v>
      </c>
      <c r="F32" s="138"/>
      <c r="G32" s="137" t="s">
        <v>13</v>
      </c>
    </row>
    <row r="33" spans="1:7">
      <c r="A33" s="142"/>
      <c r="B33" s="141" t="str">
        <f>"reserved_byte"&amp;A29&amp;"_bit_3"</f>
        <v>reserved_byte3_bit_3</v>
      </c>
      <c r="C33" s="140">
        <v>0</v>
      </c>
      <c r="D33" s="140">
        <v>0</v>
      </c>
      <c r="E33" s="139" t="s">
        <v>27</v>
      </c>
      <c r="F33" s="138"/>
      <c r="G33" s="137" t="s">
        <v>12</v>
      </c>
    </row>
    <row r="34" spans="1:7">
      <c r="A34" s="142"/>
      <c r="B34" s="141" t="str">
        <f>"reserved_byte"&amp;A29&amp;"_bit_4"</f>
        <v>reserved_byte3_bit_4</v>
      </c>
      <c r="C34" s="140">
        <v>0</v>
      </c>
      <c r="D34" s="140">
        <v>0</v>
      </c>
      <c r="E34" s="139" t="s">
        <v>28</v>
      </c>
      <c r="F34" s="138"/>
      <c r="G34" s="137" t="s">
        <v>11</v>
      </c>
    </row>
    <row r="35" spans="1:7">
      <c r="A35" s="142"/>
      <c r="B35" s="141" t="str">
        <f>"reserved_byte"&amp;A29&amp;"_bit_5"</f>
        <v>reserved_byte3_bit_5</v>
      </c>
      <c r="C35" s="140">
        <v>0</v>
      </c>
      <c r="D35" s="140">
        <v>0</v>
      </c>
      <c r="E35" s="139" t="s">
        <v>29</v>
      </c>
      <c r="F35" s="138"/>
      <c r="G35" s="137" t="s">
        <v>10</v>
      </c>
    </row>
    <row r="36" spans="1:7">
      <c r="A36" s="142"/>
      <c r="B36" s="141" t="str">
        <f>"reserved_byte"&amp;A29&amp;"_bit_6"</f>
        <v>reserved_byte3_bit_6</v>
      </c>
      <c r="C36" s="140">
        <v>0</v>
      </c>
      <c r="D36" s="140">
        <v>0</v>
      </c>
      <c r="E36" s="139" t="s">
        <v>30</v>
      </c>
      <c r="F36" s="138"/>
      <c r="G36" s="137" t="s">
        <v>8</v>
      </c>
    </row>
    <row r="37" spans="1:7" ht="13.5" thickBot="1">
      <c r="A37" s="136"/>
      <c r="B37" s="135" t="str">
        <f>"reserved_byte"&amp;A29&amp;"_bit_7"</f>
        <v>reserved_byte3_bit_7</v>
      </c>
      <c r="C37" s="132">
        <v>0</v>
      </c>
      <c r="D37" s="132">
        <v>0</v>
      </c>
      <c r="E37" s="134" t="s">
        <v>33</v>
      </c>
      <c r="F37" s="133"/>
      <c r="G37" s="132" t="s">
        <v>7</v>
      </c>
    </row>
    <row r="38" spans="1:7" ht="13.5" thickTop="1"/>
  </sheetData>
  <dataConsolidate/>
  <conditionalFormatting sqref="J1 J20:J65293">
    <cfRule type="cellIs" dxfId="8" priority="3" stopIfTrue="1" operator="greaterThan">
      <formula>21</formula>
    </cfRule>
  </conditionalFormatting>
  <conditionalFormatting sqref="J2:J10">
    <cfRule type="cellIs" dxfId="7" priority="2" stopIfTrue="1" operator="greaterThan">
      <formula>21</formula>
    </cfRule>
  </conditionalFormatting>
  <conditionalFormatting sqref="J11:J19">
    <cfRule type="cellIs" dxfId="6" priority="1" stopIfTrue="1" operator="greaterThan">
      <formula>21</formula>
    </cfRule>
  </conditionalFormatting>
  <dataValidations count="4">
    <dataValidation operator="lessThan" allowBlank="1" showInputMessage="1" showErrorMessage="1" errorTitle="Achtung: Fehler!" error="Name darf nicht mehr als 21 Zeichen enthalten!" sqref="A2:A37"/>
    <dataValidation type="custom" allowBlank="1" showInputMessage="1" showErrorMessage="1" sqref="C10:D10 C19:D19 C28:D28 C37:D37">
      <formula1>0</formula1>
    </dataValidation>
    <dataValidation type="list" allowBlank="1" showInputMessage="1" showErrorMessage="1" sqref="J2 C12:D18 C30:D36 C21:D27 C3:D9">
      <formula1>"0,1"</formula1>
    </dataValidation>
    <dataValidation type="custom" allowBlank="1" showInputMessage="1" showErrorMessage="1" promptTitle="This bit can't used." sqref="B10 B19 B28 B37">
      <formula1>"not usable bit"</formula1>
    </dataValidation>
  </dataValidations>
  <pageMargins left="0.59055118110236227" right="0.59055118110236227" top="0.59055118110236227" bottom="0.98425196850393704" header="0.51181102362204722" footer="0.51181102362204722"/>
  <pageSetup paperSize="9" scale="80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L37"/>
  <sheetViews>
    <sheetView zoomScale="85" zoomScaleNormal="85" workbookViewId="0">
      <pane ySplit="1" topLeftCell="A2" activePane="bottomLeft" state="frozen"/>
      <selection pane="bottomLeft" activeCell="B21" sqref="B21"/>
    </sheetView>
  </sheetViews>
  <sheetFormatPr defaultColWidth="11.42578125" defaultRowHeight="15"/>
  <cols>
    <col min="1" max="1" width="10.5703125" style="160" customWidth="1"/>
    <col min="2" max="2" width="50.7109375" style="112" customWidth="1"/>
    <col min="3" max="3" width="9.7109375" style="112" customWidth="1"/>
    <col min="4" max="4" width="10.42578125" style="112" customWidth="1"/>
    <col min="5" max="5" width="7" style="112" customWidth="1"/>
    <col min="6" max="6" width="11.28515625" style="112" customWidth="1"/>
    <col min="7" max="7" width="34" style="159" customWidth="1"/>
    <col min="8" max="8" width="9.7109375" style="158" customWidth="1"/>
    <col min="9" max="9" width="11.85546875" style="157" bestFit="1" customWidth="1"/>
    <col min="10" max="10" width="17.7109375" style="157" customWidth="1"/>
    <col min="11" max="16384" width="11.42578125" style="112"/>
  </cols>
  <sheetData>
    <row r="1" spans="1:12" ht="38.25">
      <c r="A1" s="156" t="s">
        <v>20</v>
      </c>
      <c r="B1" s="156" t="s">
        <v>63</v>
      </c>
      <c r="C1" s="156" t="s">
        <v>34</v>
      </c>
      <c r="D1" s="156" t="s">
        <v>35</v>
      </c>
      <c r="E1" s="156" t="s">
        <v>60</v>
      </c>
      <c r="F1" s="156" t="s">
        <v>61</v>
      </c>
      <c r="G1" s="156" t="s">
        <v>58</v>
      </c>
      <c r="H1" s="177" t="s">
        <v>4</v>
      </c>
      <c r="I1" s="156" t="s">
        <v>62</v>
      </c>
      <c r="J1" s="156" t="s">
        <v>3</v>
      </c>
    </row>
    <row r="2" spans="1:12" s="161" customFormat="1" ht="23.25" customHeight="1">
      <c r="A2" s="167">
        <v>0</v>
      </c>
      <c r="B2" s="176" t="s">
        <v>560</v>
      </c>
      <c r="C2" s="173">
        <v>25</v>
      </c>
      <c r="D2" s="173">
        <v>25</v>
      </c>
      <c r="E2" s="173">
        <v>0</v>
      </c>
      <c r="F2" s="172">
        <v>100</v>
      </c>
      <c r="G2" s="175" t="s">
        <v>524</v>
      </c>
      <c r="H2" s="174" t="s">
        <v>714</v>
      </c>
      <c r="I2" s="173">
        <v>10</v>
      </c>
      <c r="J2" s="172" t="s">
        <v>107</v>
      </c>
      <c r="L2" s="162" t="s">
        <v>1085</v>
      </c>
    </row>
    <row r="3" spans="1:12" s="161" customFormat="1" ht="27" customHeight="1">
      <c r="A3" s="167">
        <f t="shared" ref="A3:A33" si="0">A2+1</f>
        <v>1</v>
      </c>
      <c r="B3" s="140" t="s">
        <v>96</v>
      </c>
      <c r="C3" s="169">
        <v>5</v>
      </c>
      <c r="D3" s="169">
        <v>5</v>
      </c>
      <c r="E3" s="169">
        <v>0</v>
      </c>
      <c r="F3" s="168">
        <v>100</v>
      </c>
      <c r="G3" s="150" t="s">
        <v>111</v>
      </c>
      <c r="H3" s="164" t="str">
        <f t="shared" ref="H3:H37" si="1">DEC2HEX((HEX2DEC(H2)+1),4)</f>
        <v>0D02</v>
      </c>
      <c r="I3" s="171">
        <v>10</v>
      </c>
      <c r="J3" s="168" t="s">
        <v>107</v>
      </c>
      <c r="L3" s="162" t="s">
        <v>1085</v>
      </c>
    </row>
    <row r="4" spans="1:12" s="161" customFormat="1" ht="27" customHeight="1">
      <c r="A4" s="167">
        <f t="shared" si="0"/>
        <v>2</v>
      </c>
      <c r="B4" s="140" t="s">
        <v>97</v>
      </c>
      <c r="C4" s="169">
        <v>5</v>
      </c>
      <c r="D4" s="169">
        <v>5</v>
      </c>
      <c r="E4" s="169">
        <v>0</v>
      </c>
      <c r="F4" s="168">
        <v>100</v>
      </c>
      <c r="G4" s="170" t="s">
        <v>112</v>
      </c>
      <c r="H4" s="164" t="str">
        <f t="shared" si="1"/>
        <v>0D03</v>
      </c>
      <c r="I4" s="169">
        <v>10</v>
      </c>
      <c r="J4" s="168" t="s">
        <v>107</v>
      </c>
      <c r="L4" s="162" t="s">
        <v>1085</v>
      </c>
    </row>
    <row r="5" spans="1:12" s="161" customFormat="1" ht="27" customHeight="1">
      <c r="A5" s="167">
        <f t="shared" si="0"/>
        <v>3</v>
      </c>
      <c r="B5" s="140" t="s">
        <v>98</v>
      </c>
      <c r="C5" s="169">
        <v>2</v>
      </c>
      <c r="D5" s="169">
        <v>2</v>
      </c>
      <c r="E5" s="169">
        <v>0</v>
      </c>
      <c r="F5" s="169">
        <v>254</v>
      </c>
      <c r="G5" s="170" t="s">
        <v>113</v>
      </c>
      <c r="H5" s="164" t="str">
        <f t="shared" si="1"/>
        <v>0D04</v>
      </c>
      <c r="I5" s="169">
        <v>1</v>
      </c>
      <c r="J5" s="168" t="s">
        <v>107</v>
      </c>
      <c r="L5" s="162" t="s">
        <v>1086</v>
      </c>
    </row>
    <row r="6" spans="1:12" s="161" customFormat="1" ht="27" customHeight="1">
      <c r="A6" s="167">
        <f t="shared" si="0"/>
        <v>4</v>
      </c>
      <c r="B6" s="140" t="s">
        <v>99</v>
      </c>
      <c r="C6" s="169">
        <v>2</v>
      </c>
      <c r="D6" s="169">
        <v>2</v>
      </c>
      <c r="E6" s="169">
        <v>0</v>
      </c>
      <c r="F6" s="169">
        <v>254</v>
      </c>
      <c r="G6" s="170" t="s">
        <v>114</v>
      </c>
      <c r="H6" s="164" t="str">
        <f t="shared" si="1"/>
        <v>0D05</v>
      </c>
      <c r="I6" s="169">
        <v>1</v>
      </c>
      <c r="J6" s="168" t="s">
        <v>107</v>
      </c>
      <c r="L6" s="162" t="s">
        <v>1086</v>
      </c>
    </row>
    <row r="7" spans="1:12" s="161" customFormat="1" ht="27" customHeight="1">
      <c r="A7" s="167">
        <f t="shared" si="0"/>
        <v>5</v>
      </c>
      <c r="B7" s="140" t="s">
        <v>649</v>
      </c>
      <c r="C7" s="169">
        <v>3</v>
      </c>
      <c r="D7" s="169">
        <v>3</v>
      </c>
      <c r="E7" s="169">
        <v>0</v>
      </c>
      <c r="F7" s="169">
        <v>100</v>
      </c>
      <c r="G7" s="170" t="s">
        <v>652</v>
      </c>
      <c r="H7" s="164" t="str">
        <f t="shared" si="1"/>
        <v>0D06</v>
      </c>
      <c r="I7" s="169">
        <v>1</v>
      </c>
      <c r="J7" s="168" t="s">
        <v>108</v>
      </c>
      <c r="L7" s="162" t="s">
        <v>1086</v>
      </c>
    </row>
    <row r="8" spans="1:12" s="161" customFormat="1" ht="27" customHeight="1">
      <c r="A8" s="167">
        <f t="shared" si="0"/>
        <v>6</v>
      </c>
      <c r="B8" s="140" t="s">
        <v>95</v>
      </c>
      <c r="C8" s="169">
        <v>0</v>
      </c>
      <c r="D8" s="169">
        <v>0</v>
      </c>
      <c r="E8" s="169">
        <v>0</v>
      </c>
      <c r="F8" s="169">
        <v>254</v>
      </c>
      <c r="G8" s="170" t="s">
        <v>110</v>
      </c>
      <c r="H8" s="164" t="str">
        <f t="shared" si="1"/>
        <v>0D07</v>
      </c>
      <c r="I8" s="169">
        <v>0.5</v>
      </c>
      <c r="J8" s="168" t="s">
        <v>106</v>
      </c>
      <c r="L8" s="162" t="s">
        <v>1087</v>
      </c>
    </row>
    <row r="9" spans="1:12" s="161" customFormat="1" ht="27" customHeight="1">
      <c r="A9" s="167">
        <f t="shared" si="0"/>
        <v>7</v>
      </c>
      <c r="B9" s="140" t="s">
        <v>650</v>
      </c>
      <c r="C9" s="169">
        <v>3</v>
      </c>
      <c r="D9" s="169">
        <v>3</v>
      </c>
      <c r="E9" s="169">
        <v>0</v>
      </c>
      <c r="F9" s="169">
        <v>60</v>
      </c>
      <c r="G9" s="170" t="s">
        <v>653</v>
      </c>
      <c r="H9" s="164" t="str">
        <f t="shared" si="1"/>
        <v>0D08</v>
      </c>
      <c r="I9" s="169">
        <v>1</v>
      </c>
      <c r="J9" s="168" t="s">
        <v>106</v>
      </c>
      <c r="L9" s="162" t="s">
        <v>1086</v>
      </c>
    </row>
    <row r="10" spans="1:12" s="161" customFormat="1" ht="27" customHeight="1">
      <c r="A10" s="167">
        <f t="shared" si="0"/>
        <v>8</v>
      </c>
      <c r="B10" s="140" t="s">
        <v>651</v>
      </c>
      <c r="C10" s="169">
        <v>1</v>
      </c>
      <c r="D10" s="169">
        <v>1</v>
      </c>
      <c r="E10" s="169">
        <v>0</v>
      </c>
      <c r="F10" s="169">
        <v>60</v>
      </c>
      <c r="G10" s="170" t="s">
        <v>654</v>
      </c>
      <c r="H10" s="164" t="str">
        <f t="shared" si="1"/>
        <v>0D09</v>
      </c>
      <c r="I10" s="169">
        <v>1</v>
      </c>
      <c r="J10" s="168" t="s">
        <v>108</v>
      </c>
      <c r="L10" s="162" t="s">
        <v>1086</v>
      </c>
    </row>
    <row r="11" spans="1:12" s="161" customFormat="1" ht="27" customHeight="1">
      <c r="A11" s="167">
        <f t="shared" si="0"/>
        <v>9</v>
      </c>
      <c r="B11" s="140" t="s">
        <v>100</v>
      </c>
      <c r="C11" s="169">
        <v>10</v>
      </c>
      <c r="D11" s="169">
        <v>10</v>
      </c>
      <c r="E11" s="169">
        <v>4</v>
      </c>
      <c r="F11" s="169">
        <v>254</v>
      </c>
      <c r="G11" s="170" t="s">
        <v>115</v>
      </c>
      <c r="H11" s="164" t="str">
        <f t="shared" si="1"/>
        <v>0D0A</v>
      </c>
      <c r="I11" s="169">
        <v>10</v>
      </c>
      <c r="J11" s="168" t="s">
        <v>107</v>
      </c>
      <c r="L11" s="162" t="s">
        <v>1085</v>
      </c>
    </row>
    <row r="12" spans="1:12" s="161" customFormat="1" ht="27" customHeight="1">
      <c r="A12" s="167">
        <f t="shared" si="0"/>
        <v>10</v>
      </c>
      <c r="B12" s="140" t="s">
        <v>103</v>
      </c>
      <c r="C12" s="169">
        <v>80</v>
      </c>
      <c r="D12" s="169">
        <v>80</v>
      </c>
      <c r="E12" s="169">
        <v>0</v>
      </c>
      <c r="F12" s="169">
        <v>200</v>
      </c>
      <c r="G12" s="165" t="s">
        <v>116</v>
      </c>
      <c r="H12" s="164" t="str">
        <f t="shared" si="1"/>
        <v>0D0B</v>
      </c>
      <c r="I12" s="169">
        <v>5</v>
      </c>
      <c r="J12" s="168" t="s">
        <v>107</v>
      </c>
      <c r="L12" s="162" t="s">
        <v>1088</v>
      </c>
    </row>
    <row r="13" spans="1:12" s="161" customFormat="1" ht="27" customHeight="1">
      <c r="A13" s="167">
        <f t="shared" si="0"/>
        <v>11</v>
      </c>
      <c r="B13" s="140" t="s">
        <v>104</v>
      </c>
      <c r="C13" s="169">
        <v>80</v>
      </c>
      <c r="D13" s="169">
        <v>80</v>
      </c>
      <c r="E13" s="169">
        <v>0</v>
      </c>
      <c r="F13" s="169">
        <v>200</v>
      </c>
      <c r="G13" s="165" t="s">
        <v>117</v>
      </c>
      <c r="H13" s="164" t="str">
        <f t="shared" si="1"/>
        <v>0D0C</v>
      </c>
      <c r="I13" s="169">
        <v>5</v>
      </c>
      <c r="J13" s="168" t="s">
        <v>107</v>
      </c>
      <c r="L13" s="162" t="s">
        <v>1088</v>
      </c>
    </row>
    <row r="14" spans="1:12" s="161" customFormat="1" ht="27" customHeight="1">
      <c r="A14" s="167">
        <f t="shared" si="0"/>
        <v>12</v>
      </c>
      <c r="B14" s="140" t="s">
        <v>105</v>
      </c>
      <c r="C14" s="163">
        <v>10</v>
      </c>
      <c r="D14" s="166">
        <v>10</v>
      </c>
      <c r="E14" s="163">
        <v>4</v>
      </c>
      <c r="F14" s="163">
        <v>40</v>
      </c>
      <c r="G14" s="165" t="s">
        <v>118</v>
      </c>
      <c r="H14" s="164" t="str">
        <f t="shared" si="1"/>
        <v>0D0D</v>
      </c>
      <c r="I14" s="163">
        <v>10</v>
      </c>
      <c r="J14" s="163" t="s">
        <v>107</v>
      </c>
      <c r="L14" s="162" t="s">
        <v>1085</v>
      </c>
    </row>
    <row r="15" spans="1:12" s="161" customFormat="1" ht="27" customHeight="1">
      <c r="A15" s="167">
        <f t="shared" si="0"/>
        <v>13</v>
      </c>
      <c r="B15" s="140" t="s">
        <v>101</v>
      </c>
      <c r="C15" s="163">
        <v>150</v>
      </c>
      <c r="D15" s="166">
        <v>150</v>
      </c>
      <c r="E15" s="163">
        <v>20</v>
      </c>
      <c r="F15" s="163">
        <v>253.99999999999997</v>
      </c>
      <c r="G15" s="165" t="s">
        <v>515</v>
      </c>
      <c r="H15" s="164" t="str">
        <f t="shared" si="1"/>
        <v>0D0E</v>
      </c>
      <c r="I15" s="163">
        <v>0.1</v>
      </c>
      <c r="J15" s="163" t="s">
        <v>106</v>
      </c>
      <c r="L15" s="162" t="s">
        <v>1089</v>
      </c>
    </row>
    <row r="16" spans="1:12" s="161" customFormat="1" ht="27" customHeight="1">
      <c r="A16" s="167">
        <f t="shared" si="0"/>
        <v>14</v>
      </c>
      <c r="B16" s="140" t="s">
        <v>102</v>
      </c>
      <c r="C16" s="163">
        <v>2</v>
      </c>
      <c r="D16" s="166">
        <v>2</v>
      </c>
      <c r="E16" s="163">
        <v>0</v>
      </c>
      <c r="F16" s="163">
        <v>254</v>
      </c>
      <c r="G16" s="165" t="s">
        <v>516</v>
      </c>
      <c r="H16" s="164" t="str">
        <f t="shared" si="1"/>
        <v>0D0F</v>
      </c>
      <c r="I16" s="163">
        <v>1</v>
      </c>
      <c r="J16" s="163" t="s">
        <v>107</v>
      </c>
      <c r="L16" s="162" t="s">
        <v>1086</v>
      </c>
    </row>
    <row r="17" spans="1:12" s="161" customFormat="1" ht="27" customHeight="1">
      <c r="A17" s="167">
        <f t="shared" si="0"/>
        <v>15</v>
      </c>
      <c r="B17" s="140" t="s">
        <v>570</v>
      </c>
      <c r="C17" s="163">
        <v>4</v>
      </c>
      <c r="D17" s="166">
        <v>4</v>
      </c>
      <c r="E17" s="163">
        <v>0</v>
      </c>
      <c r="F17" s="163">
        <v>250</v>
      </c>
      <c r="G17" s="165" t="s">
        <v>705</v>
      </c>
      <c r="H17" s="164" t="str">
        <f t="shared" si="1"/>
        <v>0D10</v>
      </c>
      <c r="I17" s="163">
        <v>2</v>
      </c>
      <c r="J17" s="163" t="s">
        <v>107</v>
      </c>
      <c r="L17" s="162" t="s">
        <v>1090</v>
      </c>
    </row>
    <row r="18" spans="1:12" s="161" customFormat="1" ht="27" customHeight="1">
      <c r="A18" s="167">
        <f t="shared" si="0"/>
        <v>16</v>
      </c>
      <c r="B18" s="140" t="s">
        <v>762</v>
      </c>
      <c r="C18" s="163">
        <v>60</v>
      </c>
      <c r="D18" s="166">
        <v>60</v>
      </c>
      <c r="E18" s="163">
        <v>0</v>
      </c>
      <c r="F18" s="163">
        <v>200</v>
      </c>
      <c r="G18" s="165" t="s">
        <v>706</v>
      </c>
      <c r="H18" s="164" t="str">
        <f t="shared" si="1"/>
        <v>0D11</v>
      </c>
      <c r="I18" s="163">
        <v>10</v>
      </c>
      <c r="J18" s="163" t="s">
        <v>107</v>
      </c>
      <c r="L18" s="162" t="s">
        <v>1085</v>
      </c>
    </row>
    <row r="19" spans="1:12" s="161" customFormat="1" ht="27" customHeight="1">
      <c r="A19" s="167">
        <f t="shared" si="0"/>
        <v>17</v>
      </c>
      <c r="B19" s="76" t="str">
        <f>"reserved_byte" &amp;TEXT(A19,0)</f>
        <v>reserved_byte17</v>
      </c>
      <c r="C19" s="59">
        <v>255</v>
      </c>
      <c r="D19" s="60">
        <v>255</v>
      </c>
      <c r="E19" s="59">
        <v>0</v>
      </c>
      <c r="F19" s="59">
        <v>255</v>
      </c>
      <c r="G19" s="76" t="s">
        <v>59</v>
      </c>
      <c r="H19" s="164" t="str">
        <f t="shared" si="1"/>
        <v>0D12</v>
      </c>
      <c r="I19" s="59">
        <v>1</v>
      </c>
      <c r="J19" s="61"/>
      <c r="L19" s="162" t="s">
        <v>1089</v>
      </c>
    </row>
    <row r="20" spans="1:12" s="161" customFormat="1" ht="27" customHeight="1">
      <c r="A20" s="167">
        <f t="shared" si="0"/>
        <v>18</v>
      </c>
      <c r="B20" s="76" t="s">
        <v>864</v>
      </c>
      <c r="C20" s="61">
        <v>200</v>
      </c>
      <c r="D20" s="129">
        <v>200</v>
      </c>
      <c r="E20" s="61">
        <v>0</v>
      </c>
      <c r="F20" s="61">
        <v>255</v>
      </c>
      <c r="G20" s="76" t="s">
        <v>1014</v>
      </c>
      <c r="H20" s="164" t="str">
        <f t="shared" si="1"/>
        <v>0D13</v>
      </c>
      <c r="I20" s="61">
        <v>4</v>
      </c>
      <c r="J20" s="61" t="s">
        <v>108</v>
      </c>
      <c r="L20" s="162" t="s">
        <v>1086</v>
      </c>
    </row>
    <row r="21" spans="1:12" s="161" customFormat="1" ht="27" customHeight="1">
      <c r="A21" s="167">
        <f t="shared" si="0"/>
        <v>19</v>
      </c>
      <c r="B21" s="76" t="s">
        <v>865</v>
      </c>
      <c r="C21" s="61">
        <v>100</v>
      </c>
      <c r="D21" s="129">
        <v>100</v>
      </c>
      <c r="E21" s="61">
        <v>0</v>
      </c>
      <c r="F21" s="61">
        <v>255</v>
      </c>
      <c r="G21" s="76" t="s">
        <v>1015</v>
      </c>
      <c r="H21" s="164" t="str">
        <f t="shared" si="1"/>
        <v>0D14</v>
      </c>
      <c r="I21" s="61">
        <v>4</v>
      </c>
      <c r="J21" s="61" t="s">
        <v>108</v>
      </c>
      <c r="L21" s="162" t="s">
        <v>1086</v>
      </c>
    </row>
    <row r="22" spans="1:12" s="161" customFormat="1" ht="27" customHeight="1">
      <c r="A22" s="167">
        <f t="shared" si="0"/>
        <v>20</v>
      </c>
      <c r="B22" s="76" t="s">
        <v>866</v>
      </c>
      <c r="C22" s="351">
        <v>152</v>
      </c>
      <c r="D22" s="351">
        <v>152</v>
      </c>
      <c r="E22" s="61">
        <v>0</v>
      </c>
      <c r="F22" s="61">
        <v>255</v>
      </c>
      <c r="G22" s="76" t="s">
        <v>1016</v>
      </c>
      <c r="H22" s="164" t="str">
        <f t="shared" si="1"/>
        <v>0D15</v>
      </c>
      <c r="I22" s="61">
        <v>3</v>
      </c>
      <c r="J22" s="61" t="s">
        <v>108</v>
      </c>
      <c r="L22" s="162" t="s">
        <v>1086</v>
      </c>
    </row>
    <row r="23" spans="1:12" s="161" customFormat="1" ht="27" customHeight="1">
      <c r="A23" s="167">
        <f t="shared" si="0"/>
        <v>21</v>
      </c>
      <c r="B23" s="76" t="s">
        <v>867</v>
      </c>
      <c r="C23" s="351">
        <v>71</v>
      </c>
      <c r="D23" s="351">
        <v>71</v>
      </c>
      <c r="E23" s="61">
        <v>0</v>
      </c>
      <c r="F23" s="61">
        <v>255</v>
      </c>
      <c r="G23" s="76" t="s">
        <v>1017</v>
      </c>
      <c r="H23" s="164" t="str">
        <f t="shared" si="1"/>
        <v>0D16</v>
      </c>
      <c r="I23" s="61">
        <v>4</v>
      </c>
      <c r="J23" s="61" t="s">
        <v>108</v>
      </c>
      <c r="L23" s="162" t="s">
        <v>1086</v>
      </c>
    </row>
    <row r="24" spans="1:12" s="161" customFormat="1" ht="27" customHeight="1">
      <c r="A24" s="167">
        <f t="shared" si="0"/>
        <v>22</v>
      </c>
      <c r="B24" s="76" t="s">
        <v>868</v>
      </c>
      <c r="C24" s="61">
        <v>132</v>
      </c>
      <c r="D24" s="61">
        <v>132</v>
      </c>
      <c r="E24" s="61">
        <v>0</v>
      </c>
      <c r="F24" s="61">
        <v>255</v>
      </c>
      <c r="G24" s="76" t="s">
        <v>1018</v>
      </c>
      <c r="H24" s="164" t="str">
        <f t="shared" si="1"/>
        <v>0D17</v>
      </c>
      <c r="I24" s="61">
        <v>1</v>
      </c>
      <c r="J24" s="61" t="s">
        <v>108</v>
      </c>
      <c r="L24" s="162" t="s">
        <v>1086</v>
      </c>
    </row>
    <row r="25" spans="1:12" s="161" customFormat="1" ht="27" customHeight="1">
      <c r="A25" s="167">
        <f t="shared" si="0"/>
        <v>23</v>
      </c>
      <c r="B25" s="76" t="s">
        <v>871</v>
      </c>
      <c r="C25" s="61">
        <v>200</v>
      </c>
      <c r="D25" s="129">
        <v>200</v>
      </c>
      <c r="E25" s="61">
        <v>0</v>
      </c>
      <c r="F25" s="61">
        <v>255</v>
      </c>
      <c r="G25" s="76" t="s">
        <v>1021</v>
      </c>
      <c r="H25" s="164" t="str">
        <f t="shared" si="1"/>
        <v>0D18</v>
      </c>
      <c r="I25" s="61">
        <v>4</v>
      </c>
      <c r="J25" s="61" t="s">
        <v>108</v>
      </c>
      <c r="L25" s="162" t="s">
        <v>1086</v>
      </c>
    </row>
    <row r="26" spans="1:12" s="161" customFormat="1" ht="27" customHeight="1">
      <c r="A26" s="167">
        <f t="shared" si="0"/>
        <v>24</v>
      </c>
      <c r="B26" s="76" t="s">
        <v>872</v>
      </c>
      <c r="C26" s="61">
        <v>100</v>
      </c>
      <c r="D26" s="129">
        <v>100</v>
      </c>
      <c r="E26" s="61">
        <v>0</v>
      </c>
      <c r="F26" s="61">
        <v>255</v>
      </c>
      <c r="G26" s="76" t="s">
        <v>1022</v>
      </c>
      <c r="H26" s="164" t="str">
        <f t="shared" si="1"/>
        <v>0D19</v>
      </c>
      <c r="I26" s="61">
        <v>4</v>
      </c>
      <c r="J26" s="61" t="s">
        <v>108</v>
      </c>
      <c r="L26" s="162" t="s">
        <v>1086</v>
      </c>
    </row>
    <row r="27" spans="1:12" s="161" customFormat="1" ht="27" customHeight="1">
      <c r="A27" s="167">
        <f t="shared" si="0"/>
        <v>25</v>
      </c>
      <c r="B27" s="76" t="s">
        <v>873</v>
      </c>
      <c r="C27" s="61">
        <v>152</v>
      </c>
      <c r="D27" s="61">
        <v>152</v>
      </c>
      <c r="E27" s="61">
        <v>0</v>
      </c>
      <c r="F27" s="61">
        <v>255</v>
      </c>
      <c r="G27" s="76" t="s">
        <v>1023</v>
      </c>
      <c r="H27" s="164" t="str">
        <f t="shared" si="1"/>
        <v>0D1A</v>
      </c>
      <c r="I27" s="61">
        <v>3</v>
      </c>
      <c r="J27" s="61" t="s">
        <v>108</v>
      </c>
      <c r="L27" s="162" t="s">
        <v>1086</v>
      </c>
    </row>
    <row r="28" spans="1:12" s="161" customFormat="1" ht="27" customHeight="1">
      <c r="A28" s="167">
        <f t="shared" si="0"/>
        <v>26</v>
      </c>
      <c r="B28" s="76" t="s">
        <v>874</v>
      </c>
      <c r="C28" s="61">
        <v>71</v>
      </c>
      <c r="D28" s="61">
        <v>71</v>
      </c>
      <c r="E28" s="61">
        <v>0</v>
      </c>
      <c r="F28" s="61">
        <v>255</v>
      </c>
      <c r="G28" s="76" t="s">
        <v>1024</v>
      </c>
      <c r="H28" s="164" t="str">
        <f t="shared" si="1"/>
        <v>0D1B</v>
      </c>
      <c r="I28" s="61">
        <v>4</v>
      </c>
      <c r="J28" s="61" t="s">
        <v>108</v>
      </c>
      <c r="L28" s="162" t="s">
        <v>1086</v>
      </c>
    </row>
    <row r="29" spans="1:12" s="161" customFormat="1" ht="27" customHeight="1">
      <c r="A29" s="167">
        <f t="shared" si="0"/>
        <v>27</v>
      </c>
      <c r="B29" s="76" t="s">
        <v>875</v>
      </c>
      <c r="C29" s="61">
        <v>132</v>
      </c>
      <c r="D29" s="61">
        <v>132</v>
      </c>
      <c r="E29" s="61">
        <v>0</v>
      </c>
      <c r="F29" s="61">
        <v>255</v>
      </c>
      <c r="G29" s="76" t="s">
        <v>1025</v>
      </c>
      <c r="H29" s="164" t="str">
        <f t="shared" si="1"/>
        <v>0D1C</v>
      </c>
      <c r="I29" s="61">
        <v>1</v>
      </c>
      <c r="J29" s="61" t="s">
        <v>108</v>
      </c>
      <c r="L29" s="162" t="s">
        <v>1086</v>
      </c>
    </row>
    <row r="30" spans="1:12" s="161" customFormat="1" ht="27" customHeight="1">
      <c r="A30" s="167">
        <f t="shared" si="0"/>
        <v>28</v>
      </c>
      <c r="B30" s="76" t="s">
        <v>893</v>
      </c>
      <c r="C30" s="61">
        <v>165</v>
      </c>
      <c r="D30" s="61">
        <v>165</v>
      </c>
      <c r="E30" s="61">
        <v>0</v>
      </c>
      <c r="F30" s="61">
        <v>255</v>
      </c>
      <c r="G30" s="76" t="s">
        <v>1043</v>
      </c>
      <c r="H30" s="164" t="str">
        <f t="shared" si="1"/>
        <v>0D1D</v>
      </c>
      <c r="I30" s="61">
        <v>4</v>
      </c>
      <c r="J30" s="61" t="s">
        <v>108</v>
      </c>
      <c r="L30" s="162" t="s">
        <v>1086</v>
      </c>
    </row>
    <row r="31" spans="1:12" s="161" customFormat="1" ht="27" customHeight="1">
      <c r="A31" s="167">
        <f t="shared" si="0"/>
        <v>29</v>
      </c>
      <c r="B31" s="76" t="s">
        <v>894</v>
      </c>
      <c r="C31" s="61">
        <v>10</v>
      </c>
      <c r="D31" s="61">
        <v>10</v>
      </c>
      <c r="E31" s="61">
        <v>0</v>
      </c>
      <c r="F31" s="61">
        <v>255</v>
      </c>
      <c r="G31" s="76" t="s">
        <v>1044</v>
      </c>
      <c r="H31" s="164" t="str">
        <f t="shared" si="1"/>
        <v>0D1E</v>
      </c>
      <c r="I31" s="61">
        <v>4</v>
      </c>
      <c r="J31" s="61" t="s">
        <v>108</v>
      </c>
      <c r="L31" s="162" t="s">
        <v>1086</v>
      </c>
    </row>
    <row r="32" spans="1:12" s="161" customFormat="1" ht="27" customHeight="1">
      <c r="A32" s="167">
        <f t="shared" si="0"/>
        <v>30</v>
      </c>
      <c r="B32" s="76" t="s">
        <v>895</v>
      </c>
      <c r="C32" s="61">
        <v>48</v>
      </c>
      <c r="D32" s="61">
        <v>48</v>
      </c>
      <c r="E32" s="61">
        <v>0</v>
      </c>
      <c r="F32" s="61">
        <v>255</v>
      </c>
      <c r="G32" s="76" t="s">
        <v>1045</v>
      </c>
      <c r="H32" s="164" t="str">
        <f t="shared" si="1"/>
        <v>0D1F</v>
      </c>
      <c r="I32" s="61">
        <v>4</v>
      </c>
      <c r="J32" s="61" t="s">
        <v>108</v>
      </c>
      <c r="L32" s="162" t="s">
        <v>1086</v>
      </c>
    </row>
    <row r="33" spans="1:12" s="161" customFormat="1" ht="27" customHeight="1">
      <c r="A33" s="167">
        <f t="shared" si="0"/>
        <v>31</v>
      </c>
      <c r="B33" s="76" t="s">
        <v>919</v>
      </c>
      <c r="C33" s="61">
        <v>217</v>
      </c>
      <c r="D33" s="61">
        <v>217</v>
      </c>
      <c r="E33" s="61">
        <v>0</v>
      </c>
      <c r="F33" s="61">
        <v>255</v>
      </c>
      <c r="G33" s="76" t="s">
        <v>1070</v>
      </c>
      <c r="H33" s="164" t="str">
        <f t="shared" si="1"/>
        <v>0D20</v>
      </c>
      <c r="I33" s="61">
        <v>4</v>
      </c>
      <c r="J33" s="61" t="s">
        <v>108</v>
      </c>
      <c r="L33" s="162" t="s">
        <v>1086</v>
      </c>
    </row>
    <row r="34" spans="1:12" s="25" customFormat="1" ht="27" customHeight="1">
      <c r="A34" s="65">
        <f>A33+1</f>
        <v>32</v>
      </c>
      <c r="B34" s="76" t="s">
        <v>920</v>
      </c>
      <c r="C34" s="61">
        <v>80</v>
      </c>
      <c r="D34" s="61">
        <v>80</v>
      </c>
      <c r="E34" s="61">
        <v>0</v>
      </c>
      <c r="F34" s="61">
        <v>255</v>
      </c>
      <c r="G34" s="76" t="s">
        <v>1071</v>
      </c>
      <c r="H34" s="164" t="str">
        <f t="shared" si="1"/>
        <v>0D21</v>
      </c>
      <c r="I34" s="61">
        <v>4</v>
      </c>
      <c r="J34" s="61" t="s">
        <v>108</v>
      </c>
    </row>
    <row r="35" spans="1:12" s="25" customFormat="1" ht="27" customHeight="1">
      <c r="A35" s="65">
        <f>A34+1</f>
        <v>33</v>
      </c>
      <c r="B35" s="181" t="s">
        <v>3010</v>
      </c>
      <c r="C35" s="163">
        <v>30</v>
      </c>
      <c r="D35" s="163">
        <v>30</v>
      </c>
      <c r="E35" s="59">
        <v>0</v>
      </c>
      <c r="F35" s="59">
        <v>255</v>
      </c>
      <c r="G35" s="292" t="s">
        <v>3010</v>
      </c>
      <c r="H35" s="164" t="str">
        <f t="shared" si="1"/>
        <v>0D22</v>
      </c>
      <c r="I35" s="163">
        <v>10</v>
      </c>
      <c r="J35" s="172" t="s">
        <v>107</v>
      </c>
    </row>
    <row r="36" spans="1:12" s="25" customFormat="1" ht="27" customHeight="1">
      <c r="A36" s="65">
        <f>A35+1</f>
        <v>34</v>
      </c>
      <c r="B36" s="176" t="s">
        <v>3009</v>
      </c>
      <c r="C36" s="163">
        <v>30</v>
      </c>
      <c r="D36" s="163">
        <v>30</v>
      </c>
      <c r="E36" s="59">
        <v>0</v>
      </c>
      <c r="F36" s="59">
        <v>255</v>
      </c>
      <c r="G36" s="176" t="s">
        <v>3009</v>
      </c>
      <c r="H36" s="164" t="str">
        <f t="shared" si="1"/>
        <v>0D23</v>
      </c>
      <c r="I36" s="163">
        <v>10</v>
      </c>
      <c r="J36" s="172" t="s">
        <v>107</v>
      </c>
    </row>
    <row r="37" spans="1:12" s="25" customFormat="1" ht="27" customHeight="1">
      <c r="A37" s="65">
        <f>A36+1</f>
        <v>35</v>
      </c>
      <c r="B37" s="176" t="s">
        <v>3011</v>
      </c>
      <c r="C37" s="163">
        <v>30</v>
      </c>
      <c r="D37" s="163">
        <v>30</v>
      </c>
      <c r="E37" s="59">
        <v>0</v>
      </c>
      <c r="F37" s="59">
        <v>255</v>
      </c>
      <c r="G37" s="176" t="s">
        <v>3011</v>
      </c>
      <c r="H37" s="164" t="str">
        <f t="shared" si="1"/>
        <v>0D24</v>
      </c>
      <c r="I37" s="163">
        <v>10</v>
      </c>
      <c r="J37" s="172" t="s">
        <v>107</v>
      </c>
    </row>
  </sheetData>
  <dataValidations count="4">
    <dataValidation type="decimal" operator="lessThan" allowBlank="1" showInputMessage="1" showErrorMessage="1" sqref="F14:F18">
      <formula1>255</formula1>
    </dataValidation>
    <dataValidation type="decimal" allowBlank="1" showInputMessage="1" showErrorMessage="1" sqref="D22:D24 C14:C1048576 D27:D37">
      <formula1>E14</formula1>
      <formula2>F14</formula2>
    </dataValidation>
    <dataValidation type="decimal" allowBlank="1" showInputMessage="1" showErrorMessage="1" sqref="C2:D13 D25:D26 D14:D21">
      <formula1>D2</formula1>
      <formula2>E2</formula2>
    </dataValidation>
    <dataValidation type="decimal" operator="lessThanOrEqual" allowBlank="1" showInputMessage="1" showErrorMessage="1" sqref="F19:F37">
      <formula1>255</formula1>
    </dataValidation>
  </dataValidations>
  <pageMargins left="0.59055118110236227" right="0.59055118110236227" top="0.59055118110236227" bottom="0.98425196850393704" header="0.51181102362204722" footer="0.51181102362204722"/>
  <pageSetup paperSize="9" scale="78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tabColor rgb="FFFF0000"/>
    <pageSetUpPr fitToPage="1"/>
  </sheetPr>
  <dimension ref="A1:L33"/>
  <sheetViews>
    <sheetView topLeftCell="A13" zoomScale="85" zoomScaleNormal="85" workbookViewId="0">
      <selection activeCell="G24" sqref="G24"/>
    </sheetView>
  </sheetViews>
  <sheetFormatPr defaultColWidth="11.42578125" defaultRowHeight="15"/>
  <cols>
    <col min="1" max="1" width="10.5703125" style="160" customWidth="1"/>
    <col min="2" max="2" width="50.7109375" style="112" customWidth="1"/>
    <col min="3" max="3" width="9.7109375" style="112" customWidth="1"/>
    <col min="4" max="4" width="10.42578125" style="112" customWidth="1"/>
    <col min="5" max="5" width="7" style="112" customWidth="1"/>
    <col min="6" max="6" width="7.85546875" style="112" customWidth="1"/>
    <col min="7" max="7" width="48.28515625" style="159" customWidth="1"/>
    <col min="8" max="8" width="9.7109375" style="158" customWidth="1"/>
    <col min="9" max="9" width="11.85546875" style="157" bestFit="1" customWidth="1"/>
    <col min="10" max="10" width="20.7109375" style="157" bestFit="1" customWidth="1"/>
    <col min="11" max="16384" width="11.42578125" style="112"/>
  </cols>
  <sheetData>
    <row r="1" spans="1:12" ht="38.25">
      <c r="A1" s="156" t="s">
        <v>20</v>
      </c>
      <c r="B1" s="156" t="s">
        <v>63</v>
      </c>
      <c r="C1" s="156" t="s">
        <v>34</v>
      </c>
      <c r="D1" s="156" t="s">
        <v>35</v>
      </c>
      <c r="E1" s="156" t="s">
        <v>60</v>
      </c>
      <c r="F1" s="156" t="s">
        <v>61</v>
      </c>
      <c r="G1" s="156" t="s">
        <v>58</v>
      </c>
      <c r="H1" s="177" t="s">
        <v>4</v>
      </c>
      <c r="I1" s="156" t="s">
        <v>62</v>
      </c>
      <c r="J1" s="156" t="s">
        <v>3</v>
      </c>
    </row>
    <row r="2" spans="1:12" s="161" customFormat="1" ht="23.25" customHeight="1">
      <c r="A2" s="167">
        <v>0</v>
      </c>
      <c r="B2" s="176" t="s">
        <v>128</v>
      </c>
      <c r="C2" s="173">
        <v>90</v>
      </c>
      <c r="D2" s="173">
        <v>90</v>
      </c>
      <c r="E2" s="178">
        <v>80</v>
      </c>
      <c r="F2" s="173">
        <v>90</v>
      </c>
      <c r="G2" s="179" t="s">
        <v>519</v>
      </c>
      <c r="H2" s="174" t="s">
        <v>66</v>
      </c>
      <c r="I2" s="172" t="s">
        <v>763</v>
      </c>
      <c r="J2" s="173" t="s">
        <v>138</v>
      </c>
      <c r="L2" s="162" t="s">
        <v>1089</v>
      </c>
    </row>
    <row r="3" spans="1:12" s="161" customFormat="1" ht="27" customHeight="1">
      <c r="A3" s="167">
        <f t="shared" ref="A3:A33" si="0">A2+1</f>
        <v>1</v>
      </c>
      <c r="B3" s="176" t="s">
        <v>129</v>
      </c>
      <c r="C3" s="173">
        <v>160</v>
      </c>
      <c r="D3" s="173">
        <v>160</v>
      </c>
      <c r="E3" s="178">
        <v>160</v>
      </c>
      <c r="F3" s="173">
        <v>180</v>
      </c>
      <c r="G3" s="178" t="s">
        <v>520</v>
      </c>
      <c r="H3" s="164" t="str">
        <f t="shared" ref="H3:H33" si="1">DEC2HEX((HEX2DEC(H2)+1),4)</f>
        <v>0E02</v>
      </c>
      <c r="I3" s="172" t="s">
        <v>763</v>
      </c>
      <c r="J3" s="172" t="s">
        <v>138</v>
      </c>
      <c r="L3" s="162" t="s">
        <v>1089</v>
      </c>
    </row>
    <row r="4" spans="1:12" s="161" customFormat="1" ht="27" customHeight="1">
      <c r="A4" s="167">
        <f t="shared" si="0"/>
        <v>2</v>
      </c>
      <c r="B4" s="176" t="s">
        <v>517</v>
      </c>
      <c r="C4" s="173">
        <v>180</v>
      </c>
      <c r="D4" s="173">
        <v>180</v>
      </c>
      <c r="E4" s="178">
        <v>160</v>
      </c>
      <c r="F4" s="173">
        <v>220</v>
      </c>
      <c r="G4" s="178" t="s">
        <v>521</v>
      </c>
      <c r="H4" s="164" t="str">
        <f t="shared" si="1"/>
        <v>0E03</v>
      </c>
      <c r="I4" s="172" t="s">
        <v>763</v>
      </c>
      <c r="J4" s="172" t="s">
        <v>138</v>
      </c>
      <c r="L4" s="162" t="s">
        <v>1089</v>
      </c>
    </row>
    <row r="5" spans="1:12" s="161" customFormat="1" ht="27" customHeight="1">
      <c r="A5" s="167">
        <f t="shared" si="0"/>
        <v>3</v>
      </c>
      <c r="B5" s="176" t="s">
        <v>130</v>
      </c>
      <c r="C5" s="173">
        <v>90</v>
      </c>
      <c r="D5" s="173">
        <v>90</v>
      </c>
      <c r="E5" s="178">
        <v>80</v>
      </c>
      <c r="F5" s="173">
        <v>90</v>
      </c>
      <c r="G5" s="176" t="s">
        <v>389</v>
      </c>
      <c r="H5" s="164" t="str">
        <f t="shared" si="1"/>
        <v>0E04</v>
      </c>
      <c r="I5" s="172" t="s">
        <v>763</v>
      </c>
      <c r="J5" s="173" t="s">
        <v>138</v>
      </c>
      <c r="L5" s="162" t="s">
        <v>1089</v>
      </c>
    </row>
    <row r="6" spans="1:12" s="161" customFormat="1" ht="27" customHeight="1">
      <c r="A6" s="167">
        <f t="shared" si="0"/>
        <v>4</v>
      </c>
      <c r="B6" s="176" t="s">
        <v>131</v>
      </c>
      <c r="C6" s="173">
        <v>160</v>
      </c>
      <c r="D6" s="173">
        <v>160</v>
      </c>
      <c r="E6" s="178">
        <v>160</v>
      </c>
      <c r="F6" s="173">
        <v>180</v>
      </c>
      <c r="G6" s="176" t="s">
        <v>390</v>
      </c>
      <c r="H6" s="164" t="str">
        <f t="shared" si="1"/>
        <v>0E05</v>
      </c>
      <c r="I6" s="172" t="s">
        <v>763</v>
      </c>
      <c r="J6" s="172" t="s">
        <v>138</v>
      </c>
      <c r="L6" s="162" t="s">
        <v>1089</v>
      </c>
    </row>
    <row r="7" spans="1:12" s="161" customFormat="1" ht="27" customHeight="1">
      <c r="A7" s="167">
        <f t="shared" si="0"/>
        <v>5</v>
      </c>
      <c r="B7" s="176" t="s">
        <v>132</v>
      </c>
      <c r="C7" s="173">
        <v>100</v>
      </c>
      <c r="D7" s="173">
        <v>100</v>
      </c>
      <c r="E7" s="178">
        <v>0</v>
      </c>
      <c r="F7" s="173">
        <v>200</v>
      </c>
      <c r="G7" s="178" t="s">
        <v>391</v>
      </c>
      <c r="H7" s="164" t="str">
        <f t="shared" si="1"/>
        <v>0E06</v>
      </c>
      <c r="I7" s="172" t="s">
        <v>764</v>
      </c>
      <c r="J7" s="172" t="s">
        <v>107</v>
      </c>
      <c r="L7" s="162" t="s">
        <v>1085</v>
      </c>
    </row>
    <row r="8" spans="1:12" s="161" customFormat="1" ht="27" customHeight="1">
      <c r="A8" s="167">
        <f t="shared" si="0"/>
        <v>6</v>
      </c>
      <c r="B8" s="176" t="s">
        <v>133</v>
      </c>
      <c r="C8" s="173">
        <v>100</v>
      </c>
      <c r="D8" s="173">
        <v>100</v>
      </c>
      <c r="E8" s="178">
        <v>0</v>
      </c>
      <c r="F8" s="173">
        <v>200</v>
      </c>
      <c r="G8" s="178" t="s">
        <v>392</v>
      </c>
      <c r="H8" s="164" t="str">
        <f t="shared" si="1"/>
        <v>0E07</v>
      </c>
      <c r="I8" s="172" t="s">
        <v>764</v>
      </c>
      <c r="J8" s="172" t="s">
        <v>107</v>
      </c>
      <c r="L8" s="162" t="s">
        <v>1085</v>
      </c>
    </row>
    <row r="9" spans="1:12" s="161" customFormat="1" ht="27" customHeight="1">
      <c r="A9" s="167">
        <f t="shared" si="0"/>
        <v>7</v>
      </c>
      <c r="B9" s="176" t="s">
        <v>135</v>
      </c>
      <c r="C9" s="173">
        <v>10</v>
      </c>
      <c r="D9" s="173">
        <v>10</v>
      </c>
      <c r="E9" s="178">
        <v>4</v>
      </c>
      <c r="F9" s="173">
        <v>40</v>
      </c>
      <c r="G9" s="178" t="s">
        <v>394</v>
      </c>
      <c r="H9" s="164" t="str">
        <f t="shared" si="1"/>
        <v>0E08</v>
      </c>
      <c r="I9" s="172" t="s">
        <v>764</v>
      </c>
      <c r="J9" s="172" t="s">
        <v>107</v>
      </c>
      <c r="L9" s="162" t="s">
        <v>1085</v>
      </c>
    </row>
    <row r="10" spans="1:12" s="161" customFormat="1" ht="27" customHeight="1">
      <c r="A10" s="167">
        <f t="shared" si="0"/>
        <v>8</v>
      </c>
      <c r="B10" s="176" t="s">
        <v>134</v>
      </c>
      <c r="C10" s="173">
        <v>10</v>
      </c>
      <c r="D10" s="173">
        <v>10</v>
      </c>
      <c r="E10" s="178">
        <v>8</v>
      </c>
      <c r="F10" s="173">
        <v>40</v>
      </c>
      <c r="G10" s="178" t="s">
        <v>393</v>
      </c>
      <c r="H10" s="164" t="str">
        <f t="shared" si="1"/>
        <v>0E09</v>
      </c>
      <c r="I10" s="172" t="s">
        <v>764</v>
      </c>
      <c r="J10" s="172" t="s">
        <v>107</v>
      </c>
      <c r="L10" s="162" t="s">
        <v>1085</v>
      </c>
    </row>
    <row r="11" spans="1:12" s="161" customFormat="1" ht="27" customHeight="1">
      <c r="A11" s="167">
        <f t="shared" si="0"/>
        <v>9</v>
      </c>
      <c r="B11" s="176" t="s">
        <v>647</v>
      </c>
      <c r="C11" s="173">
        <v>25</v>
      </c>
      <c r="D11" s="173">
        <v>25</v>
      </c>
      <c r="E11" s="178">
        <v>0</v>
      </c>
      <c r="F11" s="173">
        <v>254</v>
      </c>
      <c r="G11" s="165" t="s">
        <v>648</v>
      </c>
      <c r="H11" s="164" t="str">
        <f t="shared" si="1"/>
        <v>0E0A</v>
      </c>
      <c r="I11" s="172" t="s">
        <v>765</v>
      </c>
      <c r="J11" s="172" t="s">
        <v>106</v>
      </c>
      <c r="L11" s="162" t="s">
        <v>1086</v>
      </c>
    </row>
    <row r="12" spans="1:12" s="161" customFormat="1" ht="27" customHeight="1">
      <c r="A12" s="167">
        <f t="shared" si="0"/>
        <v>10</v>
      </c>
      <c r="B12" s="176" t="s">
        <v>137</v>
      </c>
      <c r="C12" s="163">
        <v>10</v>
      </c>
      <c r="D12" s="163">
        <v>10</v>
      </c>
      <c r="E12" s="163">
        <v>4</v>
      </c>
      <c r="F12" s="173">
        <v>40</v>
      </c>
      <c r="G12" s="165" t="s">
        <v>395</v>
      </c>
      <c r="H12" s="164" t="str">
        <f t="shared" si="1"/>
        <v>0E0B</v>
      </c>
      <c r="I12" s="172" t="s">
        <v>764</v>
      </c>
      <c r="J12" s="172" t="s">
        <v>107</v>
      </c>
      <c r="L12" s="162" t="s">
        <v>1085</v>
      </c>
    </row>
    <row r="13" spans="1:12" s="161" customFormat="1" ht="27" customHeight="1">
      <c r="A13" s="167">
        <f t="shared" si="0"/>
        <v>11</v>
      </c>
      <c r="B13" s="176" t="s">
        <v>518</v>
      </c>
      <c r="C13" s="163">
        <v>5</v>
      </c>
      <c r="D13" s="163">
        <v>5</v>
      </c>
      <c r="E13" s="163">
        <v>0</v>
      </c>
      <c r="F13" s="173">
        <v>30</v>
      </c>
      <c r="G13" s="165" t="s">
        <v>522</v>
      </c>
      <c r="H13" s="164" t="str">
        <f t="shared" si="1"/>
        <v>0E0C</v>
      </c>
      <c r="I13" s="172" t="s">
        <v>765</v>
      </c>
      <c r="J13" s="172" t="s">
        <v>139</v>
      </c>
      <c r="L13" s="162" t="s">
        <v>1086</v>
      </c>
    </row>
    <row r="14" spans="1:12" s="161" customFormat="1" ht="27" customHeight="1">
      <c r="A14" s="167">
        <f t="shared" si="0"/>
        <v>12</v>
      </c>
      <c r="B14" s="176" t="s">
        <v>136</v>
      </c>
      <c r="C14" s="163">
        <v>15</v>
      </c>
      <c r="D14" s="166">
        <v>15</v>
      </c>
      <c r="E14" s="163">
        <v>0</v>
      </c>
      <c r="F14" s="163">
        <v>30</v>
      </c>
      <c r="G14" s="165" t="s">
        <v>523</v>
      </c>
      <c r="H14" s="164" t="str">
        <f t="shared" si="1"/>
        <v>0E0D</v>
      </c>
      <c r="I14" s="163" t="s">
        <v>765</v>
      </c>
      <c r="J14" s="163" t="s">
        <v>139</v>
      </c>
      <c r="L14" s="162" t="s">
        <v>1086</v>
      </c>
    </row>
    <row r="15" spans="1:12" s="161" customFormat="1" ht="27" customHeight="1">
      <c r="A15" s="167">
        <f t="shared" si="0"/>
        <v>13</v>
      </c>
      <c r="B15" s="176" t="s">
        <v>2418</v>
      </c>
      <c r="C15" s="163">
        <v>95</v>
      </c>
      <c r="D15" s="166">
        <v>95</v>
      </c>
      <c r="E15" s="163">
        <v>60</v>
      </c>
      <c r="F15" s="163">
        <v>100</v>
      </c>
      <c r="G15" s="165" t="s">
        <v>2419</v>
      </c>
      <c r="H15" s="164" t="str">
        <f t="shared" si="1"/>
        <v>0E0E</v>
      </c>
      <c r="I15" s="163">
        <v>0.1</v>
      </c>
      <c r="J15" s="163" t="s">
        <v>138</v>
      </c>
      <c r="L15" s="162" t="s">
        <v>1086</v>
      </c>
    </row>
    <row r="16" spans="1:12" s="161" customFormat="1" ht="27" customHeight="1">
      <c r="A16" s="167">
        <f t="shared" si="0"/>
        <v>14</v>
      </c>
      <c r="B16" s="176" t="s">
        <v>2420</v>
      </c>
      <c r="C16" s="163">
        <v>155</v>
      </c>
      <c r="D16" s="166">
        <v>155</v>
      </c>
      <c r="E16" s="163">
        <v>140</v>
      </c>
      <c r="F16" s="163">
        <v>180</v>
      </c>
      <c r="G16" s="165" t="s">
        <v>2421</v>
      </c>
      <c r="H16" s="164" t="str">
        <f t="shared" si="1"/>
        <v>0E0F</v>
      </c>
      <c r="I16" s="163">
        <v>0.1</v>
      </c>
      <c r="J16" s="163" t="s">
        <v>138</v>
      </c>
      <c r="L16" s="162" t="s">
        <v>1086</v>
      </c>
    </row>
    <row r="17" spans="1:12" s="161" customFormat="1" ht="27" customHeight="1">
      <c r="A17" s="167">
        <f t="shared" si="0"/>
        <v>15</v>
      </c>
      <c r="B17" s="292" t="s">
        <v>2950</v>
      </c>
      <c r="C17" s="163">
        <v>30</v>
      </c>
      <c r="D17" s="163">
        <v>30</v>
      </c>
      <c r="E17" s="163">
        <v>0</v>
      </c>
      <c r="F17" s="163">
        <v>254</v>
      </c>
      <c r="G17" s="165" t="s">
        <v>2951</v>
      </c>
      <c r="H17" s="164" t="str">
        <f t="shared" si="1"/>
        <v>0E10</v>
      </c>
      <c r="I17" s="163">
        <v>10</v>
      </c>
      <c r="J17" s="172" t="s">
        <v>107</v>
      </c>
      <c r="L17" s="162" t="s">
        <v>1086</v>
      </c>
    </row>
    <row r="18" spans="1:12" s="161" customFormat="1" ht="27" customHeight="1">
      <c r="A18" s="167">
        <f t="shared" si="0"/>
        <v>16</v>
      </c>
      <c r="B18" s="176" t="s">
        <v>2952</v>
      </c>
      <c r="C18" s="163">
        <v>30</v>
      </c>
      <c r="D18" s="163">
        <v>30</v>
      </c>
      <c r="E18" s="163">
        <v>0</v>
      </c>
      <c r="F18" s="163">
        <v>254</v>
      </c>
      <c r="G18" s="165" t="s">
        <v>2953</v>
      </c>
      <c r="H18" s="164" t="str">
        <f t="shared" si="1"/>
        <v>0E11</v>
      </c>
      <c r="I18" s="163">
        <v>10</v>
      </c>
      <c r="J18" s="172" t="s">
        <v>107</v>
      </c>
      <c r="L18" s="162" t="s">
        <v>1086</v>
      </c>
    </row>
    <row r="19" spans="1:12" s="161" customFormat="1" ht="27" customHeight="1">
      <c r="A19" s="167">
        <f t="shared" si="0"/>
        <v>17</v>
      </c>
      <c r="B19" s="176" t="s">
        <v>2954</v>
      </c>
      <c r="C19" s="163">
        <v>30</v>
      </c>
      <c r="D19" s="163">
        <v>30</v>
      </c>
      <c r="E19" s="163">
        <v>0</v>
      </c>
      <c r="F19" s="163">
        <v>254</v>
      </c>
      <c r="G19" s="165" t="s">
        <v>2955</v>
      </c>
      <c r="H19" s="164" t="str">
        <f t="shared" si="1"/>
        <v>0E12</v>
      </c>
      <c r="I19" s="163">
        <v>10</v>
      </c>
      <c r="J19" s="172" t="s">
        <v>107</v>
      </c>
      <c r="L19" s="162" t="s">
        <v>1086</v>
      </c>
    </row>
    <row r="20" spans="1:12" s="161" customFormat="1" ht="27" customHeight="1">
      <c r="A20" s="167">
        <f t="shared" si="0"/>
        <v>18</v>
      </c>
      <c r="B20" s="176" t="s">
        <v>2992</v>
      </c>
      <c r="C20" s="163">
        <v>16</v>
      </c>
      <c r="D20" s="166">
        <v>16</v>
      </c>
      <c r="E20" s="163">
        <v>0</v>
      </c>
      <c r="F20" s="163">
        <v>254</v>
      </c>
      <c r="G20" s="165" t="s">
        <v>2993</v>
      </c>
      <c r="H20" s="164" t="str">
        <f t="shared" si="1"/>
        <v>0E13</v>
      </c>
      <c r="I20" s="163">
        <v>5</v>
      </c>
      <c r="J20" s="163" t="s">
        <v>107</v>
      </c>
      <c r="L20" s="162" t="s">
        <v>1086</v>
      </c>
    </row>
    <row r="21" spans="1:12" s="161" customFormat="1" ht="27" customHeight="1">
      <c r="A21" s="167">
        <f t="shared" si="0"/>
        <v>19</v>
      </c>
      <c r="B21" s="176" t="s">
        <v>2994</v>
      </c>
      <c r="C21" s="163">
        <v>20</v>
      </c>
      <c r="D21" s="166">
        <v>20</v>
      </c>
      <c r="E21" s="163">
        <v>0</v>
      </c>
      <c r="F21" s="163">
        <v>254</v>
      </c>
      <c r="G21" s="165" t="s">
        <v>2995</v>
      </c>
      <c r="H21" s="164" t="str">
        <f t="shared" si="1"/>
        <v>0E14</v>
      </c>
      <c r="I21" s="163">
        <v>5</v>
      </c>
      <c r="J21" s="163" t="s">
        <v>107</v>
      </c>
      <c r="L21" s="162" t="s">
        <v>1086</v>
      </c>
    </row>
    <row r="22" spans="1:12" s="161" customFormat="1" ht="27" customHeight="1">
      <c r="A22" s="167">
        <f t="shared" si="0"/>
        <v>20</v>
      </c>
      <c r="B22" s="176" t="s">
        <v>2996</v>
      </c>
      <c r="C22" s="163">
        <v>12</v>
      </c>
      <c r="D22" s="166">
        <v>12</v>
      </c>
      <c r="E22" s="163">
        <v>0</v>
      </c>
      <c r="F22" s="163">
        <v>254</v>
      </c>
      <c r="G22" s="165" t="s">
        <v>2997</v>
      </c>
      <c r="H22" s="164" t="str">
        <f t="shared" si="1"/>
        <v>0E15</v>
      </c>
      <c r="I22" s="163">
        <v>5</v>
      </c>
      <c r="J22" s="163" t="s">
        <v>107</v>
      </c>
      <c r="L22" s="162" t="s">
        <v>1086</v>
      </c>
    </row>
    <row r="23" spans="1:12" s="161" customFormat="1" ht="27" customHeight="1">
      <c r="A23" s="167">
        <f t="shared" si="0"/>
        <v>21</v>
      </c>
      <c r="B23" s="176" t="s">
        <v>3020</v>
      </c>
      <c r="C23" s="166">
        <v>4</v>
      </c>
      <c r="D23" s="166">
        <v>4</v>
      </c>
      <c r="E23" s="163">
        <v>1</v>
      </c>
      <c r="F23" s="163">
        <v>254</v>
      </c>
      <c r="G23" s="165" t="s">
        <v>3020</v>
      </c>
      <c r="H23" s="164" t="str">
        <f t="shared" si="1"/>
        <v>0E16</v>
      </c>
      <c r="I23" s="163">
        <v>1</v>
      </c>
      <c r="J23" s="172" t="s">
        <v>139</v>
      </c>
      <c r="L23" s="162" t="s">
        <v>1086</v>
      </c>
    </row>
    <row r="24" spans="1:12" s="161" customFormat="1" ht="27" customHeight="1">
      <c r="A24" s="167">
        <f t="shared" si="0"/>
        <v>22</v>
      </c>
      <c r="B24" s="176" t="s">
        <v>602</v>
      </c>
      <c r="C24" s="163">
        <v>0</v>
      </c>
      <c r="D24" s="166">
        <v>0</v>
      </c>
      <c r="E24" s="163">
        <v>0</v>
      </c>
      <c r="F24" s="163">
        <v>254</v>
      </c>
      <c r="G24" s="165" t="s">
        <v>59</v>
      </c>
      <c r="H24" s="164" t="str">
        <f t="shared" si="1"/>
        <v>0E17</v>
      </c>
      <c r="I24" s="163">
        <v>1</v>
      </c>
      <c r="J24" s="163"/>
      <c r="L24" s="162" t="s">
        <v>1086</v>
      </c>
    </row>
    <row r="25" spans="1:12" s="161" customFormat="1" ht="27" customHeight="1">
      <c r="A25" s="167">
        <f t="shared" si="0"/>
        <v>23</v>
      </c>
      <c r="B25" s="176" t="s">
        <v>603</v>
      </c>
      <c r="C25" s="163">
        <v>0</v>
      </c>
      <c r="D25" s="166">
        <v>0</v>
      </c>
      <c r="E25" s="163">
        <v>0</v>
      </c>
      <c r="F25" s="163">
        <v>254</v>
      </c>
      <c r="G25" s="165" t="s">
        <v>59</v>
      </c>
      <c r="H25" s="164" t="str">
        <f t="shared" si="1"/>
        <v>0E18</v>
      </c>
      <c r="I25" s="163">
        <v>1</v>
      </c>
      <c r="J25" s="163"/>
      <c r="L25" s="162" t="s">
        <v>1086</v>
      </c>
    </row>
    <row r="26" spans="1:12" s="161" customFormat="1" ht="27" customHeight="1">
      <c r="A26" s="167">
        <f t="shared" si="0"/>
        <v>24</v>
      </c>
      <c r="B26" s="176" t="s">
        <v>604</v>
      </c>
      <c r="C26" s="163">
        <v>0</v>
      </c>
      <c r="D26" s="166">
        <v>0</v>
      </c>
      <c r="E26" s="163">
        <v>0</v>
      </c>
      <c r="F26" s="163">
        <v>254</v>
      </c>
      <c r="G26" s="165" t="s">
        <v>59</v>
      </c>
      <c r="H26" s="164" t="str">
        <f t="shared" si="1"/>
        <v>0E19</v>
      </c>
      <c r="I26" s="163">
        <v>1</v>
      </c>
      <c r="J26" s="163"/>
      <c r="L26" s="162" t="s">
        <v>1086</v>
      </c>
    </row>
    <row r="27" spans="1:12" s="161" customFormat="1" ht="27" customHeight="1">
      <c r="A27" s="167">
        <f t="shared" si="0"/>
        <v>25</v>
      </c>
      <c r="B27" s="176" t="s">
        <v>605</v>
      </c>
      <c r="C27" s="163">
        <v>0</v>
      </c>
      <c r="D27" s="166">
        <v>0</v>
      </c>
      <c r="E27" s="163">
        <v>0</v>
      </c>
      <c r="F27" s="163">
        <v>254</v>
      </c>
      <c r="G27" s="165" t="s">
        <v>59</v>
      </c>
      <c r="H27" s="164" t="str">
        <f t="shared" si="1"/>
        <v>0E1A</v>
      </c>
      <c r="I27" s="163">
        <v>1</v>
      </c>
      <c r="J27" s="163"/>
      <c r="L27" s="162" t="s">
        <v>1086</v>
      </c>
    </row>
    <row r="28" spans="1:12" s="161" customFormat="1" ht="27" customHeight="1">
      <c r="A28" s="167">
        <f t="shared" si="0"/>
        <v>26</v>
      </c>
      <c r="B28" s="176" t="s">
        <v>606</v>
      </c>
      <c r="C28" s="163">
        <v>0</v>
      </c>
      <c r="D28" s="166">
        <v>0</v>
      </c>
      <c r="E28" s="163">
        <v>0</v>
      </c>
      <c r="F28" s="163">
        <v>254</v>
      </c>
      <c r="G28" s="165" t="s">
        <v>59</v>
      </c>
      <c r="H28" s="164" t="str">
        <f t="shared" si="1"/>
        <v>0E1B</v>
      </c>
      <c r="I28" s="163">
        <v>1</v>
      </c>
      <c r="J28" s="163"/>
      <c r="L28" s="162" t="s">
        <v>1086</v>
      </c>
    </row>
    <row r="29" spans="1:12" s="161" customFormat="1" ht="27" customHeight="1">
      <c r="A29" s="167">
        <f t="shared" si="0"/>
        <v>27</v>
      </c>
      <c r="B29" s="176" t="s">
        <v>607</v>
      </c>
      <c r="C29" s="163">
        <v>0</v>
      </c>
      <c r="D29" s="166">
        <v>0</v>
      </c>
      <c r="E29" s="163">
        <v>0</v>
      </c>
      <c r="F29" s="163">
        <v>254</v>
      </c>
      <c r="G29" s="165" t="s">
        <v>59</v>
      </c>
      <c r="H29" s="164" t="str">
        <f t="shared" si="1"/>
        <v>0E1C</v>
      </c>
      <c r="I29" s="163">
        <v>1</v>
      </c>
      <c r="J29" s="163"/>
      <c r="L29" s="162" t="s">
        <v>1086</v>
      </c>
    </row>
    <row r="30" spans="1:12" s="161" customFormat="1" ht="27" customHeight="1">
      <c r="A30" s="167">
        <f t="shared" si="0"/>
        <v>28</v>
      </c>
      <c r="B30" s="176" t="s">
        <v>608</v>
      </c>
      <c r="C30" s="163">
        <v>0</v>
      </c>
      <c r="D30" s="166">
        <v>0</v>
      </c>
      <c r="E30" s="163">
        <v>0</v>
      </c>
      <c r="F30" s="163">
        <v>254</v>
      </c>
      <c r="G30" s="165" t="s">
        <v>59</v>
      </c>
      <c r="H30" s="164" t="str">
        <f t="shared" si="1"/>
        <v>0E1D</v>
      </c>
      <c r="I30" s="163">
        <v>1</v>
      </c>
      <c r="J30" s="163"/>
      <c r="L30" s="162" t="s">
        <v>1086</v>
      </c>
    </row>
    <row r="31" spans="1:12" s="161" customFormat="1" ht="27" customHeight="1">
      <c r="A31" s="167">
        <f t="shared" si="0"/>
        <v>29</v>
      </c>
      <c r="B31" s="176" t="s">
        <v>609</v>
      </c>
      <c r="C31" s="163">
        <v>0</v>
      </c>
      <c r="D31" s="166">
        <v>0</v>
      </c>
      <c r="E31" s="163">
        <v>0</v>
      </c>
      <c r="F31" s="163">
        <v>254</v>
      </c>
      <c r="G31" s="165" t="s">
        <v>59</v>
      </c>
      <c r="H31" s="164" t="str">
        <f t="shared" si="1"/>
        <v>0E1E</v>
      </c>
      <c r="I31" s="163">
        <v>1</v>
      </c>
      <c r="J31" s="163"/>
      <c r="L31" s="162" t="s">
        <v>1086</v>
      </c>
    </row>
    <row r="32" spans="1:12" s="161" customFormat="1" ht="27" customHeight="1">
      <c r="A32" s="167">
        <f t="shared" si="0"/>
        <v>30</v>
      </c>
      <c r="B32" s="176" t="s">
        <v>610</v>
      </c>
      <c r="C32" s="163">
        <v>0</v>
      </c>
      <c r="D32" s="166">
        <v>0</v>
      </c>
      <c r="E32" s="163">
        <v>0</v>
      </c>
      <c r="F32" s="163">
        <v>254</v>
      </c>
      <c r="G32" s="165" t="s">
        <v>59</v>
      </c>
      <c r="H32" s="164" t="str">
        <f t="shared" si="1"/>
        <v>0E1F</v>
      </c>
      <c r="I32" s="163">
        <v>1</v>
      </c>
      <c r="J32" s="163"/>
      <c r="L32" s="162" t="s">
        <v>1086</v>
      </c>
    </row>
    <row r="33" spans="1:12" s="161" customFormat="1" ht="27" customHeight="1">
      <c r="A33" s="167">
        <f t="shared" si="0"/>
        <v>31</v>
      </c>
      <c r="B33" s="176" t="s">
        <v>611</v>
      </c>
      <c r="C33" s="163">
        <v>0</v>
      </c>
      <c r="D33" s="166">
        <v>0</v>
      </c>
      <c r="E33" s="163">
        <v>0</v>
      </c>
      <c r="F33" s="163">
        <v>254</v>
      </c>
      <c r="G33" s="165" t="s">
        <v>59</v>
      </c>
      <c r="H33" s="164" t="str">
        <f t="shared" si="1"/>
        <v>0E20</v>
      </c>
      <c r="I33" s="163">
        <v>1</v>
      </c>
      <c r="J33" s="163"/>
      <c r="L33" s="162" t="s">
        <v>1086</v>
      </c>
    </row>
  </sheetData>
  <dataValidations count="3">
    <dataValidation type="decimal" operator="lessThan" allowBlank="1" showInputMessage="1" showErrorMessage="1" sqref="F14:F33">
      <formula1>255</formula1>
    </dataValidation>
    <dataValidation type="decimal" allowBlank="1" showInputMessage="1" showErrorMessage="1" sqref="D12:D13 D17:D19 C12:C22 C24:C1048576">
      <formula1>E12</formula1>
      <formula2>F12</formula2>
    </dataValidation>
    <dataValidation type="decimal" allowBlank="1" showInputMessage="1" showErrorMessage="1" sqref="C2:D11 D14:D16 D20:D33 C23">
      <formula1>D2</formula1>
      <formula2>E2</formula2>
    </dataValidation>
  </dataValidations>
  <pageMargins left="0.59055118110236227" right="0.59055118110236227" top="0.59055118110236227" bottom="0.98425196850393704" header="0.51181102362204722" footer="0.51181102362204722"/>
  <pageSetup paperSize="9" scale="72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  <pageSetUpPr fitToPage="1"/>
  </sheetPr>
  <dimension ref="A1:L229"/>
  <sheetViews>
    <sheetView topLeftCell="A75" zoomScale="80" zoomScaleNormal="80" workbookViewId="0">
      <selection activeCell="G85" sqref="G85"/>
    </sheetView>
  </sheetViews>
  <sheetFormatPr defaultColWidth="11.42578125" defaultRowHeight="15"/>
  <cols>
    <col min="1" max="1" width="10.5703125" style="311" customWidth="1"/>
    <col min="2" max="2" width="50.7109375" style="159" customWidth="1"/>
    <col min="3" max="3" width="9.7109375" style="159" customWidth="1"/>
    <col min="4" max="4" width="10.42578125" style="159" customWidth="1"/>
    <col min="5" max="5" width="7" style="159" customWidth="1"/>
    <col min="6" max="6" width="7.85546875" style="159" customWidth="1"/>
    <col min="7" max="7" width="48.28515625" style="159" customWidth="1"/>
    <col min="8" max="8" width="9.7109375" style="312" customWidth="1"/>
    <col min="9" max="9" width="11.85546875" style="313" bestFit="1" customWidth="1"/>
    <col min="10" max="10" width="20.7109375" style="313" bestFit="1" customWidth="1"/>
    <col min="11" max="16384" width="11.42578125" style="159"/>
  </cols>
  <sheetData>
    <row r="1" spans="1:12" ht="38.25">
      <c r="A1" s="156" t="s">
        <v>20</v>
      </c>
      <c r="B1" s="156" t="s">
        <v>63</v>
      </c>
      <c r="C1" s="156" t="s">
        <v>34</v>
      </c>
      <c r="D1" s="156" t="s">
        <v>35</v>
      </c>
      <c r="E1" s="156" t="s">
        <v>60</v>
      </c>
      <c r="F1" s="156" t="s">
        <v>61</v>
      </c>
      <c r="G1" s="156" t="s">
        <v>58</v>
      </c>
      <c r="H1" s="177" t="s">
        <v>4</v>
      </c>
      <c r="I1" s="156" t="s">
        <v>62</v>
      </c>
      <c r="J1" s="156" t="s">
        <v>3</v>
      </c>
    </row>
    <row r="2" spans="1:12" s="297" customFormat="1" ht="23.25" customHeight="1">
      <c r="A2" s="293">
        <v>0</v>
      </c>
      <c r="B2" s="180" t="s">
        <v>142</v>
      </c>
      <c r="C2" s="294">
        <v>1</v>
      </c>
      <c r="D2" s="318">
        <v>1</v>
      </c>
      <c r="E2" s="294">
        <v>0</v>
      </c>
      <c r="F2" s="171">
        <v>254</v>
      </c>
      <c r="G2" s="295" t="s">
        <v>525</v>
      </c>
      <c r="H2" s="296" t="s">
        <v>353</v>
      </c>
      <c r="I2" s="294" t="s">
        <v>768</v>
      </c>
      <c r="J2" s="294" t="s">
        <v>107</v>
      </c>
      <c r="L2" s="297" t="s">
        <v>1550</v>
      </c>
    </row>
    <row r="3" spans="1:12" s="297" customFormat="1" ht="27" customHeight="1">
      <c r="A3" s="293">
        <f t="shared" ref="A3:A34" si="0">A2+1</f>
        <v>1</v>
      </c>
      <c r="B3" s="298" t="s">
        <v>143</v>
      </c>
      <c r="C3" s="294">
        <v>10</v>
      </c>
      <c r="D3" s="318">
        <v>10</v>
      </c>
      <c r="E3" s="294">
        <v>0</v>
      </c>
      <c r="F3" s="171">
        <v>254</v>
      </c>
      <c r="G3" s="295" t="s">
        <v>526</v>
      </c>
      <c r="H3" s="164" t="str">
        <f t="shared" ref="H3:H34" si="1">DEC2HEX((HEX2DEC(H2)+1),4)</f>
        <v>0F02</v>
      </c>
      <c r="I3" s="294" t="s">
        <v>764</v>
      </c>
      <c r="J3" s="294" t="s">
        <v>107</v>
      </c>
      <c r="L3" s="299" t="s">
        <v>1085</v>
      </c>
    </row>
    <row r="4" spans="1:12" s="297" customFormat="1" ht="27" customHeight="1">
      <c r="A4" s="293">
        <f t="shared" si="0"/>
        <v>2</v>
      </c>
      <c r="B4" s="180" t="s">
        <v>253</v>
      </c>
      <c r="C4" s="294">
        <v>3</v>
      </c>
      <c r="D4" s="318">
        <v>3</v>
      </c>
      <c r="E4" s="294">
        <v>0</v>
      </c>
      <c r="F4" s="171">
        <v>254</v>
      </c>
      <c r="G4" s="295" t="s">
        <v>270</v>
      </c>
      <c r="H4" s="164" t="str">
        <f t="shared" si="1"/>
        <v>0F03</v>
      </c>
      <c r="I4" s="294" t="s">
        <v>765</v>
      </c>
      <c r="J4" s="171" t="s">
        <v>106</v>
      </c>
      <c r="L4" s="299" t="s">
        <v>1086</v>
      </c>
    </row>
    <row r="5" spans="1:12" s="297" customFormat="1" ht="27" customHeight="1">
      <c r="A5" s="293">
        <f t="shared" si="0"/>
        <v>3</v>
      </c>
      <c r="B5" s="180" t="s">
        <v>254</v>
      </c>
      <c r="C5" s="294">
        <v>75</v>
      </c>
      <c r="D5" s="318">
        <v>75</v>
      </c>
      <c r="E5" s="294">
        <v>0</v>
      </c>
      <c r="F5" s="171">
        <v>127</v>
      </c>
      <c r="G5" s="295" t="s">
        <v>271</v>
      </c>
      <c r="H5" s="164" t="str">
        <f t="shared" si="1"/>
        <v>0F04</v>
      </c>
      <c r="I5" s="294" t="s">
        <v>769</v>
      </c>
      <c r="J5" s="171" t="s">
        <v>107</v>
      </c>
      <c r="L5" s="297" t="s">
        <v>1547</v>
      </c>
    </row>
    <row r="6" spans="1:12" s="297" customFormat="1" ht="27" customHeight="1">
      <c r="A6" s="293">
        <f t="shared" si="0"/>
        <v>4</v>
      </c>
      <c r="B6" s="180" t="s">
        <v>255</v>
      </c>
      <c r="C6" s="294">
        <v>150</v>
      </c>
      <c r="D6" s="318">
        <v>150</v>
      </c>
      <c r="E6" s="294">
        <v>0</v>
      </c>
      <c r="F6" s="171">
        <v>254</v>
      </c>
      <c r="G6" s="295" t="s">
        <v>272</v>
      </c>
      <c r="H6" s="164" t="str">
        <f t="shared" si="1"/>
        <v>0F05</v>
      </c>
      <c r="I6" s="294" t="s">
        <v>770</v>
      </c>
      <c r="J6" s="171" t="s">
        <v>106</v>
      </c>
      <c r="L6" s="299" t="s">
        <v>1090</v>
      </c>
    </row>
    <row r="7" spans="1:12" s="297" customFormat="1" ht="27" customHeight="1">
      <c r="A7" s="293">
        <f t="shared" si="0"/>
        <v>5</v>
      </c>
      <c r="B7" s="76" t="str">
        <f>"reserved_byte" &amp;TEXT(A7,0)</f>
        <v>reserved_byte5</v>
      </c>
      <c r="C7" s="59">
        <v>255</v>
      </c>
      <c r="D7" s="319">
        <v>255</v>
      </c>
      <c r="E7" s="59">
        <v>0</v>
      </c>
      <c r="F7" s="59">
        <v>255</v>
      </c>
      <c r="G7" s="76" t="s">
        <v>59</v>
      </c>
      <c r="H7" s="64" t="str">
        <f t="shared" si="1"/>
        <v>0F06</v>
      </c>
      <c r="I7" s="59">
        <v>1</v>
      </c>
      <c r="J7" s="61"/>
      <c r="L7" s="299" t="s">
        <v>1086</v>
      </c>
    </row>
    <row r="8" spans="1:12" s="297" customFormat="1" ht="27" customHeight="1">
      <c r="A8" s="293">
        <f t="shared" si="0"/>
        <v>6</v>
      </c>
      <c r="B8" s="180" t="s">
        <v>256</v>
      </c>
      <c r="C8" s="294">
        <v>30</v>
      </c>
      <c r="D8" s="318">
        <v>30</v>
      </c>
      <c r="E8" s="294">
        <v>0</v>
      </c>
      <c r="F8" s="171">
        <v>254</v>
      </c>
      <c r="G8" s="295" t="s">
        <v>273</v>
      </c>
      <c r="H8" s="164" t="str">
        <f t="shared" si="1"/>
        <v>0F07</v>
      </c>
      <c r="I8" s="294" t="s">
        <v>765</v>
      </c>
      <c r="J8" s="171" t="s">
        <v>106</v>
      </c>
      <c r="L8" s="299" t="s">
        <v>1086</v>
      </c>
    </row>
    <row r="9" spans="1:12" s="297" customFormat="1" ht="27" customHeight="1">
      <c r="A9" s="293">
        <f t="shared" si="0"/>
        <v>7</v>
      </c>
      <c r="B9" s="180" t="s">
        <v>3001</v>
      </c>
      <c r="C9" s="59">
        <v>20</v>
      </c>
      <c r="D9" s="59">
        <v>20</v>
      </c>
      <c r="E9" s="59">
        <v>0</v>
      </c>
      <c r="F9" s="59">
        <v>255</v>
      </c>
      <c r="G9" s="76" t="s">
        <v>3002</v>
      </c>
      <c r="H9" s="64" t="str">
        <f t="shared" si="1"/>
        <v>0F08</v>
      </c>
      <c r="I9" s="59">
        <v>10</v>
      </c>
      <c r="J9" s="171" t="s">
        <v>107</v>
      </c>
      <c r="L9" s="299" t="s">
        <v>1086</v>
      </c>
    </row>
    <row r="10" spans="1:12" s="297" customFormat="1" ht="27" customHeight="1">
      <c r="A10" s="293">
        <f t="shared" si="0"/>
        <v>8</v>
      </c>
      <c r="B10" s="180" t="s">
        <v>712</v>
      </c>
      <c r="C10" s="294">
        <v>50</v>
      </c>
      <c r="D10" s="318">
        <v>50</v>
      </c>
      <c r="E10" s="294">
        <v>0</v>
      </c>
      <c r="F10" s="171">
        <v>254</v>
      </c>
      <c r="G10" s="295" t="s">
        <v>669</v>
      </c>
      <c r="H10" s="164" t="str">
        <f t="shared" si="1"/>
        <v>0F09</v>
      </c>
      <c r="I10" s="294" t="s">
        <v>764</v>
      </c>
      <c r="J10" s="171" t="s">
        <v>107</v>
      </c>
      <c r="L10" s="299" t="s">
        <v>1085</v>
      </c>
    </row>
    <row r="11" spans="1:12" s="297" customFormat="1" ht="27" customHeight="1">
      <c r="A11" s="293">
        <f t="shared" si="0"/>
        <v>9</v>
      </c>
      <c r="B11" s="180" t="s">
        <v>655</v>
      </c>
      <c r="C11" s="294">
        <v>50</v>
      </c>
      <c r="D11" s="318">
        <v>50</v>
      </c>
      <c r="E11" s="294">
        <v>0</v>
      </c>
      <c r="F11" s="171">
        <v>254</v>
      </c>
      <c r="G11" s="295" t="s">
        <v>670</v>
      </c>
      <c r="H11" s="164" t="str">
        <f t="shared" si="1"/>
        <v>0F0A</v>
      </c>
      <c r="I11" s="294" t="s">
        <v>764</v>
      </c>
      <c r="J11" s="171" t="s">
        <v>107</v>
      </c>
      <c r="L11" s="299" t="s">
        <v>1085</v>
      </c>
    </row>
    <row r="12" spans="1:12" s="297" customFormat="1" ht="27" customHeight="1">
      <c r="A12" s="293">
        <f t="shared" si="0"/>
        <v>10</v>
      </c>
      <c r="B12" s="180" t="s">
        <v>257</v>
      </c>
      <c r="C12" s="294">
        <v>8</v>
      </c>
      <c r="D12" s="318">
        <v>8</v>
      </c>
      <c r="E12" s="294">
        <v>0</v>
      </c>
      <c r="F12" s="171">
        <v>127</v>
      </c>
      <c r="G12" s="295" t="s">
        <v>274</v>
      </c>
      <c r="H12" s="164" t="str">
        <f t="shared" si="1"/>
        <v>0F0B</v>
      </c>
      <c r="I12" s="294" t="s">
        <v>769</v>
      </c>
      <c r="J12" s="171" t="s">
        <v>107</v>
      </c>
      <c r="L12" s="297" t="s">
        <v>1547</v>
      </c>
    </row>
    <row r="13" spans="1:12" s="297" customFormat="1" ht="27" customHeight="1">
      <c r="A13" s="293">
        <f t="shared" si="0"/>
        <v>11</v>
      </c>
      <c r="B13" s="180" t="s">
        <v>258</v>
      </c>
      <c r="C13" s="294">
        <v>8</v>
      </c>
      <c r="D13" s="318">
        <v>8</v>
      </c>
      <c r="E13" s="294">
        <v>0</v>
      </c>
      <c r="F13" s="171">
        <v>127</v>
      </c>
      <c r="G13" s="295" t="s">
        <v>671</v>
      </c>
      <c r="H13" s="164" t="str">
        <f t="shared" si="1"/>
        <v>0F0C</v>
      </c>
      <c r="I13" s="294" t="s">
        <v>769</v>
      </c>
      <c r="J13" s="171" t="s">
        <v>107</v>
      </c>
      <c r="L13" s="297" t="s">
        <v>1547</v>
      </c>
    </row>
    <row r="14" spans="1:12" s="297" customFormat="1" ht="27" customHeight="1">
      <c r="A14" s="293">
        <f t="shared" si="0"/>
        <v>12</v>
      </c>
      <c r="B14" s="180" t="s">
        <v>259</v>
      </c>
      <c r="C14" s="294">
        <v>2</v>
      </c>
      <c r="D14" s="318">
        <v>2</v>
      </c>
      <c r="E14" s="294">
        <v>0</v>
      </c>
      <c r="F14" s="171">
        <v>63</v>
      </c>
      <c r="G14" s="295" t="s">
        <v>275</v>
      </c>
      <c r="H14" s="164" t="str">
        <f t="shared" si="1"/>
        <v>0F0D</v>
      </c>
      <c r="I14" s="294" t="s">
        <v>771</v>
      </c>
      <c r="J14" s="171" t="s">
        <v>107</v>
      </c>
      <c r="L14" s="297" t="s">
        <v>1551</v>
      </c>
    </row>
    <row r="15" spans="1:12" s="297" customFormat="1" ht="27" customHeight="1">
      <c r="A15" s="293">
        <f t="shared" si="0"/>
        <v>13</v>
      </c>
      <c r="B15" s="180" t="s">
        <v>260</v>
      </c>
      <c r="C15" s="294">
        <v>78</v>
      </c>
      <c r="D15" s="318">
        <v>78</v>
      </c>
      <c r="E15" s="294">
        <v>0</v>
      </c>
      <c r="F15" s="171">
        <v>63</v>
      </c>
      <c r="G15" s="295" t="s">
        <v>672</v>
      </c>
      <c r="H15" s="164" t="str">
        <f t="shared" si="1"/>
        <v>0F0E</v>
      </c>
      <c r="I15" s="294" t="s">
        <v>771</v>
      </c>
      <c r="J15" s="171" t="s">
        <v>107</v>
      </c>
      <c r="L15" s="297" t="s">
        <v>1551</v>
      </c>
    </row>
    <row r="16" spans="1:12" s="297" customFormat="1" ht="27" customHeight="1">
      <c r="A16" s="293">
        <f t="shared" si="0"/>
        <v>14</v>
      </c>
      <c r="B16" s="180" t="s">
        <v>140</v>
      </c>
      <c r="C16" s="294">
        <v>10</v>
      </c>
      <c r="D16" s="318">
        <v>10</v>
      </c>
      <c r="E16" s="294">
        <v>0</v>
      </c>
      <c r="F16" s="171">
        <v>254</v>
      </c>
      <c r="G16" s="295" t="s">
        <v>212</v>
      </c>
      <c r="H16" s="164" t="str">
        <f t="shared" si="1"/>
        <v>0F0F</v>
      </c>
      <c r="I16" s="294" t="s">
        <v>764</v>
      </c>
      <c r="J16" s="171" t="s">
        <v>107</v>
      </c>
      <c r="L16" s="299" t="s">
        <v>1085</v>
      </c>
    </row>
    <row r="17" spans="1:12" s="297" customFormat="1" ht="27" customHeight="1">
      <c r="A17" s="293">
        <f t="shared" si="0"/>
        <v>15</v>
      </c>
      <c r="B17" s="180" t="s">
        <v>141</v>
      </c>
      <c r="C17" s="294">
        <v>1</v>
      </c>
      <c r="D17" s="318">
        <v>1</v>
      </c>
      <c r="E17" s="294">
        <v>0</v>
      </c>
      <c r="F17" s="171">
        <v>254</v>
      </c>
      <c r="G17" s="295" t="s">
        <v>213</v>
      </c>
      <c r="H17" s="164" t="str">
        <f t="shared" si="1"/>
        <v>0F10</v>
      </c>
      <c r="I17" s="294" t="s">
        <v>768</v>
      </c>
      <c r="J17" s="171" t="s">
        <v>107</v>
      </c>
      <c r="L17" s="297" t="s">
        <v>1550</v>
      </c>
    </row>
    <row r="18" spans="1:12" s="297" customFormat="1" ht="27" customHeight="1">
      <c r="A18" s="293">
        <f t="shared" si="0"/>
        <v>16</v>
      </c>
      <c r="B18" s="76" t="str">
        <f>"reserved_byte" &amp;TEXT(A18,0)</f>
        <v>reserved_byte16</v>
      </c>
      <c r="C18" s="294">
        <v>255</v>
      </c>
      <c r="D18" s="319">
        <v>255</v>
      </c>
      <c r="E18" s="59">
        <v>0</v>
      </c>
      <c r="F18" s="59">
        <v>255</v>
      </c>
      <c r="G18" s="76" t="s">
        <v>59</v>
      </c>
      <c r="H18" s="64" t="str">
        <f t="shared" si="1"/>
        <v>0F11</v>
      </c>
      <c r="I18" s="59">
        <v>1</v>
      </c>
      <c r="J18" s="61"/>
      <c r="L18" s="299" t="s">
        <v>1089</v>
      </c>
    </row>
    <row r="19" spans="1:12" s="297" customFormat="1" ht="27" customHeight="1">
      <c r="A19" s="293">
        <f t="shared" si="0"/>
        <v>17</v>
      </c>
      <c r="B19" s="180" t="s">
        <v>144</v>
      </c>
      <c r="C19" s="294">
        <v>20</v>
      </c>
      <c r="D19" s="294">
        <v>20</v>
      </c>
      <c r="E19" s="294">
        <v>0</v>
      </c>
      <c r="F19" s="171">
        <v>254</v>
      </c>
      <c r="G19" s="295" t="s">
        <v>214</v>
      </c>
      <c r="H19" s="164" t="str">
        <f t="shared" si="1"/>
        <v>0F12</v>
      </c>
      <c r="I19" s="294" t="s">
        <v>772</v>
      </c>
      <c r="J19" s="171" t="s">
        <v>210</v>
      </c>
      <c r="L19" s="299" t="s">
        <v>1087</v>
      </c>
    </row>
    <row r="20" spans="1:12" s="297" customFormat="1" ht="27" customHeight="1">
      <c r="A20" s="293">
        <f t="shared" si="0"/>
        <v>18</v>
      </c>
      <c r="B20" s="328" t="s">
        <v>3025</v>
      </c>
      <c r="C20" s="352">
        <v>8</v>
      </c>
      <c r="D20" s="319">
        <v>8</v>
      </c>
      <c r="E20" s="59">
        <v>1</v>
      </c>
      <c r="F20" s="59">
        <v>254</v>
      </c>
      <c r="G20" s="76" t="s">
        <v>3026</v>
      </c>
      <c r="H20" s="64" t="str">
        <f t="shared" si="1"/>
        <v>0F13</v>
      </c>
      <c r="I20" s="59">
        <v>10</v>
      </c>
      <c r="J20" s="171" t="s">
        <v>107</v>
      </c>
      <c r="L20" s="299" t="s">
        <v>1085</v>
      </c>
    </row>
    <row r="21" spans="1:12" s="297" customFormat="1" ht="27" customHeight="1">
      <c r="A21" s="293">
        <f t="shared" si="0"/>
        <v>19</v>
      </c>
      <c r="B21" s="180" t="s">
        <v>145</v>
      </c>
      <c r="C21" s="294">
        <v>0</v>
      </c>
      <c r="D21" s="318">
        <v>0</v>
      </c>
      <c r="E21" s="294">
        <v>0</v>
      </c>
      <c r="F21" s="171">
        <v>60</v>
      </c>
      <c r="G21" s="295" t="s">
        <v>673</v>
      </c>
      <c r="H21" s="164" t="str">
        <f t="shared" si="1"/>
        <v>0F14</v>
      </c>
      <c r="I21" s="294" t="s">
        <v>765</v>
      </c>
      <c r="J21" s="171" t="s">
        <v>106</v>
      </c>
      <c r="L21" s="299" t="s">
        <v>1086</v>
      </c>
    </row>
    <row r="22" spans="1:12" s="297" customFormat="1" ht="27" customHeight="1">
      <c r="A22" s="293">
        <f t="shared" si="0"/>
        <v>20</v>
      </c>
      <c r="B22" s="180" t="s">
        <v>146</v>
      </c>
      <c r="C22" s="294">
        <v>30</v>
      </c>
      <c r="D22" s="318">
        <v>30</v>
      </c>
      <c r="E22" s="294">
        <v>5</v>
      </c>
      <c r="F22" s="171">
        <v>254</v>
      </c>
      <c r="G22" s="295" t="s">
        <v>215</v>
      </c>
      <c r="H22" s="164" t="str">
        <f t="shared" si="1"/>
        <v>0F15</v>
      </c>
      <c r="I22" s="294" t="s">
        <v>764</v>
      </c>
      <c r="J22" s="171" t="s">
        <v>107</v>
      </c>
      <c r="L22" s="299" t="s">
        <v>1085</v>
      </c>
    </row>
    <row r="23" spans="1:12" s="297" customFormat="1" ht="27" customHeight="1">
      <c r="A23" s="293">
        <f t="shared" si="0"/>
        <v>21</v>
      </c>
      <c r="B23" s="180" t="s">
        <v>147</v>
      </c>
      <c r="C23" s="294">
        <v>30</v>
      </c>
      <c r="D23" s="318">
        <v>30</v>
      </c>
      <c r="E23" s="294">
        <v>5</v>
      </c>
      <c r="F23" s="171">
        <v>254</v>
      </c>
      <c r="G23" s="295" t="s">
        <v>216</v>
      </c>
      <c r="H23" s="164" t="str">
        <f t="shared" si="1"/>
        <v>0F16</v>
      </c>
      <c r="I23" s="294" t="s">
        <v>764</v>
      </c>
      <c r="J23" s="171" t="s">
        <v>107</v>
      </c>
      <c r="L23" s="299" t="s">
        <v>1085</v>
      </c>
    </row>
    <row r="24" spans="1:12" s="297" customFormat="1" ht="27" customHeight="1">
      <c r="A24" s="293">
        <f t="shared" si="0"/>
        <v>22</v>
      </c>
      <c r="B24" s="180" t="s">
        <v>148</v>
      </c>
      <c r="C24" s="294">
        <v>30</v>
      </c>
      <c r="D24" s="318">
        <v>30</v>
      </c>
      <c r="E24" s="294">
        <v>5</v>
      </c>
      <c r="F24" s="171">
        <v>254</v>
      </c>
      <c r="G24" s="295" t="s">
        <v>217</v>
      </c>
      <c r="H24" s="164" t="str">
        <f t="shared" si="1"/>
        <v>0F17</v>
      </c>
      <c r="I24" s="294" t="s">
        <v>764</v>
      </c>
      <c r="J24" s="171" t="s">
        <v>107</v>
      </c>
      <c r="L24" s="299" t="s">
        <v>1085</v>
      </c>
    </row>
    <row r="25" spans="1:12" s="297" customFormat="1" ht="27" customHeight="1">
      <c r="A25" s="293">
        <f t="shared" si="0"/>
        <v>23</v>
      </c>
      <c r="B25" s="180" t="s">
        <v>149</v>
      </c>
      <c r="C25" s="294">
        <v>10</v>
      </c>
      <c r="D25" s="318">
        <v>10</v>
      </c>
      <c r="E25" s="294">
        <v>1</v>
      </c>
      <c r="F25" s="171">
        <v>50</v>
      </c>
      <c r="G25" s="295" t="s">
        <v>218</v>
      </c>
      <c r="H25" s="164" t="str">
        <f t="shared" si="1"/>
        <v>0F18</v>
      </c>
      <c r="I25" s="294" t="s">
        <v>764</v>
      </c>
      <c r="J25" s="171" t="s">
        <v>107</v>
      </c>
      <c r="L25" s="299" t="s">
        <v>1085</v>
      </c>
    </row>
    <row r="26" spans="1:12" s="297" customFormat="1" ht="27" customHeight="1">
      <c r="A26" s="293">
        <f t="shared" si="0"/>
        <v>24</v>
      </c>
      <c r="B26" s="180" t="s">
        <v>150</v>
      </c>
      <c r="C26" s="294">
        <v>150</v>
      </c>
      <c r="D26" s="294">
        <v>150</v>
      </c>
      <c r="E26" s="294">
        <v>0</v>
      </c>
      <c r="F26" s="171">
        <v>254</v>
      </c>
      <c r="G26" s="295" t="s">
        <v>219</v>
      </c>
      <c r="H26" s="164" t="str">
        <f t="shared" si="1"/>
        <v>0F19</v>
      </c>
      <c r="I26" s="294" t="s">
        <v>764</v>
      </c>
      <c r="J26" s="171" t="s">
        <v>107</v>
      </c>
      <c r="L26" s="299" t="s">
        <v>1085</v>
      </c>
    </row>
    <row r="27" spans="1:12" s="297" customFormat="1" ht="27" customHeight="1">
      <c r="A27" s="293">
        <f t="shared" si="0"/>
        <v>25</v>
      </c>
      <c r="B27" s="180" t="s">
        <v>151</v>
      </c>
      <c r="C27" s="294">
        <v>6</v>
      </c>
      <c r="D27" s="294">
        <v>6</v>
      </c>
      <c r="E27" s="294">
        <v>0</v>
      </c>
      <c r="F27" s="301">
        <v>12</v>
      </c>
      <c r="G27" s="295" t="s">
        <v>220</v>
      </c>
      <c r="H27" s="164" t="str">
        <f t="shared" si="1"/>
        <v>0F1A</v>
      </c>
      <c r="I27" s="294" t="s">
        <v>765</v>
      </c>
      <c r="J27" s="171" t="s">
        <v>139</v>
      </c>
      <c r="L27" s="299" t="s">
        <v>1086</v>
      </c>
    </row>
    <row r="28" spans="1:12" s="297" customFormat="1" ht="27" customHeight="1">
      <c r="A28" s="293">
        <f t="shared" si="0"/>
        <v>26</v>
      </c>
      <c r="B28" s="180" t="s">
        <v>152</v>
      </c>
      <c r="C28" s="294">
        <v>8</v>
      </c>
      <c r="D28" s="294">
        <v>8</v>
      </c>
      <c r="E28" s="294">
        <v>0</v>
      </c>
      <c r="F28" s="171">
        <v>254</v>
      </c>
      <c r="G28" s="295" t="s">
        <v>221</v>
      </c>
      <c r="H28" s="164" t="str">
        <f t="shared" si="1"/>
        <v>0F1B</v>
      </c>
      <c r="I28" s="294" t="s">
        <v>764</v>
      </c>
      <c r="J28" s="171" t="s">
        <v>107</v>
      </c>
      <c r="L28" s="299" t="s">
        <v>1085</v>
      </c>
    </row>
    <row r="29" spans="1:12" s="297" customFormat="1" ht="27" customHeight="1">
      <c r="A29" s="293">
        <f t="shared" si="0"/>
        <v>27</v>
      </c>
      <c r="B29" s="180" t="s">
        <v>153</v>
      </c>
      <c r="C29" s="294">
        <v>6</v>
      </c>
      <c r="D29" s="294">
        <v>6</v>
      </c>
      <c r="E29" s="294">
        <v>1</v>
      </c>
      <c r="F29" s="171">
        <v>254</v>
      </c>
      <c r="G29" s="295" t="s">
        <v>222</v>
      </c>
      <c r="H29" s="164" t="str">
        <f t="shared" si="1"/>
        <v>0F1C</v>
      </c>
      <c r="I29" s="294" t="s">
        <v>765</v>
      </c>
      <c r="J29" s="171" t="s">
        <v>108</v>
      </c>
      <c r="L29" s="299" t="s">
        <v>1086</v>
      </c>
    </row>
    <row r="30" spans="1:12" s="297" customFormat="1" ht="27" customHeight="1">
      <c r="A30" s="293">
        <f t="shared" si="0"/>
        <v>28</v>
      </c>
      <c r="B30" s="180" t="s">
        <v>154</v>
      </c>
      <c r="C30" s="294">
        <v>0</v>
      </c>
      <c r="D30" s="294">
        <v>0</v>
      </c>
      <c r="E30" s="294">
        <v>0</v>
      </c>
      <c r="F30" s="171">
        <v>254</v>
      </c>
      <c r="G30" s="295" t="s">
        <v>674</v>
      </c>
      <c r="H30" s="164" t="str">
        <f t="shared" si="1"/>
        <v>0F1D</v>
      </c>
      <c r="I30" s="294" t="s">
        <v>768</v>
      </c>
      <c r="J30" s="171" t="s">
        <v>107</v>
      </c>
      <c r="L30" s="297" t="s">
        <v>1550</v>
      </c>
    </row>
    <row r="31" spans="1:12" s="297" customFormat="1" ht="27" customHeight="1">
      <c r="A31" s="293">
        <f t="shared" si="0"/>
        <v>29</v>
      </c>
      <c r="B31" s="180" t="s">
        <v>155</v>
      </c>
      <c r="C31" s="294">
        <v>30</v>
      </c>
      <c r="D31" s="294">
        <v>30</v>
      </c>
      <c r="E31" s="294">
        <v>1</v>
      </c>
      <c r="F31" s="171">
        <v>254</v>
      </c>
      <c r="G31" s="180" t="s">
        <v>675</v>
      </c>
      <c r="H31" s="164" t="str">
        <f t="shared" si="1"/>
        <v>0F1E</v>
      </c>
      <c r="I31" s="294" t="s">
        <v>765</v>
      </c>
      <c r="J31" s="171" t="s">
        <v>106</v>
      </c>
      <c r="L31" s="299" t="s">
        <v>1086</v>
      </c>
    </row>
    <row r="32" spans="1:12" s="297" customFormat="1" ht="27" customHeight="1">
      <c r="A32" s="293">
        <f t="shared" si="0"/>
        <v>30</v>
      </c>
      <c r="B32" s="180" t="s">
        <v>156</v>
      </c>
      <c r="C32" s="294">
        <v>20</v>
      </c>
      <c r="D32" s="294">
        <v>20</v>
      </c>
      <c r="E32" s="294">
        <v>5</v>
      </c>
      <c r="F32" s="171">
        <v>254</v>
      </c>
      <c r="G32" s="295" t="s">
        <v>676</v>
      </c>
      <c r="H32" s="164" t="str">
        <f t="shared" si="1"/>
        <v>0F1F</v>
      </c>
      <c r="I32" s="294" t="s">
        <v>764</v>
      </c>
      <c r="J32" s="171" t="s">
        <v>107</v>
      </c>
      <c r="L32" s="299" t="s">
        <v>1085</v>
      </c>
    </row>
    <row r="33" spans="1:12" s="297" customFormat="1" ht="27" customHeight="1">
      <c r="A33" s="293">
        <f t="shared" si="0"/>
        <v>31</v>
      </c>
      <c r="B33" s="180" t="s">
        <v>157</v>
      </c>
      <c r="C33" s="294">
        <v>20</v>
      </c>
      <c r="D33" s="318">
        <v>20</v>
      </c>
      <c r="E33" s="294">
        <v>5</v>
      </c>
      <c r="F33" s="171">
        <v>254</v>
      </c>
      <c r="G33" s="295" t="s">
        <v>677</v>
      </c>
      <c r="H33" s="164" t="str">
        <f t="shared" si="1"/>
        <v>0F20</v>
      </c>
      <c r="I33" s="294" t="s">
        <v>764</v>
      </c>
      <c r="J33" s="171" t="s">
        <v>107</v>
      </c>
      <c r="L33" s="299" t="s">
        <v>1085</v>
      </c>
    </row>
    <row r="34" spans="1:12" s="297" customFormat="1" ht="27" customHeight="1">
      <c r="A34" s="293">
        <f t="shared" si="0"/>
        <v>32</v>
      </c>
      <c r="B34" s="180" t="s">
        <v>158</v>
      </c>
      <c r="C34" s="294">
        <v>20</v>
      </c>
      <c r="D34" s="318">
        <v>20</v>
      </c>
      <c r="E34" s="294">
        <v>5</v>
      </c>
      <c r="F34" s="171">
        <v>254</v>
      </c>
      <c r="G34" s="295" t="s">
        <v>678</v>
      </c>
      <c r="H34" s="164" t="str">
        <f t="shared" si="1"/>
        <v>0F21</v>
      </c>
      <c r="I34" s="294" t="s">
        <v>764</v>
      </c>
      <c r="J34" s="171" t="s">
        <v>107</v>
      </c>
      <c r="L34" s="299" t="s">
        <v>1085</v>
      </c>
    </row>
    <row r="35" spans="1:12" s="297" customFormat="1" ht="27" customHeight="1">
      <c r="A35" s="293">
        <f t="shared" ref="A35:A66" si="2">A34+1</f>
        <v>33</v>
      </c>
      <c r="B35" s="180" t="s">
        <v>159</v>
      </c>
      <c r="C35" s="294">
        <v>1</v>
      </c>
      <c r="D35" s="318">
        <v>1</v>
      </c>
      <c r="E35" s="294">
        <v>0</v>
      </c>
      <c r="F35" s="171">
        <v>250</v>
      </c>
      <c r="G35" s="295" t="s">
        <v>223</v>
      </c>
      <c r="H35" s="164" t="str">
        <f t="shared" ref="H35:H66" si="3">DEC2HEX((HEX2DEC(H34)+1),4)</f>
        <v>0F22</v>
      </c>
      <c r="I35" s="294" t="s">
        <v>769</v>
      </c>
      <c r="J35" s="171" t="s">
        <v>107</v>
      </c>
      <c r="L35" s="297" t="s">
        <v>1547</v>
      </c>
    </row>
    <row r="36" spans="1:12" s="297" customFormat="1" ht="27" customHeight="1">
      <c r="A36" s="293">
        <f t="shared" si="2"/>
        <v>34</v>
      </c>
      <c r="B36" s="180" t="s">
        <v>160</v>
      </c>
      <c r="C36" s="294">
        <v>6</v>
      </c>
      <c r="D36" s="318">
        <v>6</v>
      </c>
      <c r="E36" s="294">
        <v>1</v>
      </c>
      <c r="F36" s="171">
        <v>20</v>
      </c>
      <c r="G36" s="295" t="s">
        <v>679</v>
      </c>
      <c r="H36" s="164" t="str">
        <f t="shared" si="3"/>
        <v>0F23</v>
      </c>
      <c r="I36" s="294" t="s">
        <v>765</v>
      </c>
      <c r="J36" s="171" t="s">
        <v>139</v>
      </c>
      <c r="L36" s="299" t="s">
        <v>1086</v>
      </c>
    </row>
    <row r="37" spans="1:12" s="297" customFormat="1" ht="27" customHeight="1">
      <c r="A37" s="293">
        <f t="shared" si="2"/>
        <v>35</v>
      </c>
      <c r="B37" s="76" t="str">
        <f>"reserved_byte" &amp;TEXT(A37,0)</f>
        <v>reserved_byte35</v>
      </c>
      <c r="C37" s="59">
        <v>255</v>
      </c>
      <c r="D37" s="319">
        <v>255</v>
      </c>
      <c r="E37" s="59">
        <v>0</v>
      </c>
      <c r="F37" s="59">
        <v>255</v>
      </c>
      <c r="G37" s="76" t="s">
        <v>59</v>
      </c>
      <c r="H37" s="64" t="str">
        <f t="shared" si="3"/>
        <v>0F24</v>
      </c>
      <c r="I37" s="59">
        <v>1</v>
      </c>
      <c r="J37" s="61"/>
      <c r="L37" s="299" t="s">
        <v>1086</v>
      </c>
    </row>
    <row r="38" spans="1:12" s="297" customFormat="1" ht="27" customHeight="1">
      <c r="A38" s="293">
        <f t="shared" si="2"/>
        <v>36</v>
      </c>
      <c r="B38" s="180" t="s">
        <v>161</v>
      </c>
      <c r="C38" s="294">
        <v>0</v>
      </c>
      <c r="D38" s="318">
        <v>0</v>
      </c>
      <c r="E38" s="294">
        <v>0</v>
      </c>
      <c r="F38" s="171">
        <v>254</v>
      </c>
      <c r="G38" s="295" t="s">
        <v>224</v>
      </c>
      <c r="H38" s="164" t="str">
        <f t="shared" si="3"/>
        <v>0F25</v>
      </c>
      <c r="I38" s="294" t="s">
        <v>768</v>
      </c>
      <c r="J38" s="171" t="s">
        <v>107</v>
      </c>
      <c r="L38" s="297" t="s">
        <v>1550</v>
      </c>
    </row>
    <row r="39" spans="1:12" s="297" customFormat="1" ht="27" customHeight="1">
      <c r="A39" s="293">
        <f t="shared" si="2"/>
        <v>37</v>
      </c>
      <c r="B39" s="180" t="s">
        <v>268</v>
      </c>
      <c r="C39" s="294">
        <v>10</v>
      </c>
      <c r="D39" s="318">
        <v>10</v>
      </c>
      <c r="E39" s="294">
        <v>0</v>
      </c>
      <c r="F39" s="171">
        <v>254</v>
      </c>
      <c r="G39" s="295" t="s">
        <v>680</v>
      </c>
      <c r="H39" s="164" t="str">
        <f t="shared" si="3"/>
        <v>0F26</v>
      </c>
      <c r="I39" s="294" t="s">
        <v>765</v>
      </c>
      <c r="J39" s="171" t="s">
        <v>106</v>
      </c>
      <c r="L39" s="299" t="s">
        <v>1086</v>
      </c>
    </row>
    <row r="40" spans="1:12" s="297" customFormat="1" ht="27" customHeight="1">
      <c r="A40" s="293">
        <f t="shared" si="2"/>
        <v>38</v>
      </c>
      <c r="B40" s="180" t="s">
        <v>656</v>
      </c>
      <c r="C40" s="294">
        <v>30</v>
      </c>
      <c r="D40" s="294">
        <v>30</v>
      </c>
      <c r="E40" s="294">
        <v>0</v>
      </c>
      <c r="F40" s="171">
        <v>254</v>
      </c>
      <c r="G40" s="295" t="s">
        <v>681</v>
      </c>
      <c r="H40" s="164" t="str">
        <f t="shared" si="3"/>
        <v>0F27</v>
      </c>
      <c r="I40" s="294" t="s">
        <v>765</v>
      </c>
      <c r="J40" s="171" t="s">
        <v>106</v>
      </c>
      <c r="L40" s="299" t="s">
        <v>1086</v>
      </c>
    </row>
    <row r="41" spans="1:12" s="297" customFormat="1" ht="27" customHeight="1">
      <c r="A41" s="293">
        <f t="shared" si="2"/>
        <v>39</v>
      </c>
      <c r="B41" s="180" t="s">
        <v>657</v>
      </c>
      <c r="C41" s="294">
        <v>20</v>
      </c>
      <c r="D41" s="294">
        <v>20</v>
      </c>
      <c r="E41" s="294">
        <v>1</v>
      </c>
      <c r="F41" s="171">
        <v>254</v>
      </c>
      <c r="G41" s="295" t="s">
        <v>682</v>
      </c>
      <c r="H41" s="164" t="str">
        <f t="shared" si="3"/>
        <v>0F28</v>
      </c>
      <c r="I41" s="294" t="s">
        <v>765</v>
      </c>
      <c r="J41" s="171" t="s">
        <v>139</v>
      </c>
      <c r="L41" s="299" t="s">
        <v>1086</v>
      </c>
    </row>
    <row r="42" spans="1:12" s="297" customFormat="1" ht="27" customHeight="1">
      <c r="A42" s="293">
        <f t="shared" si="2"/>
        <v>40</v>
      </c>
      <c r="B42" s="302" t="s">
        <v>658</v>
      </c>
      <c r="C42" s="61">
        <v>30</v>
      </c>
      <c r="D42" s="61">
        <v>30</v>
      </c>
      <c r="E42" s="303">
        <v>0</v>
      </c>
      <c r="F42" s="304">
        <v>254</v>
      </c>
      <c r="G42" s="302" t="s">
        <v>683</v>
      </c>
      <c r="H42" s="130" t="str">
        <f t="shared" si="3"/>
        <v>0F29</v>
      </c>
      <c r="I42" s="303" t="s">
        <v>770</v>
      </c>
      <c r="J42" s="304" t="s">
        <v>106</v>
      </c>
      <c r="L42" s="299" t="s">
        <v>1090</v>
      </c>
    </row>
    <row r="43" spans="1:12" s="297" customFormat="1" ht="27" customHeight="1">
      <c r="A43" s="293">
        <f t="shared" si="2"/>
        <v>41</v>
      </c>
      <c r="B43" s="180" t="s">
        <v>659</v>
      </c>
      <c r="C43" s="294">
        <v>4</v>
      </c>
      <c r="D43" s="294">
        <v>4</v>
      </c>
      <c r="E43" s="294">
        <v>0</v>
      </c>
      <c r="F43" s="171">
        <v>254</v>
      </c>
      <c r="G43" s="295" t="s">
        <v>684</v>
      </c>
      <c r="H43" s="164" t="str">
        <f t="shared" si="3"/>
        <v>0F2A</v>
      </c>
      <c r="I43" s="294" t="s">
        <v>765</v>
      </c>
      <c r="J43" s="171" t="s">
        <v>106</v>
      </c>
      <c r="L43" s="299" t="s">
        <v>1086</v>
      </c>
    </row>
    <row r="44" spans="1:12" s="297" customFormat="1" ht="27" customHeight="1">
      <c r="A44" s="293">
        <f t="shared" si="2"/>
        <v>42</v>
      </c>
      <c r="B44" s="180" t="s">
        <v>167</v>
      </c>
      <c r="C44" s="294">
        <v>20</v>
      </c>
      <c r="D44" s="294">
        <v>20</v>
      </c>
      <c r="E44" s="294">
        <v>0</v>
      </c>
      <c r="F44" s="171">
        <v>80</v>
      </c>
      <c r="G44" s="295" t="s">
        <v>225</v>
      </c>
      <c r="H44" s="164" t="str">
        <f t="shared" si="3"/>
        <v>0F2B</v>
      </c>
      <c r="I44" s="294" t="s">
        <v>773</v>
      </c>
      <c r="J44" s="171" t="s">
        <v>107</v>
      </c>
      <c r="L44" s="299" t="s">
        <v>1088</v>
      </c>
    </row>
    <row r="45" spans="1:12" s="297" customFormat="1" ht="27" customHeight="1">
      <c r="A45" s="293">
        <f t="shared" si="2"/>
        <v>43</v>
      </c>
      <c r="B45" s="180" t="s">
        <v>168</v>
      </c>
      <c r="C45" s="294">
        <v>3</v>
      </c>
      <c r="D45" s="294">
        <v>3</v>
      </c>
      <c r="E45" s="294">
        <v>0</v>
      </c>
      <c r="F45" s="171">
        <v>10</v>
      </c>
      <c r="G45" s="295" t="s">
        <v>226</v>
      </c>
      <c r="H45" s="164" t="str">
        <f t="shared" si="3"/>
        <v>0F2C</v>
      </c>
      <c r="I45" s="294" t="s">
        <v>765</v>
      </c>
      <c r="J45" s="171" t="s">
        <v>108</v>
      </c>
      <c r="L45" s="299" t="s">
        <v>1086</v>
      </c>
    </row>
    <row r="46" spans="1:12" s="297" customFormat="1" ht="27" customHeight="1">
      <c r="A46" s="293">
        <f t="shared" si="2"/>
        <v>44</v>
      </c>
      <c r="B46" s="180" t="s">
        <v>169</v>
      </c>
      <c r="C46" s="294">
        <v>140</v>
      </c>
      <c r="D46" s="294">
        <v>140</v>
      </c>
      <c r="E46" s="294">
        <v>0</v>
      </c>
      <c r="F46" s="171">
        <v>200</v>
      </c>
      <c r="G46" s="295" t="s">
        <v>227</v>
      </c>
      <c r="H46" s="164" t="str">
        <f t="shared" si="3"/>
        <v>0F2D</v>
      </c>
      <c r="I46" s="294" t="s">
        <v>773</v>
      </c>
      <c r="J46" s="171" t="s">
        <v>107</v>
      </c>
      <c r="L46" s="299" t="s">
        <v>1088</v>
      </c>
    </row>
    <row r="47" spans="1:12" s="297" customFormat="1" ht="27" customHeight="1">
      <c r="A47" s="293">
        <f t="shared" si="2"/>
        <v>45</v>
      </c>
      <c r="B47" s="180" t="s">
        <v>170</v>
      </c>
      <c r="C47" s="294">
        <v>80</v>
      </c>
      <c r="D47" s="294">
        <v>80</v>
      </c>
      <c r="E47" s="294">
        <v>0</v>
      </c>
      <c r="F47" s="171">
        <v>200</v>
      </c>
      <c r="G47" s="295" t="s">
        <v>228</v>
      </c>
      <c r="H47" s="164" t="str">
        <f t="shared" si="3"/>
        <v>0F2E</v>
      </c>
      <c r="I47" s="294" t="s">
        <v>773</v>
      </c>
      <c r="J47" s="171" t="s">
        <v>107</v>
      </c>
      <c r="L47" s="299" t="s">
        <v>1088</v>
      </c>
    </row>
    <row r="48" spans="1:12" s="297" customFormat="1" ht="27" customHeight="1">
      <c r="A48" s="293">
        <f t="shared" si="2"/>
        <v>46</v>
      </c>
      <c r="B48" s="180" t="s">
        <v>171</v>
      </c>
      <c r="C48" s="294">
        <v>80</v>
      </c>
      <c r="D48" s="294">
        <v>80</v>
      </c>
      <c r="E48" s="294">
        <v>0</v>
      </c>
      <c r="F48" s="171">
        <v>200</v>
      </c>
      <c r="G48" s="295" t="s">
        <v>229</v>
      </c>
      <c r="H48" s="164" t="str">
        <f t="shared" si="3"/>
        <v>0F2F</v>
      </c>
      <c r="I48" s="294" t="s">
        <v>773</v>
      </c>
      <c r="J48" s="171" t="s">
        <v>107</v>
      </c>
      <c r="L48" s="299" t="s">
        <v>1088</v>
      </c>
    </row>
    <row r="49" spans="1:12" s="297" customFormat="1" ht="27" customHeight="1">
      <c r="A49" s="293">
        <f t="shared" si="2"/>
        <v>47</v>
      </c>
      <c r="B49" s="180" t="s">
        <v>172</v>
      </c>
      <c r="C49" s="294">
        <v>80</v>
      </c>
      <c r="D49" s="294">
        <v>80</v>
      </c>
      <c r="E49" s="294">
        <v>0</v>
      </c>
      <c r="F49" s="171">
        <v>200</v>
      </c>
      <c r="G49" s="295" t="s">
        <v>230</v>
      </c>
      <c r="H49" s="164" t="str">
        <f t="shared" si="3"/>
        <v>0F30</v>
      </c>
      <c r="I49" s="294" t="s">
        <v>773</v>
      </c>
      <c r="J49" s="171" t="s">
        <v>107</v>
      </c>
      <c r="L49" s="299" t="s">
        <v>1088</v>
      </c>
    </row>
    <row r="50" spans="1:12" s="297" customFormat="1" ht="27" customHeight="1">
      <c r="A50" s="293">
        <f t="shared" si="2"/>
        <v>48</v>
      </c>
      <c r="B50" s="180" t="s">
        <v>173</v>
      </c>
      <c r="C50" s="294">
        <v>80</v>
      </c>
      <c r="D50" s="294">
        <v>80</v>
      </c>
      <c r="E50" s="294">
        <v>0</v>
      </c>
      <c r="F50" s="171">
        <v>200</v>
      </c>
      <c r="G50" s="295" t="s">
        <v>231</v>
      </c>
      <c r="H50" s="164" t="str">
        <f t="shared" si="3"/>
        <v>0F31</v>
      </c>
      <c r="I50" s="294" t="s">
        <v>773</v>
      </c>
      <c r="J50" s="171" t="s">
        <v>107</v>
      </c>
      <c r="L50" s="299" t="s">
        <v>1088</v>
      </c>
    </row>
    <row r="51" spans="1:12" s="297" customFormat="1" ht="27" customHeight="1">
      <c r="A51" s="293">
        <f t="shared" si="2"/>
        <v>49</v>
      </c>
      <c r="B51" s="180" t="s">
        <v>174</v>
      </c>
      <c r="C51" s="294">
        <v>80</v>
      </c>
      <c r="D51" s="294">
        <v>80</v>
      </c>
      <c r="E51" s="294">
        <v>0</v>
      </c>
      <c r="F51" s="171">
        <v>200</v>
      </c>
      <c r="G51" s="295" t="s">
        <v>232</v>
      </c>
      <c r="H51" s="164" t="str">
        <f t="shared" si="3"/>
        <v>0F32</v>
      </c>
      <c r="I51" s="294" t="s">
        <v>773</v>
      </c>
      <c r="J51" s="171" t="s">
        <v>107</v>
      </c>
      <c r="L51" s="299" t="s">
        <v>1088</v>
      </c>
    </row>
    <row r="52" spans="1:12" s="297" customFormat="1" ht="27" customHeight="1">
      <c r="A52" s="293">
        <f t="shared" si="2"/>
        <v>50</v>
      </c>
      <c r="B52" s="180" t="s">
        <v>175</v>
      </c>
      <c r="C52" s="294">
        <v>80</v>
      </c>
      <c r="D52" s="294">
        <v>80</v>
      </c>
      <c r="E52" s="294">
        <v>0</v>
      </c>
      <c r="F52" s="171">
        <v>200</v>
      </c>
      <c r="G52" s="295" t="s">
        <v>233</v>
      </c>
      <c r="H52" s="164" t="str">
        <f t="shared" si="3"/>
        <v>0F33</v>
      </c>
      <c r="I52" s="294" t="s">
        <v>773</v>
      </c>
      <c r="J52" s="171" t="s">
        <v>107</v>
      </c>
      <c r="L52" s="299" t="s">
        <v>1088</v>
      </c>
    </row>
    <row r="53" spans="1:12" s="297" customFormat="1" ht="27" customHeight="1">
      <c r="A53" s="293">
        <f t="shared" si="2"/>
        <v>51</v>
      </c>
      <c r="B53" s="180" t="s">
        <v>176</v>
      </c>
      <c r="C53" s="294">
        <v>80</v>
      </c>
      <c r="D53" s="294">
        <v>80</v>
      </c>
      <c r="E53" s="294">
        <v>0</v>
      </c>
      <c r="F53" s="171">
        <v>200</v>
      </c>
      <c r="G53" s="295" t="s">
        <v>234</v>
      </c>
      <c r="H53" s="164" t="str">
        <f t="shared" si="3"/>
        <v>0F34</v>
      </c>
      <c r="I53" s="294" t="s">
        <v>773</v>
      </c>
      <c r="J53" s="171" t="s">
        <v>107</v>
      </c>
      <c r="L53" s="299" t="s">
        <v>1088</v>
      </c>
    </row>
    <row r="54" spans="1:12" s="297" customFormat="1" ht="27" customHeight="1">
      <c r="A54" s="293">
        <f t="shared" si="2"/>
        <v>52</v>
      </c>
      <c r="B54" s="180" t="s">
        <v>177</v>
      </c>
      <c r="C54" s="294">
        <v>80</v>
      </c>
      <c r="D54" s="294">
        <v>80</v>
      </c>
      <c r="E54" s="294">
        <v>0</v>
      </c>
      <c r="F54" s="171">
        <v>200</v>
      </c>
      <c r="G54" s="295" t="s">
        <v>235</v>
      </c>
      <c r="H54" s="164" t="str">
        <f t="shared" si="3"/>
        <v>0F35</v>
      </c>
      <c r="I54" s="294" t="s">
        <v>773</v>
      </c>
      <c r="J54" s="171" t="s">
        <v>107</v>
      </c>
      <c r="L54" s="299" t="s">
        <v>1088</v>
      </c>
    </row>
    <row r="55" spans="1:12" s="297" customFormat="1" ht="27" customHeight="1">
      <c r="A55" s="293">
        <f t="shared" si="2"/>
        <v>53</v>
      </c>
      <c r="B55" s="180" t="s">
        <v>178</v>
      </c>
      <c r="C55" s="294">
        <v>80</v>
      </c>
      <c r="D55" s="294">
        <v>80</v>
      </c>
      <c r="E55" s="294">
        <v>0</v>
      </c>
      <c r="F55" s="171">
        <v>200</v>
      </c>
      <c r="G55" s="295" t="s">
        <v>236</v>
      </c>
      <c r="H55" s="164" t="str">
        <f t="shared" si="3"/>
        <v>0F36</v>
      </c>
      <c r="I55" s="294" t="s">
        <v>773</v>
      </c>
      <c r="J55" s="171" t="s">
        <v>107</v>
      </c>
      <c r="L55" s="299" t="s">
        <v>1088</v>
      </c>
    </row>
    <row r="56" spans="1:12" s="297" customFormat="1" ht="27" customHeight="1">
      <c r="A56" s="293">
        <f t="shared" si="2"/>
        <v>54</v>
      </c>
      <c r="B56" s="180" t="s">
        <v>179</v>
      </c>
      <c r="C56" s="294">
        <v>80</v>
      </c>
      <c r="D56" s="294">
        <v>80</v>
      </c>
      <c r="E56" s="294">
        <v>0</v>
      </c>
      <c r="F56" s="171">
        <v>200</v>
      </c>
      <c r="G56" s="295" t="s">
        <v>685</v>
      </c>
      <c r="H56" s="164" t="str">
        <f t="shared" si="3"/>
        <v>0F37</v>
      </c>
      <c r="I56" s="294" t="s">
        <v>773</v>
      </c>
      <c r="J56" s="171" t="s">
        <v>107</v>
      </c>
      <c r="L56" s="299" t="s">
        <v>1088</v>
      </c>
    </row>
    <row r="57" spans="1:12" s="297" customFormat="1" ht="27" customHeight="1">
      <c r="A57" s="293">
        <f t="shared" si="2"/>
        <v>55</v>
      </c>
      <c r="B57" s="180" t="s">
        <v>180</v>
      </c>
      <c r="C57" s="294">
        <v>50</v>
      </c>
      <c r="D57" s="294">
        <v>50</v>
      </c>
      <c r="E57" s="294">
        <v>0</v>
      </c>
      <c r="F57" s="171">
        <v>200</v>
      </c>
      <c r="G57" s="295" t="s">
        <v>527</v>
      </c>
      <c r="H57" s="164" t="str">
        <f t="shared" si="3"/>
        <v>0F38</v>
      </c>
      <c r="I57" s="294" t="s">
        <v>773</v>
      </c>
      <c r="J57" s="171" t="s">
        <v>107</v>
      </c>
      <c r="L57" s="299" t="s">
        <v>1088</v>
      </c>
    </row>
    <row r="58" spans="1:12" s="297" customFormat="1" ht="27" customHeight="1">
      <c r="A58" s="293">
        <f t="shared" si="2"/>
        <v>56</v>
      </c>
      <c r="B58" s="180" t="s">
        <v>181</v>
      </c>
      <c r="C58" s="294">
        <v>50</v>
      </c>
      <c r="D58" s="294">
        <v>50</v>
      </c>
      <c r="E58" s="294">
        <v>0</v>
      </c>
      <c r="F58" s="171">
        <v>200</v>
      </c>
      <c r="G58" s="295" t="s">
        <v>528</v>
      </c>
      <c r="H58" s="164" t="str">
        <f t="shared" si="3"/>
        <v>0F39</v>
      </c>
      <c r="I58" s="294" t="s">
        <v>773</v>
      </c>
      <c r="J58" s="171" t="s">
        <v>107</v>
      </c>
      <c r="L58" s="299" t="s">
        <v>1088</v>
      </c>
    </row>
    <row r="59" spans="1:12" s="297" customFormat="1" ht="27" customHeight="1">
      <c r="A59" s="293">
        <f t="shared" si="2"/>
        <v>57</v>
      </c>
      <c r="B59" s="180" t="s">
        <v>561</v>
      </c>
      <c r="C59" s="294">
        <v>176</v>
      </c>
      <c r="D59" s="318">
        <v>176</v>
      </c>
      <c r="E59" s="294">
        <v>0</v>
      </c>
      <c r="F59" s="171">
        <v>254</v>
      </c>
      <c r="G59" s="295" t="s">
        <v>529</v>
      </c>
      <c r="H59" s="164" t="str">
        <f t="shared" si="3"/>
        <v>0F3A</v>
      </c>
      <c r="I59" s="294" t="s">
        <v>764</v>
      </c>
      <c r="J59" s="171" t="s">
        <v>107</v>
      </c>
      <c r="L59" s="299" t="s">
        <v>1085</v>
      </c>
    </row>
    <row r="60" spans="1:12" s="297" customFormat="1" ht="27" customHeight="1">
      <c r="A60" s="293">
        <f t="shared" si="2"/>
        <v>58</v>
      </c>
      <c r="B60" s="180" t="s">
        <v>562</v>
      </c>
      <c r="C60" s="294">
        <v>2</v>
      </c>
      <c r="D60" s="294">
        <v>2</v>
      </c>
      <c r="E60" s="294">
        <v>0</v>
      </c>
      <c r="F60" s="171">
        <v>254</v>
      </c>
      <c r="G60" s="295" t="s">
        <v>530</v>
      </c>
      <c r="H60" s="164" t="str">
        <f t="shared" si="3"/>
        <v>0F3B</v>
      </c>
      <c r="I60" s="294" t="s">
        <v>764</v>
      </c>
      <c r="J60" s="171" t="s">
        <v>107</v>
      </c>
      <c r="L60" s="299" t="s">
        <v>1085</v>
      </c>
    </row>
    <row r="61" spans="1:12" s="297" customFormat="1" ht="27" customHeight="1">
      <c r="A61" s="293">
        <f t="shared" si="2"/>
        <v>59</v>
      </c>
      <c r="B61" s="180" t="s">
        <v>182</v>
      </c>
      <c r="C61" s="294">
        <v>28</v>
      </c>
      <c r="D61" s="294">
        <v>28</v>
      </c>
      <c r="E61" s="294">
        <v>0</v>
      </c>
      <c r="F61" s="171">
        <v>200</v>
      </c>
      <c r="G61" s="295" t="s">
        <v>237</v>
      </c>
      <c r="H61" s="164" t="str">
        <f t="shared" si="3"/>
        <v>0F3C</v>
      </c>
      <c r="I61" s="294" t="s">
        <v>773</v>
      </c>
      <c r="J61" s="171" t="s">
        <v>107</v>
      </c>
      <c r="L61" s="299" t="s">
        <v>1088</v>
      </c>
    </row>
    <row r="62" spans="1:12" s="297" customFormat="1" ht="27" customHeight="1">
      <c r="A62" s="293">
        <f t="shared" si="2"/>
        <v>60</v>
      </c>
      <c r="B62" s="180" t="s">
        <v>183</v>
      </c>
      <c r="C62" s="294">
        <v>28</v>
      </c>
      <c r="D62" s="294">
        <v>28</v>
      </c>
      <c r="E62" s="294">
        <v>0</v>
      </c>
      <c r="F62" s="171">
        <v>200</v>
      </c>
      <c r="G62" s="295" t="s">
        <v>686</v>
      </c>
      <c r="H62" s="164" t="str">
        <f t="shared" si="3"/>
        <v>0F3D</v>
      </c>
      <c r="I62" s="294" t="s">
        <v>773</v>
      </c>
      <c r="J62" s="171" t="s">
        <v>107</v>
      </c>
      <c r="L62" s="299" t="s">
        <v>1088</v>
      </c>
    </row>
    <row r="63" spans="1:12" s="297" customFormat="1" ht="27" customHeight="1">
      <c r="A63" s="293">
        <f t="shared" si="2"/>
        <v>61</v>
      </c>
      <c r="B63" s="180" t="s">
        <v>184</v>
      </c>
      <c r="C63" s="294">
        <v>1</v>
      </c>
      <c r="D63" s="294">
        <v>1</v>
      </c>
      <c r="E63" s="294">
        <v>0</v>
      </c>
      <c r="F63" s="171">
        <v>10</v>
      </c>
      <c r="G63" s="295" t="s">
        <v>238</v>
      </c>
      <c r="H63" s="164" t="str">
        <f t="shared" si="3"/>
        <v>0F3E</v>
      </c>
      <c r="I63" s="294" t="s">
        <v>765</v>
      </c>
      <c r="J63" s="171" t="s">
        <v>108</v>
      </c>
      <c r="L63" s="299" t="s">
        <v>1086</v>
      </c>
    </row>
    <row r="64" spans="1:12" s="297" customFormat="1" ht="27" customHeight="1">
      <c r="A64" s="293">
        <f t="shared" si="2"/>
        <v>62</v>
      </c>
      <c r="B64" s="180" t="s">
        <v>185</v>
      </c>
      <c r="C64" s="294">
        <v>3</v>
      </c>
      <c r="D64" s="294">
        <v>3</v>
      </c>
      <c r="E64" s="294">
        <v>0</v>
      </c>
      <c r="F64" s="171">
        <v>10</v>
      </c>
      <c r="G64" s="295" t="s">
        <v>239</v>
      </c>
      <c r="H64" s="164" t="str">
        <f t="shared" si="3"/>
        <v>0F3F</v>
      </c>
      <c r="I64" s="294" t="s">
        <v>765</v>
      </c>
      <c r="J64" s="171" t="s">
        <v>108</v>
      </c>
      <c r="L64" s="299" t="s">
        <v>1086</v>
      </c>
    </row>
    <row r="65" spans="1:12" s="297" customFormat="1" ht="27" customHeight="1">
      <c r="A65" s="293">
        <f t="shared" si="2"/>
        <v>63</v>
      </c>
      <c r="B65" s="180" t="s">
        <v>186</v>
      </c>
      <c r="C65" s="294">
        <v>3</v>
      </c>
      <c r="D65" s="294">
        <v>3</v>
      </c>
      <c r="E65" s="294">
        <v>0</v>
      </c>
      <c r="F65" s="171">
        <v>10</v>
      </c>
      <c r="G65" s="295" t="s">
        <v>687</v>
      </c>
      <c r="H65" s="164" t="str">
        <f t="shared" si="3"/>
        <v>0F40</v>
      </c>
      <c r="I65" s="294" t="s">
        <v>765</v>
      </c>
      <c r="J65" s="171" t="s">
        <v>108</v>
      </c>
      <c r="L65" s="299" t="s">
        <v>1086</v>
      </c>
    </row>
    <row r="66" spans="1:12" s="297" customFormat="1" ht="27" customHeight="1">
      <c r="A66" s="293">
        <f t="shared" si="2"/>
        <v>64</v>
      </c>
      <c r="B66" s="180" t="s">
        <v>187</v>
      </c>
      <c r="C66" s="294">
        <v>50</v>
      </c>
      <c r="D66" s="294">
        <v>50</v>
      </c>
      <c r="E66" s="294">
        <v>0</v>
      </c>
      <c r="F66" s="171">
        <v>200</v>
      </c>
      <c r="G66" s="295" t="s">
        <v>688</v>
      </c>
      <c r="H66" s="164" t="str">
        <f t="shared" si="3"/>
        <v>0F41</v>
      </c>
      <c r="I66" s="294" t="s">
        <v>773</v>
      </c>
      <c r="J66" s="171" t="s">
        <v>107</v>
      </c>
      <c r="L66" s="299" t="s">
        <v>1088</v>
      </c>
    </row>
    <row r="67" spans="1:12" s="297" customFormat="1" ht="27" customHeight="1">
      <c r="A67" s="293">
        <f t="shared" ref="A67:A98" si="4">A66+1</f>
        <v>65</v>
      </c>
      <c r="B67" s="180" t="s">
        <v>188</v>
      </c>
      <c r="C67" s="294">
        <v>50</v>
      </c>
      <c r="D67" s="294">
        <v>50</v>
      </c>
      <c r="E67" s="294">
        <v>0</v>
      </c>
      <c r="F67" s="171">
        <v>200</v>
      </c>
      <c r="G67" s="295" t="s">
        <v>689</v>
      </c>
      <c r="H67" s="164" t="str">
        <f t="shared" ref="H67:H98" si="5">DEC2HEX((HEX2DEC(H66)+1),4)</f>
        <v>0F42</v>
      </c>
      <c r="I67" s="294" t="s">
        <v>773</v>
      </c>
      <c r="J67" s="171" t="s">
        <v>107</v>
      </c>
      <c r="L67" s="299" t="s">
        <v>1088</v>
      </c>
    </row>
    <row r="68" spans="1:12" s="297" customFormat="1" ht="27" customHeight="1">
      <c r="A68" s="293">
        <f t="shared" si="4"/>
        <v>66</v>
      </c>
      <c r="B68" s="76" t="str">
        <f>"reserved_byte" &amp;TEXT(A68,0)</f>
        <v>reserved_byte66</v>
      </c>
      <c r="C68" s="59">
        <v>255</v>
      </c>
      <c r="D68" s="300">
        <v>255</v>
      </c>
      <c r="E68" s="59">
        <v>0</v>
      </c>
      <c r="F68" s="59">
        <v>255</v>
      </c>
      <c r="G68" s="76" t="s">
        <v>59</v>
      </c>
      <c r="H68" s="64" t="str">
        <f t="shared" si="5"/>
        <v>0F43</v>
      </c>
      <c r="I68" s="59">
        <v>1</v>
      </c>
      <c r="J68" s="61"/>
      <c r="L68" s="299" t="s">
        <v>1088</v>
      </c>
    </row>
    <row r="69" spans="1:12" s="297" customFormat="1" ht="27" customHeight="1">
      <c r="A69" s="293">
        <f t="shared" si="4"/>
        <v>67</v>
      </c>
      <c r="B69" s="76" t="str">
        <f>"reserved_byte" &amp;TEXT(A69,0)</f>
        <v>reserved_byte67</v>
      </c>
      <c r="C69" s="59">
        <v>255</v>
      </c>
      <c r="D69" s="300">
        <v>255</v>
      </c>
      <c r="E69" s="59">
        <v>0</v>
      </c>
      <c r="F69" s="59">
        <v>255</v>
      </c>
      <c r="G69" s="76" t="s">
        <v>59</v>
      </c>
      <c r="H69" s="64" t="str">
        <f t="shared" si="5"/>
        <v>0F44</v>
      </c>
      <c r="I69" s="59">
        <v>1</v>
      </c>
      <c r="J69" s="61"/>
      <c r="L69" s="299" t="s">
        <v>1088</v>
      </c>
    </row>
    <row r="70" spans="1:12" s="297" customFormat="1" ht="27" customHeight="1">
      <c r="A70" s="293">
        <f t="shared" si="4"/>
        <v>68</v>
      </c>
      <c r="B70" s="180" t="s">
        <v>660</v>
      </c>
      <c r="C70" s="294">
        <v>25</v>
      </c>
      <c r="D70" s="294">
        <v>25</v>
      </c>
      <c r="E70" s="294">
        <v>0</v>
      </c>
      <c r="F70" s="171">
        <v>254</v>
      </c>
      <c r="G70" s="295" t="s">
        <v>690</v>
      </c>
      <c r="H70" s="164" t="str">
        <f t="shared" si="5"/>
        <v>0F45</v>
      </c>
      <c r="I70" s="294" t="s">
        <v>764</v>
      </c>
      <c r="J70" s="171" t="s">
        <v>107</v>
      </c>
      <c r="L70" s="299" t="s">
        <v>1085</v>
      </c>
    </row>
    <row r="71" spans="1:12" s="297" customFormat="1" ht="27" customHeight="1">
      <c r="A71" s="293">
        <f t="shared" si="4"/>
        <v>69</v>
      </c>
      <c r="B71" s="180" t="s">
        <v>661</v>
      </c>
      <c r="C71" s="294">
        <v>25</v>
      </c>
      <c r="D71" s="294">
        <v>25</v>
      </c>
      <c r="E71" s="294">
        <v>0</v>
      </c>
      <c r="F71" s="171">
        <v>254</v>
      </c>
      <c r="G71" s="295" t="s">
        <v>691</v>
      </c>
      <c r="H71" s="164" t="str">
        <f t="shared" si="5"/>
        <v>0F46</v>
      </c>
      <c r="I71" s="294" t="s">
        <v>764</v>
      </c>
      <c r="J71" s="171" t="s">
        <v>107</v>
      </c>
      <c r="L71" s="299" t="s">
        <v>1085</v>
      </c>
    </row>
    <row r="72" spans="1:12" s="297" customFormat="1" ht="27" customHeight="1">
      <c r="A72" s="293">
        <f t="shared" si="4"/>
        <v>70</v>
      </c>
      <c r="B72" s="180" t="s">
        <v>662</v>
      </c>
      <c r="C72" s="294">
        <v>2</v>
      </c>
      <c r="D72" s="294">
        <v>2</v>
      </c>
      <c r="E72" s="294">
        <v>0</v>
      </c>
      <c r="F72" s="171">
        <v>10</v>
      </c>
      <c r="G72" s="295" t="s">
        <v>692</v>
      </c>
      <c r="H72" s="164" t="str">
        <f t="shared" si="5"/>
        <v>0F47</v>
      </c>
      <c r="I72" s="294" t="s">
        <v>765</v>
      </c>
      <c r="J72" s="171" t="s">
        <v>108</v>
      </c>
      <c r="L72" s="299" t="s">
        <v>1086</v>
      </c>
    </row>
    <row r="73" spans="1:12" s="297" customFormat="1" ht="27" customHeight="1">
      <c r="A73" s="293">
        <f t="shared" si="4"/>
        <v>71</v>
      </c>
      <c r="B73" s="180" t="s">
        <v>663</v>
      </c>
      <c r="C73" s="294">
        <v>25</v>
      </c>
      <c r="D73" s="294">
        <v>25</v>
      </c>
      <c r="E73" s="294">
        <v>0</v>
      </c>
      <c r="F73" s="171">
        <v>254</v>
      </c>
      <c r="G73" s="295" t="s">
        <v>693</v>
      </c>
      <c r="H73" s="164" t="str">
        <f t="shared" si="5"/>
        <v>0F48</v>
      </c>
      <c r="I73" s="294" t="s">
        <v>764</v>
      </c>
      <c r="J73" s="171" t="s">
        <v>107</v>
      </c>
      <c r="L73" s="299" t="s">
        <v>1085</v>
      </c>
    </row>
    <row r="74" spans="1:12" s="297" customFormat="1" ht="27" customHeight="1">
      <c r="A74" s="293">
        <f t="shared" si="4"/>
        <v>72</v>
      </c>
      <c r="B74" s="180" t="s">
        <v>664</v>
      </c>
      <c r="C74" s="294">
        <v>25</v>
      </c>
      <c r="D74" s="294">
        <v>25</v>
      </c>
      <c r="E74" s="294">
        <v>0</v>
      </c>
      <c r="F74" s="171">
        <v>254</v>
      </c>
      <c r="G74" s="295" t="s">
        <v>694</v>
      </c>
      <c r="H74" s="164" t="str">
        <f t="shared" si="5"/>
        <v>0F49</v>
      </c>
      <c r="I74" s="294" t="s">
        <v>764</v>
      </c>
      <c r="J74" s="171" t="s">
        <v>107</v>
      </c>
      <c r="L74" s="299" t="s">
        <v>1085</v>
      </c>
    </row>
    <row r="75" spans="1:12" s="297" customFormat="1" ht="27" customHeight="1">
      <c r="A75" s="293">
        <f t="shared" si="4"/>
        <v>73</v>
      </c>
      <c r="B75" s="180" t="s">
        <v>766</v>
      </c>
      <c r="C75" s="294">
        <v>3</v>
      </c>
      <c r="D75" s="294">
        <v>3</v>
      </c>
      <c r="E75" s="294">
        <v>0</v>
      </c>
      <c r="F75" s="171">
        <v>10</v>
      </c>
      <c r="G75" s="295" t="s">
        <v>695</v>
      </c>
      <c r="H75" s="164" t="str">
        <f t="shared" si="5"/>
        <v>0F4A</v>
      </c>
      <c r="I75" s="294" t="s">
        <v>765</v>
      </c>
      <c r="J75" s="171" t="s">
        <v>108</v>
      </c>
      <c r="L75" s="299" t="s">
        <v>1086</v>
      </c>
    </row>
    <row r="76" spans="1:12" s="297" customFormat="1" ht="27" customHeight="1">
      <c r="A76" s="293">
        <f t="shared" si="4"/>
        <v>74</v>
      </c>
      <c r="B76" s="180" t="s">
        <v>189</v>
      </c>
      <c r="C76" s="294">
        <v>1</v>
      </c>
      <c r="D76" s="294">
        <v>1</v>
      </c>
      <c r="E76" s="294">
        <v>0</v>
      </c>
      <c r="F76" s="171">
        <v>10</v>
      </c>
      <c r="G76" s="295" t="s">
        <v>696</v>
      </c>
      <c r="H76" s="164" t="str">
        <f t="shared" si="5"/>
        <v>0F4B</v>
      </c>
      <c r="I76" s="294" t="s">
        <v>765</v>
      </c>
      <c r="J76" s="171" t="s">
        <v>108</v>
      </c>
      <c r="L76" s="299" t="s">
        <v>1086</v>
      </c>
    </row>
    <row r="77" spans="1:12" s="297" customFormat="1" ht="27" customHeight="1">
      <c r="A77" s="293">
        <f t="shared" si="4"/>
        <v>75</v>
      </c>
      <c r="B77" s="180" t="s">
        <v>190</v>
      </c>
      <c r="C77" s="294">
        <v>100</v>
      </c>
      <c r="D77" s="294">
        <v>100</v>
      </c>
      <c r="E77" s="294">
        <v>0</v>
      </c>
      <c r="F77" s="171">
        <v>200</v>
      </c>
      <c r="G77" s="295" t="s">
        <v>697</v>
      </c>
      <c r="H77" s="164" t="str">
        <f t="shared" si="5"/>
        <v>0F4C</v>
      </c>
      <c r="I77" s="294" t="s">
        <v>773</v>
      </c>
      <c r="J77" s="171" t="s">
        <v>107</v>
      </c>
      <c r="L77" s="299" t="s">
        <v>1088</v>
      </c>
    </row>
    <row r="78" spans="1:12" s="297" customFormat="1" ht="27" customHeight="1">
      <c r="A78" s="293">
        <f t="shared" si="4"/>
        <v>76</v>
      </c>
      <c r="B78" s="180" t="s">
        <v>191</v>
      </c>
      <c r="C78" s="294">
        <v>100</v>
      </c>
      <c r="D78" s="294">
        <v>100</v>
      </c>
      <c r="E78" s="294">
        <v>0</v>
      </c>
      <c r="F78" s="171">
        <v>200</v>
      </c>
      <c r="G78" s="295" t="s">
        <v>698</v>
      </c>
      <c r="H78" s="164" t="str">
        <f t="shared" si="5"/>
        <v>0F4D</v>
      </c>
      <c r="I78" s="294" t="s">
        <v>773</v>
      </c>
      <c r="J78" s="171" t="s">
        <v>107</v>
      </c>
      <c r="L78" s="299" t="s">
        <v>1088</v>
      </c>
    </row>
    <row r="79" spans="1:12" s="297" customFormat="1" ht="27" customHeight="1">
      <c r="A79" s="293">
        <f t="shared" si="4"/>
        <v>77</v>
      </c>
      <c r="B79" s="180" t="s">
        <v>665</v>
      </c>
      <c r="C79" s="294">
        <v>25</v>
      </c>
      <c r="D79" s="294">
        <v>25</v>
      </c>
      <c r="E79" s="294">
        <v>0</v>
      </c>
      <c r="F79" s="171">
        <v>254</v>
      </c>
      <c r="G79" s="295" t="s">
        <v>699</v>
      </c>
      <c r="H79" s="164" t="str">
        <f t="shared" si="5"/>
        <v>0F4E</v>
      </c>
      <c r="I79" s="294" t="s">
        <v>765</v>
      </c>
      <c r="J79" s="171" t="s">
        <v>106</v>
      </c>
      <c r="L79" s="299" t="s">
        <v>1086</v>
      </c>
    </row>
    <row r="80" spans="1:12" s="297" customFormat="1" ht="27" customHeight="1">
      <c r="A80" s="293">
        <f t="shared" si="4"/>
        <v>78</v>
      </c>
      <c r="B80" s="180" t="s">
        <v>666</v>
      </c>
      <c r="C80" s="294">
        <v>5</v>
      </c>
      <c r="D80" s="294">
        <v>5</v>
      </c>
      <c r="E80" s="294">
        <v>0</v>
      </c>
      <c r="F80" s="171">
        <v>254</v>
      </c>
      <c r="G80" s="295" t="s">
        <v>700</v>
      </c>
      <c r="H80" s="164" t="str">
        <f t="shared" si="5"/>
        <v>0F4F</v>
      </c>
      <c r="I80" s="294" t="s">
        <v>765</v>
      </c>
      <c r="J80" s="171" t="s">
        <v>106</v>
      </c>
      <c r="L80" s="299" t="s">
        <v>1086</v>
      </c>
    </row>
    <row r="81" spans="1:12" s="297" customFormat="1" ht="27" customHeight="1">
      <c r="A81" s="293">
        <f t="shared" si="4"/>
        <v>79</v>
      </c>
      <c r="B81" s="180" t="s">
        <v>667</v>
      </c>
      <c r="C81" s="294">
        <v>25</v>
      </c>
      <c r="D81" s="294">
        <v>25</v>
      </c>
      <c r="E81" s="294">
        <v>0</v>
      </c>
      <c r="F81" s="171">
        <v>254</v>
      </c>
      <c r="G81" s="295" t="s">
        <v>701</v>
      </c>
      <c r="H81" s="164" t="str">
        <f t="shared" si="5"/>
        <v>0F50</v>
      </c>
      <c r="I81" s="294" t="s">
        <v>765</v>
      </c>
      <c r="J81" s="171" t="s">
        <v>106</v>
      </c>
      <c r="L81" s="299" t="s">
        <v>1086</v>
      </c>
    </row>
    <row r="82" spans="1:12" s="297" customFormat="1" ht="27" customHeight="1">
      <c r="A82" s="293">
        <f t="shared" si="4"/>
        <v>80</v>
      </c>
      <c r="B82" s="180" t="s">
        <v>192</v>
      </c>
      <c r="C82" s="294">
        <v>10</v>
      </c>
      <c r="D82" s="294">
        <v>10</v>
      </c>
      <c r="E82" s="294">
        <v>4</v>
      </c>
      <c r="F82" s="171">
        <v>40</v>
      </c>
      <c r="G82" s="295" t="s">
        <v>240</v>
      </c>
      <c r="H82" s="164" t="str">
        <f t="shared" si="5"/>
        <v>0F51</v>
      </c>
      <c r="I82" s="294" t="s">
        <v>764</v>
      </c>
      <c r="J82" s="171" t="s">
        <v>107</v>
      </c>
      <c r="L82" s="299" t="s">
        <v>1085</v>
      </c>
    </row>
    <row r="83" spans="1:12" s="297" customFormat="1" ht="27" customHeight="1">
      <c r="A83" s="293">
        <f t="shared" si="4"/>
        <v>81</v>
      </c>
      <c r="B83" s="180" t="s">
        <v>193</v>
      </c>
      <c r="C83" s="294">
        <v>180</v>
      </c>
      <c r="D83" s="294">
        <v>180</v>
      </c>
      <c r="E83" s="294">
        <v>0</v>
      </c>
      <c r="F83" s="171">
        <v>200</v>
      </c>
      <c r="G83" s="295" t="s">
        <v>241</v>
      </c>
      <c r="H83" s="164" t="str">
        <f t="shared" si="5"/>
        <v>0F52</v>
      </c>
      <c r="I83" s="294" t="s">
        <v>765</v>
      </c>
      <c r="J83" s="171" t="s">
        <v>106</v>
      </c>
      <c r="L83" s="299" t="s">
        <v>1086</v>
      </c>
    </row>
    <row r="84" spans="1:12" s="297" customFormat="1" ht="27" customHeight="1">
      <c r="A84" s="293">
        <f t="shared" si="4"/>
        <v>82</v>
      </c>
      <c r="B84" s="180" t="s">
        <v>194</v>
      </c>
      <c r="C84" s="294">
        <v>60</v>
      </c>
      <c r="D84" s="294">
        <v>60</v>
      </c>
      <c r="E84" s="294">
        <v>0</v>
      </c>
      <c r="F84" s="171">
        <v>60</v>
      </c>
      <c r="G84" s="295" t="s">
        <v>242</v>
      </c>
      <c r="H84" s="164" t="str">
        <f t="shared" si="5"/>
        <v>0F53</v>
      </c>
      <c r="I84" s="294" t="s">
        <v>765</v>
      </c>
      <c r="J84" s="171" t="s">
        <v>106</v>
      </c>
      <c r="L84" s="299" t="s">
        <v>1086</v>
      </c>
    </row>
    <row r="85" spans="1:12" s="297" customFormat="1" ht="27" customHeight="1">
      <c r="A85" s="293">
        <f t="shared" si="4"/>
        <v>83</v>
      </c>
      <c r="B85" s="180" t="s">
        <v>195</v>
      </c>
      <c r="C85" s="294">
        <v>60</v>
      </c>
      <c r="D85" s="294">
        <v>60</v>
      </c>
      <c r="E85" s="294">
        <v>0</v>
      </c>
      <c r="F85" s="171">
        <v>100</v>
      </c>
      <c r="G85" s="295" t="s">
        <v>243</v>
      </c>
      <c r="H85" s="164" t="str">
        <f t="shared" si="5"/>
        <v>0F54</v>
      </c>
      <c r="I85" s="294" t="s">
        <v>765</v>
      </c>
      <c r="J85" s="171" t="s">
        <v>106</v>
      </c>
      <c r="L85" s="299" t="s">
        <v>1086</v>
      </c>
    </row>
    <row r="86" spans="1:12" s="297" customFormat="1" ht="27" customHeight="1">
      <c r="A86" s="293">
        <f t="shared" si="4"/>
        <v>84</v>
      </c>
      <c r="B86" s="180" t="s">
        <v>563</v>
      </c>
      <c r="C86" s="294">
        <v>60</v>
      </c>
      <c r="D86" s="294">
        <v>60</v>
      </c>
      <c r="E86" s="294">
        <v>0</v>
      </c>
      <c r="F86" s="171">
        <v>254</v>
      </c>
      <c r="G86" s="295" t="s">
        <v>531</v>
      </c>
      <c r="H86" s="164" t="str">
        <f t="shared" si="5"/>
        <v>0F55</v>
      </c>
      <c r="I86" s="294" t="s">
        <v>764</v>
      </c>
      <c r="J86" s="171" t="s">
        <v>106</v>
      </c>
      <c r="L86" s="299" t="s">
        <v>1085</v>
      </c>
    </row>
    <row r="87" spans="1:12" s="297" customFormat="1" ht="27" customHeight="1">
      <c r="A87" s="293">
        <f t="shared" si="4"/>
        <v>85</v>
      </c>
      <c r="B87" s="180" t="s">
        <v>564</v>
      </c>
      <c r="C87" s="294">
        <v>0</v>
      </c>
      <c r="D87" s="294">
        <v>0</v>
      </c>
      <c r="E87" s="294">
        <v>0</v>
      </c>
      <c r="F87" s="171">
        <v>254</v>
      </c>
      <c r="G87" s="295" t="s">
        <v>532</v>
      </c>
      <c r="H87" s="164" t="str">
        <f t="shared" si="5"/>
        <v>0F56</v>
      </c>
      <c r="I87" s="294" t="s">
        <v>764</v>
      </c>
      <c r="J87" s="171" t="s">
        <v>106</v>
      </c>
      <c r="L87" s="299" t="s">
        <v>1085</v>
      </c>
    </row>
    <row r="88" spans="1:12" s="297" customFormat="1" ht="27" customHeight="1">
      <c r="A88" s="293">
        <f t="shared" si="4"/>
        <v>86</v>
      </c>
      <c r="B88" s="180" t="s">
        <v>205</v>
      </c>
      <c r="C88" s="294">
        <v>14</v>
      </c>
      <c r="D88" s="294">
        <v>14</v>
      </c>
      <c r="E88" s="294">
        <v>0</v>
      </c>
      <c r="F88" s="171">
        <v>145</v>
      </c>
      <c r="G88" s="295" t="s">
        <v>533</v>
      </c>
      <c r="H88" s="164" t="str">
        <f t="shared" si="5"/>
        <v>0F57</v>
      </c>
      <c r="I88" s="294" t="s">
        <v>774</v>
      </c>
      <c r="J88" s="171" t="s">
        <v>107</v>
      </c>
      <c r="L88" s="297" t="s">
        <v>1548</v>
      </c>
    </row>
    <row r="89" spans="1:12" s="297" customFormat="1" ht="27" customHeight="1">
      <c r="A89" s="293">
        <f t="shared" si="4"/>
        <v>87</v>
      </c>
      <c r="B89" s="180" t="s">
        <v>265</v>
      </c>
      <c r="C89" s="294">
        <v>34</v>
      </c>
      <c r="D89" s="294">
        <v>34</v>
      </c>
      <c r="E89" s="294">
        <v>0</v>
      </c>
      <c r="F89" s="171">
        <v>145</v>
      </c>
      <c r="G89" s="295" t="s">
        <v>534</v>
      </c>
      <c r="H89" s="164" t="str">
        <f t="shared" si="5"/>
        <v>0F58</v>
      </c>
      <c r="I89" s="294" t="s">
        <v>774</v>
      </c>
      <c r="J89" s="171" t="s">
        <v>107</v>
      </c>
      <c r="L89" s="297" t="s">
        <v>1548</v>
      </c>
    </row>
    <row r="90" spans="1:12" s="297" customFormat="1" ht="27" customHeight="1">
      <c r="A90" s="293">
        <f t="shared" si="4"/>
        <v>88</v>
      </c>
      <c r="B90" s="180" t="s">
        <v>206</v>
      </c>
      <c r="C90" s="294">
        <v>15</v>
      </c>
      <c r="D90" s="294">
        <v>15</v>
      </c>
      <c r="E90" s="294">
        <v>0</v>
      </c>
      <c r="F90" s="171">
        <v>254</v>
      </c>
      <c r="G90" s="295" t="s">
        <v>249</v>
      </c>
      <c r="H90" s="164" t="str">
        <f t="shared" si="5"/>
        <v>0F59</v>
      </c>
      <c r="I90" s="294" t="s">
        <v>765</v>
      </c>
      <c r="J90" s="171" t="s">
        <v>106</v>
      </c>
      <c r="L90" s="299" t="s">
        <v>1086</v>
      </c>
    </row>
    <row r="91" spans="1:12" s="297" customFormat="1" ht="27" customHeight="1">
      <c r="A91" s="293">
        <f t="shared" si="4"/>
        <v>89</v>
      </c>
      <c r="B91" s="180" t="s">
        <v>207</v>
      </c>
      <c r="C91" s="294">
        <v>60</v>
      </c>
      <c r="D91" s="294">
        <v>60</v>
      </c>
      <c r="E91" s="294">
        <v>0</v>
      </c>
      <c r="F91" s="171">
        <v>254</v>
      </c>
      <c r="G91" s="295" t="s">
        <v>250</v>
      </c>
      <c r="H91" s="164" t="str">
        <f t="shared" si="5"/>
        <v>0F5A</v>
      </c>
      <c r="I91" s="294" t="s">
        <v>764</v>
      </c>
      <c r="J91" s="171" t="s">
        <v>106</v>
      </c>
      <c r="L91" s="299" t="s">
        <v>1085</v>
      </c>
    </row>
    <row r="92" spans="1:12" s="297" customFormat="1" ht="27" customHeight="1">
      <c r="A92" s="293">
        <f t="shared" si="4"/>
        <v>90</v>
      </c>
      <c r="B92" s="180" t="s">
        <v>208</v>
      </c>
      <c r="C92" s="294">
        <v>120</v>
      </c>
      <c r="D92" s="294">
        <v>120</v>
      </c>
      <c r="E92" s="294">
        <v>0</v>
      </c>
      <c r="F92" s="171">
        <v>254</v>
      </c>
      <c r="G92" s="295" t="s">
        <v>251</v>
      </c>
      <c r="H92" s="164" t="str">
        <f t="shared" si="5"/>
        <v>0F5B</v>
      </c>
      <c r="I92" s="294" t="s">
        <v>764</v>
      </c>
      <c r="J92" s="171" t="s">
        <v>106</v>
      </c>
      <c r="L92" s="299" t="s">
        <v>1085</v>
      </c>
    </row>
    <row r="93" spans="1:12" s="297" customFormat="1" ht="27" customHeight="1">
      <c r="A93" s="293">
        <f t="shared" si="4"/>
        <v>91</v>
      </c>
      <c r="B93" s="180" t="s">
        <v>209</v>
      </c>
      <c r="C93" s="294">
        <v>8</v>
      </c>
      <c r="D93" s="294">
        <v>8</v>
      </c>
      <c r="E93" s="294">
        <v>2</v>
      </c>
      <c r="F93" s="171">
        <v>10</v>
      </c>
      <c r="G93" s="295" t="s">
        <v>252</v>
      </c>
      <c r="H93" s="164" t="str">
        <f t="shared" si="5"/>
        <v>0F5C</v>
      </c>
      <c r="I93" s="294" t="s">
        <v>775</v>
      </c>
      <c r="J93" s="171" t="s">
        <v>211</v>
      </c>
      <c r="L93" s="297" t="s">
        <v>1549</v>
      </c>
    </row>
    <row r="94" spans="1:12" s="297" customFormat="1" ht="27" customHeight="1">
      <c r="A94" s="293">
        <f t="shared" si="4"/>
        <v>92</v>
      </c>
      <c r="B94" s="180" t="s">
        <v>262</v>
      </c>
      <c r="C94" s="294">
        <v>15</v>
      </c>
      <c r="D94" s="294">
        <v>15</v>
      </c>
      <c r="E94" s="294">
        <v>5</v>
      </c>
      <c r="F94" s="171">
        <v>80</v>
      </c>
      <c r="G94" s="295" t="s">
        <v>535</v>
      </c>
      <c r="H94" s="164" t="str">
        <f t="shared" si="5"/>
        <v>0F5D</v>
      </c>
      <c r="I94" s="294" t="s">
        <v>765</v>
      </c>
      <c r="J94" s="171" t="s">
        <v>139</v>
      </c>
      <c r="L94" s="299" t="s">
        <v>1086</v>
      </c>
    </row>
    <row r="95" spans="1:12" s="297" customFormat="1" ht="27" customHeight="1">
      <c r="A95" s="293">
        <f t="shared" si="4"/>
        <v>93</v>
      </c>
      <c r="B95" s="180" t="s">
        <v>3027</v>
      </c>
      <c r="C95" s="59">
        <v>30</v>
      </c>
      <c r="D95" s="300">
        <v>30</v>
      </c>
      <c r="E95" s="59">
        <v>0</v>
      </c>
      <c r="F95" s="59">
        <v>254</v>
      </c>
      <c r="G95" s="76" t="s">
        <v>3028</v>
      </c>
      <c r="H95" s="64" t="str">
        <f t="shared" si="5"/>
        <v>0F5E</v>
      </c>
      <c r="I95" s="59">
        <v>2</v>
      </c>
      <c r="J95" s="171" t="s">
        <v>106</v>
      </c>
      <c r="L95" s="299" t="s">
        <v>1086</v>
      </c>
    </row>
    <row r="96" spans="1:12" s="297" customFormat="1" ht="27" customHeight="1">
      <c r="A96" s="293">
        <f t="shared" si="4"/>
        <v>94</v>
      </c>
      <c r="B96" s="76" t="str">
        <f>"reserved_byte" &amp;TEXT(A96,0)</f>
        <v>reserved_byte94</v>
      </c>
      <c r="C96" s="59">
        <v>255</v>
      </c>
      <c r="D96" s="300">
        <v>255</v>
      </c>
      <c r="E96" s="59">
        <v>0</v>
      </c>
      <c r="F96" s="59">
        <v>255</v>
      </c>
      <c r="G96" s="76" t="s">
        <v>59</v>
      </c>
      <c r="H96" s="64" t="str">
        <f t="shared" si="5"/>
        <v>0F5F</v>
      </c>
      <c r="I96" s="59">
        <v>1</v>
      </c>
      <c r="J96" s="61"/>
      <c r="L96" s="299" t="s">
        <v>1086</v>
      </c>
    </row>
    <row r="97" spans="1:12" s="297" customFormat="1" ht="27" customHeight="1">
      <c r="A97" s="293">
        <f t="shared" si="4"/>
        <v>95</v>
      </c>
      <c r="B97" s="180" t="s">
        <v>263</v>
      </c>
      <c r="C97" s="294">
        <v>6</v>
      </c>
      <c r="D97" s="294">
        <v>6</v>
      </c>
      <c r="E97" s="294">
        <v>4</v>
      </c>
      <c r="F97" s="171">
        <v>20</v>
      </c>
      <c r="G97" s="295" t="s">
        <v>536</v>
      </c>
      <c r="H97" s="164" t="str">
        <f t="shared" si="5"/>
        <v>0F60</v>
      </c>
      <c r="I97" s="294" t="s">
        <v>772</v>
      </c>
      <c r="J97" s="171" t="s">
        <v>106</v>
      </c>
      <c r="L97" s="299" t="s">
        <v>1087</v>
      </c>
    </row>
    <row r="98" spans="1:12" s="297" customFormat="1" ht="27" customHeight="1">
      <c r="A98" s="293">
        <f t="shared" si="4"/>
        <v>96</v>
      </c>
      <c r="B98" s="180" t="s">
        <v>162</v>
      </c>
      <c r="C98" s="294">
        <v>14</v>
      </c>
      <c r="D98" s="294">
        <v>14</v>
      </c>
      <c r="E98" s="294">
        <v>0</v>
      </c>
      <c r="F98" s="171">
        <v>250</v>
      </c>
      <c r="G98" s="295" t="s">
        <v>537</v>
      </c>
      <c r="H98" s="164" t="str">
        <f t="shared" si="5"/>
        <v>0F61</v>
      </c>
      <c r="I98" s="294">
        <v>20</v>
      </c>
      <c r="J98" s="171" t="s">
        <v>107</v>
      </c>
      <c r="L98" s="299" t="s">
        <v>1089</v>
      </c>
    </row>
    <row r="99" spans="1:12" s="297" customFormat="1" ht="27" customHeight="1">
      <c r="A99" s="293">
        <f t="shared" ref="A99:A130" si="6">A98+1</f>
        <v>97</v>
      </c>
      <c r="B99" s="180" t="s">
        <v>163</v>
      </c>
      <c r="C99" s="294">
        <v>3</v>
      </c>
      <c r="D99" s="294">
        <v>3</v>
      </c>
      <c r="E99" s="294">
        <v>0</v>
      </c>
      <c r="F99" s="171">
        <v>10</v>
      </c>
      <c r="G99" s="295" t="s">
        <v>538</v>
      </c>
      <c r="H99" s="164" t="str">
        <f t="shared" ref="H99:H130" si="7">DEC2HEX((HEX2DEC(H98)+1),4)</f>
        <v>0F62</v>
      </c>
      <c r="I99" s="294" t="s">
        <v>765</v>
      </c>
      <c r="J99" s="171" t="s">
        <v>108</v>
      </c>
      <c r="L99" s="299" t="s">
        <v>1086</v>
      </c>
    </row>
    <row r="100" spans="1:12" s="297" customFormat="1" ht="27" customHeight="1">
      <c r="A100" s="293">
        <f t="shared" si="6"/>
        <v>98</v>
      </c>
      <c r="B100" s="180" t="s">
        <v>164</v>
      </c>
      <c r="C100" s="294">
        <v>12</v>
      </c>
      <c r="D100" s="294">
        <v>12</v>
      </c>
      <c r="E100" s="294">
        <v>10</v>
      </c>
      <c r="F100" s="171">
        <v>30</v>
      </c>
      <c r="G100" s="295" t="s">
        <v>539</v>
      </c>
      <c r="H100" s="164" t="str">
        <f t="shared" si="7"/>
        <v>0F63</v>
      </c>
      <c r="I100" s="294" t="s">
        <v>765</v>
      </c>
      <c r="J100" s="171" t="s">
        <v>106</v>
      </c>
      <c r="L100" s="299" t="s">
        <v>1086</v>
      </c>
    </row>
    <row r="101" spans="1:12" s="297" customFormat="1" ht="27" customHeight="1">
      <c r="A101" s="293">
        <f t="shared" si="6"/>
        <v>99</v>
      </c>
      <c r="B101" s="180" t="s">
        <v>269</v>
      </c>
      <c r="C101" s="294">
        <v>80</v>
      </c>
      <c r="D101" s="294">
        <v>80</v>
      </c>
      <c r="E101" s="294">
        <v>10</v>
      </c>
      <c r="F101" s="171">
        <v>200</v>
      </c>
      <c r="G101" s="295" t="s">
        <v>540</v>
      </c>
      <c r="H101" s="164" t="str">
        <f t="shared" si="7"/>
        <v>0F64</v>
      </c>
      <c r="I101" s="294" t="s">
        <v>764</v>
      </c>
      <c r="J101" s="171" t="s">
        <v>107</v>
      </c>
      <c r="L101" s="299" t="s">
        <v>1085</v>
      </c>
    </row>
    <row r="102" spans="1:12" s="297" customFormat="1" ht="27" customHeight="1">
      <c r="A102" s="293">
        <f t="shared" si="6"/>
        <v>100</v>
      </c>
      <c r="B102" s="180" t="s">
        <v>767</v>
      </c>
      <c r="C102" s="294">
        <v>24</v>
      </c>
      <c r="D102" s="294">
        <v>24</v>
      </c>
      <c r="E102" s="294">
        <v>0</v>
      </c>
      <c r="F102" s="171">
        <v>254</v>
      </c>
      <c r="G102" s="295" t="s">
        <v>702</v>
      </c>
      <c r="H102" s="164" t="str">
        <f t="shared" si="7"/>
        <v>0F65</v>
      </c>
      <c r="I102" s="294" t="s">
        <v>772</v>
      </c>
      <c r="J102" s="171" t="s">
        <v>106</v>
      </c>
      <c r="L102" s="299" t="s">
        <v>1087</v>
      </c>
    </row>
    <row r="103" spans="1:12" s="297" customFormat="1" ht="27" customHeight="1">
      <c r="A103" s="293">
        <f t="shared" si="6"/>
        <v>101</v>
      </c>
      <c r="B103" s="180" t="s">
        <v>668</v>
      </c>
      <c r="C103" s="294">
        <v>24</v>
      </c>
      <c r="D103" s="294">
        <v>24</v>
      </c>
      <c r="E103" s="294">
        <v>0</v>
      </c>
      <c r="F103" s="171">
        <v>254</v>
      </c>
      <c r="G103" s="295" t="s">
        <v>703</v>
      </c>
      <c r="H103" s="164" t="str">
        <f t="shared" si="7"/>
        <v>0F66</v>
      </c>
      <c r="I103" s="294" t="s">
        <v>772</v>
      </c>
      <c r="J103" s="171" t="s">
        <v>106</v>
      </c>
      <c r="L103" s="299" t="s">
        <v>1087</v>
      </c>
    </row>
    <row r="104" spans="1:12" s="297" customFormat="1" ht="27" customHeight="1">
      <c r="A104" s="293">
        <f t="shared" si="6"/>
        <v>102</v>
      </c>
      <c r="B104" s="180" t="s">
        <v>565</v>
      </c>
      <c r="C104" s="294">
        <v>72</v>
      </c>
      <c r="D104" s="294">
        <v>72</v>
      </c>
      <c r="E104" s="294">
        <v>0</v>
      </c>
      <c r="F104" s="171">
        <v>200</v>
      </c>
      <c r="G104" s="295" t="s">
        <v>541</v>
      </c>
      <c r="H104" s="164" t="str">
        <f t="shared" si="7"/>
        <v>0F67</v>
      </c>
      <c r="I104" s="294" t="s">
        <v>774</v>
      </c>
      <c r="J104" s="171" t="s">
        <v>107</v>
      </c>
      <c r="L104" s="297" t="s">
        <v>1548</v>
      </c>
    </row>
    <row r="105" spans="1:12" s="297" customFormat="1" ht="27" customHeight="1">
      <c r="A105" s="293">
        <f t="shared" si="6"/>
        <v>103</v>
      </c>
      <c r="B105" s="180" t="s">
        <v>1075</v>
      </c>
      <c r="C105" s="294">
        <v>60</v>
      </c>
      <c r="D105" s="294">
        <v>60</v>
      </c>
      <c r="E105" s="294">
        <v>0</v>
      </c>
      <c r="F105" s="171">
        <v>100</v>
      </c>
      <c r="G105" s="295" t="s">
        <v>704</v>
      </c>
      <c r="H105" s="164" t="str">
        <f t="shared" si="7"/>
        <v>0F68</v>
      </c>
      <c r="I105" s="294" t="s">
        <v>764</v>
      </c>
      <c r="J105" s="171" t="s">
        <v>107</v>
      </c>
      <c r="L105" s="299" t="s">
        <v>1085</v>
      </c>
    </row>
    <row r="106" spans="1:12" s="297" customFormat="1" ht="27" customHeight="1">
      <c r="A106" s="293">
        <f t="shared" si="6"/>
        <v>104</v>
      </c>
      <c r="B106" s="180" t="s">
        <v>566</v>
      </c>
      <c r="C106" s="294">
        <v>100</v>
      </c>
      <c r="D106" s="294">
        <v>100</v>
      </c>
      <c r="E106" s="294">
        <v>0</v>
      </c>
      <c r="F106" s="171">
        <v>200</v>
      </c>
      <c r="G106" s="295" t="s">
        <v>542</v>
      </c>
      <c r="H106" s="164" t="str">
        <f t="shared" si="7"/>
        <v>0F69</v>
      </c>
      <c r="I106" s="294" t="s">
        <v>763</v>
      </c>
      <c r="J106" s="171" t="s">
        <v>106</v>
      </c>
      <c r="L106" s="299" t="s">
        <v>1089</v>
      </c>
    </row>
    <row r="107" spans="1:12" s="297" customFormat="1" ht="27" customHeight="1">
      <c r="A107" s="293">
        <f t="shared" si="6"/>
        <v>105</v>
      </c>
      <c r="B107" s="180" t="s">
        <v>567</v>
      </c>
      <c r="C107" s="294">
        <v>80</v>
      </c>
      <c r="D107" s="294">
        <v>80</v>
      </c>
      <c r="E107" s="294">
        <v>0</v>
      </c>
      <c r="F107" s="171">
        <v>200</v>
      </c>
      <c r="G107" s="295" t="s">
        <v>543</v>
      </c>
      <c r="H107" s="164" t="str">
        <f t="shared" si="7"/>
        <v>0F6A</v>
      </c>
      <c r="I107" s="294" t="s">
        <v>763</v>
      </c>
      <c r="J107" s="171" t="s">
        <v>106</v>
      </c>
      <c r="L107" s="299" t="s">
        <v>1089</v>
      </c>
    </row>
    <row r="108" spans="1:12" s="297" customFormat="1" ht="27" customHeight="1">
      <c r="A108" s="293">
        <f t="shared" si="6"/>
        <v>106</v>
      </c>
      <c r="B108" s="180" t="s">
        <v>568</v>
      </c>
      <c r="C108" s="294">
        <v>50</v>
      </c>
      <c r="D108" s="294">
        <v>50</v>
      </c>
      <c r="E108" s="294">
        <v>0</v>
      </c>
      <c r="F108" s="171">
        <v>200</v>
      </c>
      <c r="G108" s="295" t="s">
        <v>544</v>
      </c>
      <c r="H108" s="164" t="str">
        <f t="shared" si="7"/>
        <v>0F6B</v>
      </c>
      <c r="I108" s="294" t="s">
        <v>763</v>
      </c>
      <c r="J108" s="171" t="s">
        <v>106</v>
      </c>
      <c r="L108" s="299" t="s">
        <v>1089</v>
      </c>
    </row>
    <row r="109" spans="1:12" s="297" customFormat="1" ht="27" customHeight="1">
      <c r="A109" s="293">
        <f t="shared" si="6"/>
        <v>107</v>
      </c>
      <c r="B109" s="180" t="s">
        <v>264</v>
      </c>
      <c r="C109" s="294">
        <v>12</v>
      </c>
      <c r="D109" s="294">
        <v>12</v>
      </c>
      <c r="E109" s="294">
        <v>0</v>
      </c>
      <c r="F109" s="171">
        <v>20</v>
      </c>
      <c r="G109" s="295" t="s">
        <v>545</v>
      </c>
      <c r="H109" s="164" t="str">
        <f t="shared" si="7"/>
        <v>0F6C</v>
      </c>
      <c r="I109" s="294" t="s">
        <v>765</v>
      </c>
      <c r="J109" s="171" t="s">
        <v>210</v>
      </c>
      <c r="L109" s="299" t="s">
        <v>1086</v>
      </c>
    </row>
    <row r="110" spans="1:12" s="297" customFormat="1" ht="27" customHeight="1">
      <c r="A110" s="293">
        <f t="shared" si="6"/>
        <v>108</v>
      </c>
      <c r="B110" s="180" t="s">
        <v>261</v>
      </c>
      <c r="C110" s="294">
        <v>15</v>
      </c>
      <c r="D110" s="294">
        <v>15</v>
      </c>
      <c r="E110" s="294">
        <v>4</v>
      </c>
      <c r="F110" s="171">
        <v>24</v>
      </c>
      <c r="G110" s="295" t="s">
        <v>546</v>
      </c>
      <c r="H110" s="164" t="str">
        <f t="shared" si="7"/>
        <v>0F6D</v>
      </c>
      <c r="I110" s="294" t="s">
        <v>765</v>
      </c>
      <c r="J110" s="171" t="s">
        <v>106</v>
      </c>
      <c r="L110" s="299" t="s">
        <v>1086</v>
      </c>
    </row>
    <row r="111" spans="1:12" s="297" customFormat="1" ht="27" customHeight="1">
      <c r="A111" s="293">
        <f t="shared" si="6"/>
        <v>109</v>
      </c>
      <c r="B111" s="180" t="s">
        <v>196</v>
      </c>
      <c r="C111" s="294">
        <v>90</v>
      </c>
      <c r="D111" s="294">
        <v>90</v>
      </c>
      <c r="E111" s="294">
        <v>80</v>
      </c>
      <c r="F111" s="171">
        <v>90</v>
      </c>
      <c r="G111" s="295" t="s">
        <v>547</v>
      </c>
      <c r="H111" s="164" t="str">
        <f t="shared" si="7"/>
        <v>0F6E</v>
      </c>
      <c r="I111" s="294" t="s">
        <v>763</v>
      </c>
      <c r="J111" s="171" t="s">
        <v>138</v>
      </c>
      <c r="L111" s="299" t="s">
        <v>1089</v>
      </c>
    </row>
    <row r="112" spans="1:12" s="297" customFormat="1" ht="27" customHeight="1">
      <c r="A112" s="293">
        <f t="shared" si="6"/>
        <v>110</v>
      </c>
      <c r="B112" s="180" t="s">
        <v>197</v>
      </c>
      <c r="C112" s="294">
        <v>160</v>
      </c>
      <c r="D112" s="294">
        <v>160</v>
      </c>
      <c r="E112" s="294">
        <v>160</v>
      </c>
      <c r="F112" s="171">
        <v>180</v>
      </c>
      <c r="G112" s="295" t="s">
        <v>548</v>
      </c>
      <c r="H112" s="164" t="str">
        <f t="shared" si="7"/>
        <v>0F6F</v>
      </c>
      <c r="I112" s="294" t="s">
        <v>763</v>
      </c>
      <c r="J112" s="171" t="s">
        <v>138</v>
      </c>
      <c r="L112" s="299" t="s">
        <v>1089</v>
      </c>
    </row>
    <row r="113" spans="1:12" s="297" customFormat="1" ht="27" customHeight="1">
      <c r="A113" s="293">
        <f t="shared" si="6"/>
        <v>111</v>
      </c>
      <c r="B113" s="180" t="s">
        <v>1082</v>
      </c>
      <c r="C113" s="294">
        <v>10</v>
      </c>
      <c r="D113" s="294">
        <v>10</v>
      </c>
      <c r="E113" s="294">
        <v>0</v>
      </c>
      <c r="F113" s="171">
        <v>255</v>
      </c>
      <c r="G113" s="295" t="s">
        <v>2450</v>
      </c>
      <c r="H113" s="164" t="str">
        <f t="shared" si="7"/>
        <v>0F70</v>
      </c>
      <c r="I113" s="169">
        <v>0.1</v>
      </c>
      <c r="J113" s="168" t="s">
        <v>210</v>
      </c>
      <c r="L113" s="299" t="s">
        <v>1086</v>
      </c>
    </row>
    <row r="114" spans="1:12" s="297" customFormat="1" ht="27" customHeight="1">
      <c r="A114" s="293">
        <f t="shared" si="6"/>
        <v>112</v>
      </c>
      <c r="B114" s="180" t="s">
        <v>1083</v>
      </c>
      <c r="C114" s="294">
        <v>0</v>
      </c>
      <c r="D114" s="294">
        <v>0</v>
      </c>
      <c r="E114" s="294">
        <v>0</v>
      </c>
      <c r="F114" s="171">
        <v>255</v>
      </c>
      <c r="G114" s="295" t="s">
        <v>2451</v>
      </c>
      <c r="H114" s="164" t="str">
        <f t="shared" si="7"/>
        <v>0F71</v>
      </c>
      <c r="I114" s="169">
        <v>0.1</v>
      </c>
      <c r="J114" s="168" t="s">
        <v>210</v>
      </c>
      <c r="L114" s="299" t="s">
        <v>1086</v>
      </c>
    </row>
    <row r="115" spans="1:12" s="297" customFormat="1" ht="27" customHeight="1">
      <c r="A115" s="293">
        <f t="shared" si="6"/>
        <v>113</v>
      </c>
      <c r="B115" s="180" t="s">
        <v>198</v>
      </c>
      <c r="C115" s="294">
        <v>150</v>
      </c>
      <c r="D115" s="294">
        <v>150</v>
      </c>
      <c r="E115" s="294">
        <v>0</v>
      </c>
      <c r="F115" s="171">
        <v>200</v>
      </c>
      <c r="G115" s="295" t="s">
        <v>549</v>
      </c>
      <c r="H115" s="164" t="str">
        <f t="shared" si="7"/>
        <v>0F72</v>
      </c>
      <c r="I115" s="294" t="s">
        <v>763</v>
      </c>
      <c r="J115" s="171" t="s">
        <v>106</v>
      </c>
      <c r="L115" s="299" t="s">
        <v>1089</v>
      </c>
    </row>
    <row r="116" spans="1:12" s="297" customFormat="1" ht="27" customHeight="1">
      <c r="A116" s="293">
        <f t="shared" si="6"/>
        <v>114</v>
      </c>
      <c r="B116" s="180" t="s">
        <v>199</v>
      </c>
      <c r="C116" s="294">
        <v>150</v>
      </c>
      <c r="D116" s="294">
        <v>150</v>
      </c>
      <c r="E116" s="294">
        <v>0</v>
      </c>
      <c r="F116" s="171">
        <v>200</v>
      </c>
      <c r="G116" s="295" t="s">
        <v>550</v>
      </c>
      <c r="H116" s="164" t="str">
        <f t="shared" si="7"/>
        <v>0F73</v>
      </c>
      <c r="I116" s="294" t="s">
        <v>763</v>
      </c>
      <c r="J116" s="171" t="s">
        <v>106</v>
      </c>
      <c r="L116" s="299" t="s">
        <v>1089</v>
      </c>
    </row>
    <row r="117" spans="1:12" s="297" customFormat="1" ht="27" customHeight="1">
      <c r="A117" s="293">
        <f t="shared" si="6"/>
        <v>115</v>
      </c>
      <c r="B117" s="180" t="s">
        <v>569</v>
      </c>
      <c r="C117" s="294">
        <v>0</v>
      </c>
      <c r="D117" s="294">
        <v>0</v>
      </c>
      <c r="E117" s="294">
        <v>1</v>
      </c>
      <c r="F117" s="171">
        <v>200</v>
      </c>
      <c r="G117" s="295" t="s">
        <v>551</v>
      </c>
      <c r="H117" s="164" t="str">
        <f t="shared" si="7"/>
        <v>0F74</v>
      </c>
      <c r="I117" s="294" t="s">
        <v>763</v>
      </c>
      <c r="J117" s="171" t="s">
        <v>106</v>
      </c>
      <c r="L117" s="299" t="s">
        <v>1089</v>
      </c>
    </row>
    <row r="118" spans="1:12" s="297" customFormat="1" ht="27" customHeight="1">
      <c r="A118" s="293">
        <f t="shared" si="6"/>
        <v>116</v>
      </c>
      <c r="B118" s="180" t="s">
        <v>165</v>
      </c>
      <c r="C118" s="294">
        <v>5</v>
      </c>
      <c r="D118" s="294">
        <v>5</v>
      </c>
      <c r="E118" s="294">
        <v>0</v>
      </c>
      <c r="F118" s="171">
        <v>254</v>
      </c>
      <c r="G118" s="295" t="s">
        <v>552</v>
      </c>
      <c r="H118" s="164" t="str">
        <f t="shared" si="7"/>
        <v>0F75</v>
      </c>
      <c r="I118" s="294" t="s">
        <v>765</v>
      </c>
      <c r="J118" s="171" t="s">
        <v>106</v>
      </c>
      <c r="L118" s="299" t="s">
        <v>1086</v>
      </c>
    </row>
    <row r="119" spans="1:12" s="297" customFormat="1" ht="27" customHeight="1">
      <c r="A119" s="293">
        <f t="shared" si="6"/>
        <v>117</v>
      </c>
      <c r="B119" s="180" t="s">
        <v>166</v>
      </c>
      <c r="C119" s="294">
        <v>0</v>
      </c>
      <c r="D119" s="294">
        <v>0</v>
      </c>
      <c r="E119" s="294">
        <v>0</v>
      </c>
      <c r="F119" s="171">
        <v>255</v>
      </c>
      <c r="G119" s="180" t="s">
        <v>553</v>
      </c>
      <c r="H119" s="164" t="str">
        <f t="shared" si="7"/>
        <v>0F76</v>
      </c>
      <c r="I119" s="294" t="s">
        <v>765</v>
      </c>
      <c r="J119" s="171" t="s">
        <v>108</v>
      </c>
      <c r="L119" s="299" t="s">
        <v>1086</v>
      </c>
    </row>
    <row r="120" spans="1:12" s="297" customFormat="1" ht="27" customHeight="1">
      <c r="A120" s="293">
        <f t="shared" si="6"/>
        <v>118</v>
      </c>
      <c r="B120" s="180" t="s">
        <v>571</v>
      </c>
      <c r="C120" s="294">
        <v>50</v>
      </c>
      <c r="D120" s="294">
        <v>50</v>
      </c>
      <c r="E120" s="294">
        <v>0</v>
      </c>
      <c r="F120" s="171">
        <v>254</v>
      </c>
      <c r="G120" s="180" t="s">
        <v>554</v>
      </c>
      <c r="H120" s="164" t="str">
        <f t="shared" si="7"/>
        <v>0F77</v>
      </c>
      <c r="I120" s="294" t="s">
        <v>764</v>
      </c>
      <c r="J120" s="171" t="s">
        <v>107</v>
      </c>
      <c r="L120" s="299" t="s">
        <v>1085</v>
      </c>
    </row>
    <row r="121" spans="1:12" s="297" customFormat="1" ht="27" customHeight="1">
      <c r="A121" s="293">
        <f t="shared" si="6"/>
        <v>119</v>
      </c>
      <c r="B121" s="180" t="s">
        <v>572</v>
      </c>
      <c r="C121" s="294">
        <v>100</v>
      </c>
      <c r="D121" s="294">
        <v>100</v>
      </c>
      <c r="E121" s="294">
        <v>0</v>
      </c>
      <c r="F121" s="171">
        <v>254</v>
      </c>
      <c r="G121" s="295" t="s">
        <v>707</v>
      </c>
      <c r="H121" s="164" t="str">
        <f t="shared" si="7"/>
        <v>0F78</v>
      </c>
      <c r="I121" s="294" t="s">
        <v>764</v>
      </c>
      <c r="J121" s="171" t="s">
        <v>107</v>
      </c>
      <c r="L121" s="299" t="s">
        <v>1085</v>
      </c>
    </row>
    <row r="122" spans="1:12" s="297" customFormat="1" ht="27" customHeight="1">
      <c r="A122" s="293">
        <f t="shared" si="6"/>
        <v>120</v>
      </c>
      <c r="B122" s="180" t="s">
        <v>573</v>
      </c>
      <c r="C122" s="294">
        <v>10</v>
      </c>
      <c r="D122" s="294">
        <v>10</v>
      </c>
      <c r="E122" s="294">
        <v>0</v>
      </c>
      <c r="F122" s="171">
        <v>60</v>
      </c>
      <c r="G122" s="295" t="s">
        <v>708</v>
      </c>
      <c r="H122" s="164" t="str">
        <f t="shared" si="7"/>
        <v>0F79</v>
      </c>
      <c r="I122" s="294" t="s">
        <v>765</v>
      </c>
      <c r="J122" s="171" t="s">
        <v>106</v>
      </c>
      <c r="L122" s="299" t="s">
        <v>1086</v>
      </c>
    </row>
    <row r="123" spans="1:12" s="297" customFormat="1" ht="27" customHeight="1">
      <c r="A123" s="293">
        <f t="shared" si="6"/>
        <v>121</v>
      </c>
      <c r="B123" s="180" t="s">
        <v>574</v>
      </c>
      <c r="C123" s="294">
        <v>0</v>
      </c>
      <c r="D123" s="294">
        <v>0</v>
      </c>
      <c r="E123" s="294">
        <v>0</v>
      </c>
      <c r="F123" s="171">
        <v>255</v>
      </c>
      <c r="G123" s="295" t="s">
        <v>709</v>
      </c>
      <c r="H123" s="164" t="str">
        <f t="shared" si="7"/>
        <v>0F7A</v>
      </c>
      <c r="I123" s="294" t="s">
        <v>765</v>
      </c>
      <c r="J123" s="171" t="s">
        <v>108</v>
      </c>
      <c r="L123" s="299" t="s">
        <v>1086</v>
      </c>
    </row>
    <row r="124" spans="1:12" s="297" customFormat="1" ht="27" customHeight="1">
      <c r="A124" s="293">
        <f t="shared" si="6"/>
        <v>122</v>
      </c>
      <c r="B124" s="180" t="s">
        <v>575</v>
      </c>
      <c r="C124" s="294">
        <v>200</v>
      </c>
      <c r="D124" s="294">
        <v>200</v>
      </c>
      <c r="E124" s="294">
        <v>0</v>
      </c>
      <c r="F124" s="171">
        <v>254</v>
      </c>
      <c r="G124" s="295" t="s">
        <v>555</v>
      </c>
      <c r="H124" s="164" t="str">
        <f t="shared" si="7"/>
        <v>0F7B</v>
      </c>
      <c r="I124" s="294" t="s">
        <v>764</v>
      </c>
      <c r="J124" s="171" t="s">
        <v>107</v>
      </c>
      <c r="L124" s="299" t="s">
        <v>1085</v>
      </c>
    </row>
    <row r="125" spans="1:12" s="297" customFormat="1" ht="27" customHeight="1">
      <c r="A125" s="293">
        <f t="shared" si="6"/>
        <v>123</v>
      </c>
      <c r="B125" s="180" t="s">
        <v>576</v>
      </c>
      <c r="C125" s="294">
        <v>3</v>
      </c>
      <c r="D125" s="294">
        <v>3</v>
      </c>
      <c r="E125" s="294">
        <v>0</v>
      </c>
      <c r="F125" s="171">
        <v>5</v>
      </c>
      <c r="G125" s="295" t="s">
        <v>556</v>
      </c>
      <c r="H125" s="164" t="str">
        <f t="shared" si="7"/>
        <v>0F7C</v>
      </c>
      <c r="I125" s="294" t="s">
        <v>765</v>
      </c>
      <c r="J125" s="171" t="s">
        <v>108</v>
      </c>
      <c r="L125" s="299" t="s">
        <v>1086</v>
      </c>
    </row>
    <row r="126" spans="1:12" s="297" customFormat="1" ht="27" customHeight="1">
      <c r="A126" s="293">
        <f t="shared" si="6"/>
        <v>124</v>
      </c>
      <c r="B126" s="180" t="s">
        <v>200</v>
      </c>
      <c r="C126" s="294">
        <v>4</v>
      </c>
      <c r="D126" s="294">
        <v>4</v>
      </c>
      <c r="E126" s="294">
        <v>0</v>
      </c>
      <c r="F126" s="171">
        <v>127</v>
      </c>
      <c r="G126" s="295" t="s">
        <v>244</v>
      </c>
      <c r="H126" s="164" t="str">
        <f t="shared" si="7"/>
        <v>0F7D</v>
      </c>
      <c r="I126" s="294" t="s">
        <v>769</v>
      </c>
      <c r="J126" s="171" t="s">
        <v>107</v>
      </c>
      <c r="L126" s="297" t="s">
        <v>1547</v>
      </c>
    </row>
    <row r="127" spans="1:12" s="297" customFormat="1" ht="27" customHeight="1">
      <c r="A127" s="293">
        <f t="shared" si="6"/>
        <v>125</v>
      </c>
      <c r="B127" s="180" t="s">
        <v>201</v>
      </c>
      <c r="C127" s="294">
        <v>12</v>
      </c>
      <c r="D127" s="294">
        <v>12</v>
      </c>
      <c r="E127" s="294">
        <v>0</v>
      </c>
      <c r="F127" s="171">
        <v>127</v>
      </c>
      <c r="G127" s="295" t="s">
        <v>245</v>
      </c>
      <c r="H127" s="164" t="str">
        <f t="shared" si="7"/>
        <v>0F7E</v>
      </c>
      <c r="I127" s="294" t="s">
        <v>769</v>
      </c>
      <c r="J127" s="171" t="s">
        <v>107</v>
      </c>
      <c r="L127" s="297" t="s">
        <v>1547</v>
      </c>
    </row>
    <row r="128" spans="1:12" s="297" customFormat="1" ht="27" customHeight="1">
      <c r="A128" s="293">
        <f t="shared" si="6"/>
        <v>126</v>
      </c>
      <c r="B128" s="180" t="s">
        <v>266</v>
      </c>
      <c r="C128" s="294">
        <v>2</v>
      </c>
      <c r="D128" s="294">
        <v>2</v>
      </c>
      <c r="E128" s="294">
        <v>0</v>
      </c>
      <c r="F128" s="171">
        <v>10</v>
      </c>
      <c r="G128" s="295" t="s">
        <v>710</v>
      </c>
      <c r="H128" s="164" t="str">
        <f t="shared" si="7"/>
        <v>0F7F</v>
      </c>
      <c r="I128" s="294" t="s">
        <v>765</v>
      </c>
      <c r="J128" s="171" t="s">
        <v>108</v>
      </c>
      <c r="L128" s="299" t="s">
        <v>1086</v>
      </c>
    </row>
    <row r="129" spans="1:12" s="297" customFormat="1" ht="27" customHeight="1">
      <c r="A129" s="293">
        <f t="shared" si="6"/>
        <v>127</v>
      </c>
      <c r="B129" s="180" t="s">
        <v>267</v>
      </c>
      <c r="C129" s="294">
        <v>100</v>
      </c>
      <c r="D129" s="294">
        <v>100</v>
      </c>
      <c r="E129" s="294">
        <v>0</v>
      </c>
      <c r="F129" s="171">
        <v>127</v>
      </c>
      <c r="G129" s="165" t="s">
        <v>276</v>
      </c>
      <c r="H129" s="164" t="str">
        <f t="shared" si="7"/>
        <v>0F80</v>
      </c>
      <c r="I129" s="294" t="s">
        <v>769</v>
      </c>
      <c r="J129" s="171" t="s">
        <v>107</v>
      </c>
      <c r="L129" s="297" t="s">
        <v>1547</v>
      </c>
    </row>
    <row r="130" spans="1:12" s="297" customFormat="1" ht="27" customHeight="1">
      <c r="A130" s="293">
        <f t="shared" si="6"/>
        <v>128</v>
      </c>
      <c r="B130" s="180" t="s">
        <v>202</v>
      </c>
      <c r="C130" s="294">
        <v>4</v>
      </c>
      <c r="D130" s="294">
        <v>4</v>
      </c>
      <c r="E130" s="294">
        <v>0</v>
      </c>
      <c r="F130" s="171">
        <v>127</v>
      </c>
      <c r="G130" s="165" t="s">
        <v>246</v>
      </c>
      <c r="H130" s="164" t="str">
        <f t="shared" si="7"/>
        <v>0F81</v>
      </c>
      <c r="I130" s="294" t="s">
        <v>769</v>
      </c>
      <c r="J130" s="171" t="s">
        <v>107</v>
      </c>
      <c r="L130" s="297" t="s">
        <v>1547</v>
      </c>
    </row>
    <row r="131" spans="1:12" s="297" customFormat="1" ht="27" customHeight="1">
      <c r="A131" s="293">
        <f t="shared" ref="A131:A153" si="8">A130+1</f>
        <v>129</v>
      </c>
      <c r="B131" s="180" t="s">
        <v>203</v>
      </c>
      <c r="C131" s="294">
        <v>12</v>
      </c>
      <c r="D131" s="294">
        <v>12</v>
      </c>
      <c r="E131" s="294">
        <v>0</v>
      </c>
      <c r="F131" s="171">
        <v>127</v>
      </c>
      <c r="G131" s="165" t="s">
        <v>247</v>
      </c>
      <c r="H131" s="164" t="str">
        <f t="shared" ref="H131:H153" si="9">DEC2HEX((HEX2DEC(H130)+1),4)</f>
        <v>0F82</v>
      </c>
      <c r="I131" s="294" t="s">
        <v>769</v>
      </c>
      <c r="J131" s="171" t="s">
        <v>107</v>
      </c>
      <c r="L131" s="297" t="s">
        <v>1547</v>
      </c>
    </row>
    <row r="132" spans="1:12" s="297" customFormat="1" ht="27" customHeight="1">
      <c r="A132" s="293">
        <f t="shared" si="8"/>
        <v>130</v>
      </c>
      <c r="B132" s="180" t="s">
        <v>204</v>
      </c>
      <c r="C132" s="163">
        <v>3</v>
      </c>
      <c r="D132" s="305">
        <v>3</v>
      </c>
      <c r="E132" s="163">
        <v>0</v>
      </c>
      <c r="F132" s="163">
        <v>10</v>
      </c>
      <c r="G132" s="165" t="s">
        <v>248</v>
      </c>
      <c r="H132" s="164" t="str">
        <f t="shared" si="9"/>
        <v>0F83</v>
      </c>
      <c r="I132" s="163" t="s">
        <v>765</v>
      </c>
      <c r="J132" s="163" t="s">
        <v>108</v>
      </c>
      <c r="L132" s="299" t="s">
        <v>1086</v>
      </c>
    </row>
    <row r="133" spans="1:12" s="297" customFormat="1" ht="27" customHeight="1">
      <c r="A133" s="293">
        <f t="shared" si="8"/>
        <v>131</v>
      </c>
      <c r="B133" s="180" t="s">
        <v>577</v>
      </c>
      <c r="C133" s="163">
        <v>2</v>
      </c>
      <c r="D133" s="305">
        <v>2</v>
      </c>
      <c r="E133" s="163">
        <v>0</v>
      </c>
      <c r="F133" s="163">
        <v>10</v>
      </c>
      <c r="G133" s="165" t="s">
        <v>711</v>
      </c>
      <c r="H133" s="164" t="str">
        <f t="shared" si="9"/>
        <v>0F84</v>
      </c>
      <c r="I133" s="163" t="s">
        <v>765</v>
      </c>
      <c r="J133" s="163" t="s">
        <v>108</v>
      </c>
      <c r="L133" s="299" t="s">
        <v>1086</v>
      </c>
    </row>
    <row r="134" spans="1:12" s="297" customFormat="1" ht="27" customHeight="1">
      <c r="A134" s="293">
        <f t="shared" si="8"/>
        <v>132</v>
      </c>
      <c r="B134" s="180" t="s">
        <v>578</v>
      </c>
      <c r="C134" s="163">
        <v>100</v>
      </c>
      <c r="D134" s="305">
        <v>100</v>
      </c>
      <c r="E134" s="163">
        <v>0</v>
      </c>
      <c r="F134" s="163">
        <v>127</v>
      </c>
      <c r="G134" s="165" t="s">
        <v>557</v>
      </c>
      <c r="H134" s="164" t="str">
        <f t="shared" si="9"/>
        <v>0F85</v>
      </c>
      <c r="I134" s="163" t="s">
        <v>769</v>
      </c>
      <c r="J134" s="163" t="s">
        <v>107</v>
      </c>
      <c r="L134" s="297" t="s">
        <v>1547</v>
      </c>
    </row>
    <row r="135" spans="1:12" s="297" customFormat="1" ht="27" customHeight="1">
      <c r="A135" s="293">
        <f t="shared" si="8"/>
        <v>133</v>
      </c>
      <c r="B135" s="180" t="s">
        <v>579</v>
      </c>
      <c r="C135" s="163">
        <v>4</v>
      </c>
      <c r="D135" s="305">
        <v>4</v>
      </c>
      <c r="E135" s="163">
        <v>0</v>
      </c>
      <c r="F135" s="163">
        <v>127</v>
      </c>
      <c r="G135" s="165" t="s">
        <v>558</v>
      </c>
      <c r="H135" s="164" t="str">
        <f t="shared" si="9"/>
        <v>0F86</v>
      </c>
      <c r="I135" s="163" t="s">
        <v>769</v>
      </c>
      <c r="J135" s="163" t="s">
        <v>107</v>
      </c>
      <c r="L135" s="297" t="s">
        <v>1547</v>
      </c>
    </row>
    <row r="136" spans="1:12" s="297" customFormat="1" ht="27" customHeight="1">
      <c r="A136" s="293">
        <f t="shared" si="8"/>
        <v>134</v>
      </c>
      <c r="B136" s="180" t="s">
        <v>580</v>
      </c>
      <c r="C136" s="163">
        <v>12</v>
      </c>
      <c r="D136" s="305">
        <v>12</v>
      </c>
      <c r="E136" s="163">
        <v>0</v>
      </c>
      <c r="F136" s="163">
        <v>127</v>
      </c>
      <c r="G136" s="165" t="s">
        <v>559</v>
      </c>
      <c r="H136" s="164" t="str">
        <f t="shared" si="9"/>
        <v>0F87</v>
      </c>
      <c r="I136" s="163" t="s">
        <v>769</v>
      </c>
      <c r="J136" s="163" t="s">
        <v>107</v>
      </c>
      <c r="L136" s="297" t="s">
        <v>1547</v>
      </c>
    </row>
    <row r="137" spans="1:12" s="297" customFormat="1" ht="27" customHeight="1">
      <c r="A137" s="293">
        <f t="shared" si="8"/>
        <v>135</v>
      </c>
      <c r="B137" s="180" t="s">
        <v>1214</v>
      </c>
      <c r="C137" s="163">
        <v>14</v>
      </c>
      <c r="D137" s="305">
        <v>14</v>
      </c>
      <c r="E137" s="163">
        <v>0</v>
      </c>
      <c r="F137" s="163">
        <v>250</v>
      </c>
      <c r="G137" s="165" t="s">
        <v>1215</v>
      </c>
      <c r="H137" s="164" t="str">
        <f t="shared" si="9"/>
        <v>0F88</v>
      </c>
      <c r="I137" s="163">
        <v>20</v>
      </c>
      <c r="J137" s="163" t="s">
        <v>107</v>
      </c>
      <c r="L137" s="299" t="s">
        <v>1086</v>
      </c>
    </row>
    <row r="138" spans="1:12" s="297" customFormat="1" ht="27" customHeight="1">
      <c r="A138" s="293">
        <f t="shared" si="8"/>
        <v>136</v>
      </c>
      <c r="B138" s="302" t="s">
        <v>1891</v>
      </c>
      <c r="C138" s="61">
        <v>6</v>
      </c>
      <c r="D138" s="306">
        <v>6</v>
      </c>
      <c r="E138" s="61">
        <v>1</v>
      </c>
      <c r="F138" s="61">
        <v>100</v>
      </c>
      <c r="G138" s="76" t="s">
        <v>1892</v>
      </c>
      <c r="H138" s="130" t="str">
        <f t="shared" si="9"/>
        <v>0F89</v>
      </c>
      <c r="I138" s="61">
        <v>1</v>
      </c>
      <c r="J138" s="61" t="s">
        <v>1074</v>
      </c>
      <c r="L138" s="299" t="s">
        <v>1086</v>
      </c>
    </row>
    <row r="139" spans="1:12" s="297" customFormat="1" ht="27" customHeight="1">
      <c r="A139" s="293">
        <f t="shared" si="8"/>
        <v>137</v>
      </c>
      <c r="B139" s="302" t="s">
        <v>1893</v>
      </c>
      <c r="C139" s="61">
        <v>192</v>
      </c>
      <c r="D139" s="61">
        <v>192</v>
      </c>
      <c r="E139" s="61">
        <v>50</v>
      </c>
      <c r="F139" s="61">
        <v>254</v>
      </c>
      <c r="G139" s="76" t="s">
        <v>1894</v>
      </c>
      <c r="H139" s="130" t="str">
        <f t="shared" si="9"/>
        <v>0F8A</v>
      </c>
      <c r="I139" s="61">
        <v>1</v>
      </c>
      <c r="J139" s="61" t="s">
        <v>211</v>
      </c>
      <c r="L139" s="299" t="s">
        <v>1086</v>
      </c>
    </row>
    <row r="140" spans="1:12" s="297" customFormat="1" ht="27" customHeight="1">
      <c r="A140" s="293">
        <f t="shared" si="8"/>
        <v>138</v>
      </c>
      <c r="B140" s="180" t="s">
        <v>1897</v>
      </c>
      <c r="C140" s="163">
        <v>150</v>
      </c>
      <c r="D140" s="305">
        <v>150</v>
      </c>
      <c r="E140" s="163">
        <v>1</v>
      </c>
      <c r="F140" s="163">
        <v>100</v>
      </c>
      <c r="G140" s="165" t="s">
        <v>1899</v>
      </c>
      <c r="H140" s="164" t="str">
        <f t="shared" si="9"/>
        <v>0F8B</v>
      </c>
      <c r="I140" s="163">
        <v>0.2</v>
      </c>
      <c r="J140" s="163" t="s">
        <v>106</v>
      </c>
      <c r="L140" s="299" t="s">
        <v>1086</v>
      </c>
    </row>
    <row r="141" spans="1:12" s="297" customFormat="1" ht="27" customHeight="1">
      <c r="A141" s="293">
        <f t="shared" si="8"/>
        <v>139</v>
      </c>
      <c r="B141" s="307" t="s">
        <v>2456</v>
      </c>
      <c r="C141" s="61">
        <v>3</v>
      </c>
      <c r="D141" s="306">
        <v>3</v>
      </c>
      <c r="E141" s="61">
        <v>0</v>
      </c>
      <c r="F141" s="61">
        <v>255</v>
      </c>
      <c r="G141" s="76" t="s">
        <v>2457</v>
      </c>
      <c r="H141" s="130" t="str">
        <f t="shared" si="9"/>
        <v>0F8C</v>
      </c>
      <c r="I141" s="61">
        <v>1</v>
      </c>
      <c r="J141" s="61" t="s">
        <v>108</v>
      </c>
      <c r="L141" s="299" t="s">
        <v>1086</v>
      </c>
    </row>
    <row r="142" spans="1:12" s="297" customFormat="1" ht="27" customHeight="1">
      <c r="A142" s="293">
        <f t="shared" si="8"/>
        <v>140</v>
      </c>
      <c r="B142" s="302" t="s">
        <v>1908</v>
      </c>
      <c r="C142" s="61">
        <v>18</v>
      </c>
      <c r="D142" s="306">
        <v>18</v>
      </c>
      <c r="E142" s="61">
        <v>1</v>
      </c>
      <c r="F142" s="61">
        <v>254</v>
      </c>
      <c r="G142" s="76" t="s">
        <v>1909</v>
      </c>
      <c r="H142" s="130" t="str">
        <f t="shared" si="9"/>
        <v>0F8D</v>
      </c>
      <c r="I142" s="61">
        <v>10</v>
      </c>
      <c r="J142" s="61" t="s">
        <v>106</v>
      </c>
      <c r="L142" s="299" t="s">
        <v>1086</v>
      </c>
    </row>
    <row r="143" spans="1:12" s="297" customFormat="1" ht="27" customHeight="1">
      <c r="A143" s="293">
        <f t="shared" si="8"/>
        <v>141</v>
      </c>
      <c r="B143" s="302" t="s">
        <v>1910</v>
      </c>
      <c r="C143" s="61">
        <v>105</v>
      </c>
      <c r="D143" s="306">
        <v>105</v>
      </c>
      <c r="E143" s="61">
        <v>80</v>
      </c>
      <c r="F143" s="61">
        <v>160</v>
      </c>
      <c r="G143" s="76" t="s">
        <v>1911</v>
      </c>
      <c r="H143" s="130" t="str">
        <f t="shared" si="9"/>
        <v>0F8E</v>
      </c>
      <c r="I143" s="61">
        <v>0.1</v>
      </c>
      <c r="J143" s="61" t="s">
        <v>138</v>
      </c>
      <c r="L143" s="299" t="s">
        <v>1086</v>
      </c>
    </row>
    <row r="144" spans="1:12" s="297" customFormat="1" ht="27" customHeight="1">
      <c r="A144" s="293">
        <f t="shared" si="8"/>
        <v>142</v>
      </c>
      <c r="B144" s="180" t="s">
        <v>1912</v>
      </c>
      <c r="C144" s="163">
        <v>8</v>
      </c>
      <c r="D144" s="305">
        <v>8</v>
      </c>
      <c r="E144" s="163">
        <v>2</v>
      </c>
      <c r="F144" s="163">
        <v>10</v>
      </c>
      <c r="G144" s="165" t="s">
        <v>1923</v>
      </c>
      <c r="H144" s="164" t="str">
        <f t="shared" si="9"/>
        <v>0F8F</v>
      </c>
      <c r="I144" s="163">
        <v>25</v>
      </c>
      <c r="J144" s="163" t="s">
        <v>211</v>
      </c>
      <c r="L144" s="299" t="s">
        <v>1086</v>
      </c>
    </row>
    <row r="145" spans="1:12" s="297" customFormat="1" ht="27" customHeight="1">
      <c r="A145" s="293">
        <f t="shared" si="8"/>
        <v>143</v>
      </c>
      <c r="B145" s="180" t="s">
        <v>1913</v>
      </c>
      <c r="C145" s="61">
        <v>7</v>
      </c>
      <c r="D145" s="61">
        <v>7</v>
      </c>
      <c r="E145" s="163">
        <v>0</v>
      </c>
      <c r="F145" s="163">
        <v>100</v>
      </c>
      <c r="G145" s="180" t="s">
        <v>1924</v>
      </c>
      <c r="H145" s="164" t="str">
        <f t="shared" si="9"/>
        <v>0F90</v>
      </c>
      <c r="I145" s="163">
        <v>1</v>
      </c>
      <c r="J145" s="163" t="s">
        <v>1074</v>
      </c>
      <c r="L145" s="299" t="s">
        <v>1086</v>
      </c>
    </row>
    <row r="146" spans="1:12" s="297" customFormat="1" ht="27" customHeight="1">
      <c r="A146" s="293">
        <f t="shared" si="8"/>
        <v>144</v>
      </c>
      <c r="B146" s="180" t="s">
        <v>1914</v>
      </c>
      <c r="C146" s="61">
        <v>17</v>
      </c>
      <c r="D146" s="61">
        <v>17</v>
      </c>
      <c r="E146" s="163">
        <v>0</v>
      </c>
      <c r="F146" s="163">
        <v>100</v>
      </c>
      <c r="G146" s="180" t="s">
        <v>1925</v>
      </c>
      <c r="H146" s="164" t="str">
        <f t="shared" si="9"/>
        <v>0F91</v>
      </c>
      <c r="I146" s="163">
        <v>1</v>
      </c>
      <c r="J146" s="163" t="s">
        <v>1074</v>
      </c>
      <c r="L146" s="299" t="s">
        <v>1086</v>
      </c>
    </row>
    <row r="147" spans="1:12" s="297" customFormat="1" ht="27" customHeight="1">
      <c r="A147" s="293">
        <f t="shared" si="8"/>
        <v>145</v>
      </c>
      <c r="B147" s="180" t="s">
        <v>1915</v>
      </c>
      <c r="C147" s="61">
        <v>27</v>
      </c>
      <c r="D147" s="61">
        <v>27</v>
      </c>
      <c r="E147" s="163">
        <v>0</v>
      </c>
      <c r="F147" s="163">
        <v>100</v>
      </c>
      <c r="G147" s="180" t="s">
        <v>1926</v>
      </c>
      <c r="H147" s="164" t="str">
        <f t="shared" si="9"/>
        <v>0F92</v>
      </c>
      <c r="I147" s="163">
        <v>1</v>
      </c>
      <c r="J147" s="163" t="s">
        <v>1074</v>
      </c>
      <c r="L147" s="299" t="s">
        <v>1086</v>
      </c>
    </row>
    <row r="148" spans="1:12" s="297" customFormat="1" ht="27" customHeight="1">
      <c r="A148" s="293">
        <f t="shared" si="8"/>
        <v>146</v>
      </c>
      <c r="B148" s="180" t="s">
        <v>1916</v>
      </c>
      <c r="C148" s="61">
        <v>37</v>
      </c>
      <c r="D148" s="61">
        <v>37</v>
      </c>
      <c r="E148" s="163">
        <v>0</v>
      </c>
      <c r="F148" s="163">
        <v>100</v>
      </c>
      <c r="G148" s="180" t="s">
        <v>1927</v>
      </c>
      <c r="H148" s="164" t="str">
        <f t="shared" si="9"/>
        <v>0F93</v>
      </c>
      <c r="I148" s="163">
        <v>1</v>
      </c>
      <c r="J148" s="163" t="s">
        <v>1074</v>
      </c>
      <c r="L148" s="299" t="s">
        <v>1086</v>
      </c>
    </row>
    <row r="149" spans="1:12" s="297" customFormat="1" ht="27" customHeight="1">
      <c r="A149" s="293">
        <f t="shared" si="8"/>
        <v>147</v>
      </c>
      <c r="B149" s="180" t="s">
        <v>1917</v>
      </c>
      <c r="C149" s="61">
        <v>47</v>
      </c>
      <c r="D149" s="61">
        <v>47</v>
      </c>
      <c r="E149" s="163">
        <v>0</v>
      </c>
      <c r="F149" s="163">
        <v>100</v>
      </c>
      <c r="G149" s="180" t="s">
        <v>1928</v>
      </c>
      <c r="H149" s="164" t="str">
        <f t="shared" si="9"/>
        <v>0F94</v>
      </c>
      <c r="I149" s="163">
        <v>1</v>
      </c>
      <c r="J149" s="163" t="s">
        <v>1074</v>
      </c>
      <c r="L149" s="299" t="s">
        <v>1086</v>
      </c>
    </row>
    <row r="150" spans="1:12" s="297" customFormat="1" ht="27" customHeight="1">
      <c r="A150" s="293">
        <f t="shared" si="8"/>
        <v>148</v>
      </c>
      <c r="B150" s="180" t="s">
        <v>1918</v>
      </c>
      <c r="C150" s="61">
        <v>57</v>
      </c>
      <c r="D150" s="61">
        <v>57</v>
      </c>
      <c r="E150" s="163">
        <v>0</v>
      </c>
      <c r="F150" s="163">
        <v>100</v>
      </c>
      <c r="G150" s="180" t="s">
        <v>1929</v>
      </c>
      <c r="H150" s="164" t="str">
        <f t="shared" si="9"/>
        <v>0F95</v>
      </c>
      <c r="I150" s="163">
        <v>1</v>
      </c>
      <c r="J150" s="163" t="s">
        <v>1074</v>
      </c>
      <c r="L150" s="299" t="s">
        <v>1086</v>
      </c>
    </row>
    <row r="151" spans="1:12" s="297" customFormat="1" ht="27" customHeight="1">
      <c r="A151" s="293">
        <f t="shared" si="8"/>
        <v>149</v>
      </c>
      <c r="B151" s="180" t="s">
        <v>1919</v>
      </c>
      <c r="C151" s="61">
        <v>67</v>
      </c>
      <c r="D151" s="61">
        <v>67</v>
      </c>
      <c r="E151" s="163">
        <v>0</v>
      </c>
      <c r="F151" s="163">
        <v>100</v>
      </c>
      <c r="G151" s="180" t="s">
        <v>1930</v>
      </c>
      <c r="H151" s="164" t="str">
        <f t="shared" si="9"/>
        <v>0F96</v>
      </c>
      <c r="I151" s="163">
        <v>1</v>
      </c>
      <c r="J151" s="163" t="s">
        <v>1074</v>
      </c>
      <c r="L151" s="299" t="s">
        <v>1086</v>
      </c>
    </row>
    <row r="152" spans="1:12" s="297" customFormat="1" ht="27" customHeight="1">
      <c r="A152" s="293">
        <f t="shared" si="8"/>
        <v>150</v>
      </c>
      <c r="B152" s="180" t="s">
        <v>1920</v>
      </c>
      <c r="C152" s="61">
        <v>77</v>
      </c>
      <c r="D152" s="61">
        <v>77</v>
      </c>
      <c r="E152" s="163">
        <v>0</v>
      </c>
      <c r="F152" s="163">
        <v>100</v>
      </c>
      <c r="G152" s="180" t="s">
        <v>1931</v>
      </c>
      <c r="H152" s="164" t="str">
        <f t="shared" si="9"/>
        <v>0F97</v>
      </c>
      <c r="I152" s="163">
        <v>1</v>
      </c>
      <c r="J152" s="163" t="s">
        <v>1074</v>
      </c>
      <c r="L152" s="299" t="s">
        <v>1086</v>
      </c>
    </row>
    <row r="153" spans="1:12" s="297" customFormat="1" ht="27" customHeight="1">
      <c r="A153" s="293">
        <f t="shared" si="8"/>
        <v>151</v>
      </c>
      <c r="B153" s="180" t="s">
        <v>1921</v>
      </c>
      <c r="C153" s="61">
        <v>87</v>
      </c>
      <c r="D153" s="61">
        <v>87</v>
      </c>
      <c r="E153" s="163">
        <v>0</v>
      </c>
      <c r="F153" s="163">
        <v>100</v>
      </c>
      <c r="G153" s="180" t="s">
        <v>1932</v>
      </c>
      <c r="H153" s="164" t="str">
        <f t="shared" si="9"/>
        <v>0F98</v>
      </c>
      <c r="I153" s="163">
        <v>1</v>
      </c>
      <c r="J153" s="163" t="s">
        <v>1074</v>
      </c>
      <c r="L153" s="299" t="s">
        <v>1086</v>
      </c>
    </row>
    <row r="154" spans="1:12" s="309" customFormat="1" ht="27" customHeight="1">
      <c r="A154" s="308">
        <f t="shared" ref="A154:A181" si="10">A153+1</f>
        <v>152</v>
      </c>
      <c r="B154" s="180" t="s">
        <v>1922</v>
      </c>
      <c r="C154" s="61">
        <v>100</v>
      </c>
      <c r="D154" s="61">
        <v>100</v>
      </c>
      <c r="E154" s="59">
        <v>0</v>
      </c>
      <c r="F154" s="163">
        <v>100</v>
      </c>
      <c r="G154" s="180" t="s">
        <v>1933</v>
      </c>
      <c r="H154" s="64" t="str">
        <f t="shared" ref="H154:H212" si="11">DEC2HEX((HEX2DEC(H153)+1),4)</f>
        <v>0F99</v>
      </c>
      <c r="I154" s="59">
        <v>1</v>
      </c>
      <c r="J154" s="163" t="s">
        <v>1074</v>
      </c>
      <c r="L154" s="299" t="s">
        <v>1086</v>
      </c>
    </row>
    <row r="155" spans="1:12" s="309" customFormat="1" ht="27" customHeight="1">
      <c r="A155" s="308">
        <f t="shared" si="10"/>
        <v>153</v>
      </c>
      <c r="B155" s="76" t="s">
        <v>1934</v>
      </c>
      <c r="C155" s="59">
        <v>5</v>
      </c>
      <c r="D155" s="300">
        <v>5</v>
      </c>
      <c r="E155" s="59">
        <v>0</v>
      </c>
      <c r="F155" s="59">
        <v>254</v>
      </c>
      <c r="G155" s="76" t="s">
        <v>1935</v>
      </c>
      <c r="H155" s="64" t="str">
        <f t="shared" si="11"/>
        <v>0F9A</v>
      </c>
      <c r="I155" s="59">
        <v>1</v>
      </c>
      <c r="J155" s="61" t="s">
        <v>108</v>
      </c>
      <c r="L155" s="299" t="s">
        <v>1086</v>
      </c>
    </row>
    <row r="156" spans="1:12" s="309" customFormat="1" ht="27" customHeight="1">
      <c r="A156" s="308">
        <f t="shared" si="10"/>
        <v>154</v>
      </c>
      <c r="B156" s="76" t="s">
        <v>1937</v>
      </c>
      <c r="C156" s="59">
        <v>100</v>
      </c>
      <c r="D156" s="300">
        <v>100</v>
      </c>
      <c r="E156" s="59">
        <v>1</v>
      </c>
      <c r="F156" s="59">
        <v>254</v>
      </c>
      <c r="G156" s="76" t="s">
        <v>1938</v>
      </c>
      <c r="H156" s="64" t="str">
        <f t="shared" si="11"/>
        <v>0F9B</v>
      </c>
      <c r="I156" s="59">
        <v>10</v>
      </c>
      <c r="J156" s="61" t="s">
        <v>107</v>
      </c>
      <c r="L156" s="299" t="s">
        <v>1086</v>
      </c>
    </row>
    <row r="157" spans="1:12" s="309" customFormat="1" ht="27" customHeight="1">
      <c r="A157" s="308">
        <f t="shared" si="10"/>
        <v>155</v>
      </c>
      <c r="B157" s="76" t="s">
        <v>1939</v>
      </c>
      <c r="C157" s="59">
        <v>0</v>
      </c>
      <c r="D157" s="300">
        <v>0</v>
      </c>
      <c r="E157" s="59">
        <v>0</v>
      </c>
      <c r="F157" s="59">
        <v>254</v>
      </c>
      <c r="G157" s="76" t="s">
        <v>1940</v>
      </c>
      <c r="H157" s="64" t="str">
        <f t="shared" si="11"/>
        <v>0F9C</v>
      </c>
      <c r="I157" s="59">
        <v>10</v>
      </c>
      <c r="J157" s="61" t="s">
        <v>107</v>
      </c>
      <c r="L157" s="299" t="s">
        <v>1086</v>
      </c>
    </row>
    <row r="158" spans="1:12" s="309" customFormat="1" ht="27" customHeight="1">
      <c r="A158" s="308">
        <f t="shared" si="10"/>
        <v>156</v>
      </c>
      <c r="B158" s="76" t="s">
        <v>1973</v>
      </c>
      <c r="C158" s="61">
        <v>7</v>
      </c>
      <c r="D158" s="61">
        <v>7</v>
      </c>
      <c r="E158" s="61">
        <v>0</v>
      </c>
      <c r="F158" s="61">
        <v>100</v>
      </c>
      <c r="G158" s="76" t="s">
        <v>1974</v>
      </c>
      <c r="H158" s="64" t="str">
        <f t="shared" si="11"/>
        <v>0F9D</v>
      </c>
      <c r="I158" s="61">
        <v>1</v>
      </c>
      <c r="J158" s="61" t="s">
        <v>1074</v>
      </c>
    </row>
    <row r="159" spans="1:12" s="309" customFormat="1" ht="27" customHeight="1">
      <c r="A159" s="308">
        <f t="shared" si="10"/>
        <v>157</v>
      </c>
      <c r="B159" s="76" t="s">
        <v>1975</v>
      </c>
      <c r="C159" s="61">
        <v>17</v>
      </c>
      <c r="D159" s="61">
        <v>17</v>
      </c>
      <c r="E159" s="61">
        <v>0</v>
      </c>
      <c r="F159" s="61">
        <v>100</v>
      </c>
      <c r="G159" s="76" t="s">
        <v>1976</v>
      </c>
      <c r="H159" s="64" t="str">
        <f t="shared" si="11"/>
        <v>0F9E</v>
      </c>
      <c r="I159" s="61">
        <v>1</v>
      </c>
      <c r="J159" s="61" t="s">
        <v>1074</v>
      </c>
    </row>
    <row r="160" spans="1:12" s="309" customFormat="1" ht="27" customHeight="1">
      <c r="A160" s="308">
        <f t="shared" si="10"/>
        <v>158</v>
      </c>
      <c r="B160" s="76" t="s">
        <v>1977</v>
      </c>
      <c r="C160" s="61">
        <v>27</v>
      </c>
      <c r="D160" s="61">
        <v>27</v>
      </c>
      <c r="E160" s="61">
        <v>0</v>
      </c>
      <c r="F160" s="61">
        <v>100</v>
      </c>
      <c r="G160" s="76" t="s">
        <v>1978</v>
      </c>
      <c r="H160" s="64" t="str">
        <f t="shared" si="11"/>
        <v>0F9F</v>
      </c>
      <c r="I160" s="61">
        <v>1</v>
      </c>
      <c r="J160" s="61" t="s">
        <v>1074</v>
      </c>
    </row>
    <row r="161" spans="1:10" s="309" customFormat="1" ht="27" customHeight="1">
      <c r="A161" s="308">
        <f t="shared" si="10"/>
        <v>159</v>
      </c>
      <c r="B161" s="76" t="s">
        <v>1979</v>
      </c>
      <c r="C161" s="61">
        <v>37</v>
      </c>
      <c r="D161" s="61">
        <v>37</v>
      </c>
      <c r="E161" s="61">
        <v>0</v>
      </c>
      <c r="F161" s="61">
        <v>100</v>
      </c>
      <c r="G161" s="76" t="s">
        <v>1980</v>
      </c>
      <c r="H161" s="64" t="str">
        <f t="shared" si="11"/>
        <v>0FA0</v>
      </c>
      <c r="I161" s="61">
        <v>1</v>
      </c>
      <c r="J161" s="61" t="s">
        <v>1074</v>
      </c>
    </row>
    <row r="162" spans="1:10" ht="25.5">
      <c r="A162" s="308">
        <f t="shared" si="10"/>
        <v>160</v>
      </c>
      <c r="B162" s="76" t="s">
        <v>1981</v>
      </c>
      <c r="C162" s="61">
        <v>47</v>
      </c>
      <c r="D162" s="61">
        <v>47</v>
      </c>
      <c r="E162" s="61">
        <v>0</v>
      </c>
      <c r="F162" s="61">
        <v>100</v>
      </c>
      <c r="G162" s="76" t="s">
        <v>1982</v>
      </c>
      <c r="H162" s="64" t="str">
        <f t="shared" si="11"/>
        <v>0FA1</v>
      </c>
      <c r="I162" s="61">
        <v>1</v>
      </c>
      <c r="J162" s="61" t="s">
        <v>1074</v>
      </c>
    </row>
    <row r="163" spans="1:10" ht="25.5">
      <c r="A163" s="308">
        <f t="shared" si="10"/>
        <v>161</v>
      </c>
      <c r="B163" s="76" t="s">
        <v>1983</v>
      </c>
      <c r="C163" s="61">
        <v>57</v>
      </c>
      <c r="D163" s="61">
        <v>57</v>
      </c>
      <c r="E163" s="61">
        <v>0</v>
      </c>
      <c r="F163" s="61">
        <v>100</v>
      </c>
      <c r="G163" s="76" t="s">
        <v>1984</v>
      </c>
      <c r="H163" s="64" t="str">
        <f t="shared" si="11"/>
        <v>0FA2</v>
      </c>
      <c r="I163" s="61">
        <v>1</v>
      </c>
      <c r="J163" s="61" t="s">
        <v>1074</v>
      </c>
    </row>
    <row r="164" spans="1:10" ht="25.5">
      <c r="A164" s="308">
        <f t="shared" si="10"/>
        <v>162</v>
      </c>
      <c r="B164" s="76" t="s">
        <v>1985</v>
      </c>
      <c r="C164" s="61">
        <v>67</v>
      </c>
      <c r="D164" s="61">
        <v>67</v>
      </c>
      <c r="E164" s="61">
        <v>0</v>
      </c>
      <c r="F164" s="61">
        <v>100</v>
      </c>
      <c r="G164" s="76" t="s">
        <v>1986</v>
      </c>
      <c r="H164" s="64" t="str">
        <f t="shared" si="11"/>
        <v>0FA3</v>
      </c>
      <c r="I164" s="61">
        <v>1</v>
      </c>
      <c r="J164" s="61" t="s">
        <v>1074</v>
      </c>
    </row>
    <row r="165" spans="1:10" ht="25.5">
      <c r="A165" s="308">
        <f t="shared" si="10"/>
        <v>163</v>
      </c>
      <c r="B165" s="76" t="s">
        <v>1987</v>
      </c>
      <c r="C165" s="61">
        <v>77</v>
      </c>
      <c r="D165" s="61">
        <v>77</v>
      </c>
      <c r="E165" s="61">
        <v>0</v>
      </c>
      <c r="F165" s="61">
        <v>100</v>
      </c>
      <c r="G165" s="76" t="s">
        <v>1988</v>
      </c>
      <c r="H165" s="64" t="str">
        <f t="shared" si="11"/>
        <v>0FA4</v>
      </c>
      <c r="I165" s="61">
        <v>1</v>
      </c>
      <c r="J165" s="61" t="s">
        <v>1074</v>
      </c>
    </row>
    <row r="166" spans="1:10" ht="25.5">
      <c r="A166" s="308">
        <f t="shared" si="10"/>
        <v>164</v>
      </c>
      <c r="B166" s="76" t="s">
        <v>1989</v>
      </c>
      <c r="C166" s="61">
        <v>87</v>
      </c>
      <c r="D166" s="61">
        <v>87</v>
      </c>
      <c r="E166" s="61">
        <v>0</v>
      </c>
      <c r="F166" s="61">
        <v>100</v>
      </c>
      <c r="G166" s="76" t="s">
        <v>1990</v>
      </c>
      <c r="H166" s="64" t="str">
        <f t="shared" si="11"/>
        <v>0FA5</v>
      </c>
      <c r="I166" s="61">
        <v>1</v>
      </c>
      <c r="J166" s="61" t="s">
        <v>1074</v>
      </c>
    </row>
    <row r="167" spans="1:10" ht="25.5">
      <c r="A167" s="308">
        <f t="shared" si="10"/>
        <v>165</v>
      </c>
      <c r="B167" s="76" t="s">
        <v>1991</v>
      </c>
      <c r="C167" s="61">
        <v>100</v>
      </c>
      <c r="D167" s="61">
        <v>100</v>
      </c>
      <c r="E167" s="61">
        <v>0</v>
      </c>
      <c r="F167" s="61">
        <v>100</v>
      </c>
      <c r="G167" s="76" t="s">
        <v>1992</v>
      </c>
      <c r="H167" s="64" t="str">
        <f t="shared" si="11"/>
        <v>0FA6</v>
      </c>
      <c r="I167" s="61">
        <v>1</v>
      </c>
      <c r="J167" s="61" t="s">
        <v>1074</v>
      </c>
    </row>
    <row r="168" spans="1:10" ht="25.5">
      <c r="A168" s="308">
        <f t="shared" si="10"/>
        <v>166</v>
      </c>
      <c r="B168" s="76" t="s">
        <v>2067</v>
      </c>
      <c r="C168" s="61">
        <v>28</v>
      </c>
      <c r="D168" s="306">
        <v>28</v>
      </c>
      <c r="E168" s="61">
        <v>0</v>
      </c>
      <c r="F168" s="61">
        <v>254</v>
      </c>
      <c r="G168" s="76" t="s">
        <v>2068</v>
      </c>
      <c r="H168" s="64" t="str">
        <f t="shared" si="11"/>
        <v>0FA7</v>
      </c>
      <c r="I168" s="61">
        <v>10</v>
      </c>
      <c r="J168" s="61" t="s">
        <v>107</v>
      </c>
    </row>
    <row r="169" spans="1:10" ht="25.5">
      <c r="A169" s="308">
        <f t="shared" si="10"/>
        <v>167</v>
      </c>
      <c r="B169" s="310" t="s">
        <v>2083</v>
      </c>
      <c r="C169" s="163">
        <v>2</v>
      </c>
      <c r="D169" s="305">
        <v>2</v>
      </c>
      <c r="E169" s="163">
        <v>1</v>
      </c>
      <c r="F169" s="163">
        <v>254</v>
      </c>
      <c r="G169" s="165" t="s">
        <v>1936</v>
      </c>
      <c r="H169" s="64" t="str">
        <f t="shared" si="11"/>
        <v>0FA8</v>
      </c>
      <c r="I169" s="163">
        <v>10</v>
      </c>
      <c r="J169" s="163" t="s">
        <v>107</v>
      </c>
    </row>
    <row r="170" spans="1:10" ht="25.5">
      <c r="A170" s="308">
        <f t="shared" si="10"/>
        <v>168</v>
      </c>
      <c r="B170" s="76" t="s">
        <v>1965</v>
      </c>
      <c r="C170" s="61">
        <v>80</v>
      </c>
      <c r="D170" s="306">
        <v>80</v>
      </c>
      <c r="E170" s="61">
        <v>0</v>
      </c>
      <c r="F170" s="61">
        <v>254</v>
      </c>
      <c r="G170" s="76" t="s">
        <v>1966</v>
      </c>
      <c r="H170" s="64" t="str">
        <f t="shared" si="11"/>
        <v>0FA9</v>
      </c>
      <c r="I170" s="61">
        <v>10</v>
      </c>
      <c r="J170" s="61" t="s">
        <v>107</v>
      </c>
    </row>
    <row r="171" spans="1:10" ht="25.5">
      <c r="A171" s="308">
        <f t="shared" si="10"/>
        <v>169</v>
      </c>
      <c r="B171" s="76" t="s">
        <v>1967</v>
      </c>
      <c r="C171" s="61">
        <v>32</v>
      </c>
      <c r="D171" s="306">
        <v>32</v>
      </c>
      <c r="E171" s="61">
        <v>0</v>
      </c>
      <c r="F171" s="61">
        <v>254</v>
      </c>
      <c r="G171" s="76" t="s">
        <v>1968</v>
      </c>
      <c r="H171" s="64" t="str">
        <f t="shared" si="11"/>
        <v>0FAA</v>
      </c>
      <c r="I171" s="61">
        <v>5</v>
      </c>
      <c r="J171" s="61" t="s">
        <v>107</v>
      </c>
    </row>
    <row r="172" spans="1:10" ht="25.5">
      <c r="A172" s="308">
        <f t="shared" si="10"/>
        <v>170</v>
      </c>
      <c r="B172" s="76" t="s">
        <v>1969</v>
      </c>
      <c r="C172" s="61">
        <v>20</v>
      </c>
      <c r="D172" s="306">
        <v>20</v>
      </c>
      <c r="E172" s="61">
        <v>1</v>
      </c>
      <c r="F172" s="61">
        <v>254</v>
      </c>
      <c r="G172" s="76" t="s">
        <v>1970</v>
      </c>
      <c r="H172" s="64" t="str">
        <f t="shared" si="11"/>
        <v>0FAB</v>
      </c>
      <c r="I172" s="61">
        <v>5</v>
      </c>
      <c r="J172" s="61" t="s">
        <v>107</v>
      </c>
    </row>
    <row r="173" spans="1:10" ht="25.5">
      <c r="A173" s="308">
        <f t="shared" si="10"/>
        <v>171</v>
      </c>
      <c r="B173" s="76" t="s">
        <v>1971</v>
      </c>
      <c r="C173" s="61">
        <v>10</v>
      </c>
      <c r="D173" s="306">
        <v>10</v>
      </c>
      <c r="E173" s="61">
        <v>1</v>
      </c>
      <c r="F173" s="61">
        <v>254</v>
      </c>
      <c r="G173" s="76" t="s">
        <v>1972</v>
      </c>
      <c r="H173" s="64" t="str">
        <f t="shared" si="11"/>
        <v>0FAC</v>
      </c>
      <c r="I173" s="61">
        <v>5</v>
      </c>
      <c r="J173" s="61" t="s">
        <v>107</v>
      </c>
    </row>
    <row r="174" spans="1:10" ht="25.5">
      <c r="A174" s="308">
        <f t="shared" si="10"/>
        <v>172</v>
      </c>
      <c r="B174" s="76" t="s">
        <v>2069</v>
      </c>
      <c r="C174" s="61">
        <v>2</v>
      </c>
      <c r="D174" s="306">
        <v>2</v>
      </c>
      <c r="E174" s="61">
        <v>1</v>
      </c>
      <c r="F174" s="61">
        <v>254</v>
      </c>
      <c r="G174" s="76" t="s">
        <v>2070</v>
      </c>
      <c r="H174" s="64" t="str">
        <f t="shared" si="11"/>
        <v>0FAD</v>
      </c>
      <c r="I174" s="61">
        <v>0.1</v>
      </c>
      <c r="J174" s="61" t="s">
        <v>106</v>
      </c>
    </row>
    <row r="175" spans="1:10" ht="25.5">
      <c r="A175" s="308">
        <f t="shared" si="10"/>
        <v>173</v>
      </c>
      <c r="B175" s="180" t="s">
        <v>1941</v>
      </c>
      <c r="C175" s="163">
        <v>1</v>
      </c>
      <c r="D175" s="305">
        <v>1</v>
      </c>
      <c r="E175" s="163">
        <v>1</v>
      </c>
      <c r="F175" s="163">
        <v>254</v>
      </c>
      <c r="G175" s="165" t="s">
        <v>1942</v>
      </c>
      <c r="H175" s="64" t="str">
        <f t="shared" si="11"/>
        <v>0FAE</v>
      </c>
      <c r="I175" s="163">
        <v>1</v>
      </c>
      <c r="J175" s="163" t="s">
        <v>108</v>
      </c>
    </row>
    <row r="176" spans="1:10" ht="25.5">
      <c r="A176" s="308">
        <f t="shared" si="10"/>
        <v>174</v>
      </c>
      <c r="B176" s="180" t="s">
        <v>1951</v>
      </c>
      <c r="C176" s="163">
        <v>6</v>
      </c>
      <c r="D176" s="305">
        <v>6</v>
      </c>
      <c r="E176" s="163">
        <v>1</v>
      </c>
      <c r="F176" s="163">
        <v>200</v>
      </c>
      <c r="G176" s="180" t="s">
        <v>1952</v>
      </c>
      <c r="H176" s="64" t="str">
        <f t="shared" si="11"/>
        <v>0FAF</v>
      </c>
      <c r="I176" s="163">
        <v>0.5</v>
      </c>
      <c r="J176" s="163" t="s">
        <v>106</v>
      </c>
    </row>
    <row r="177" spans="1:10" ht="25.5">
      <c r="A177" s="308">
        <f t="shared" si="10"/>
        <v>175</v>
      </c>
      <c r="B177" s="180" t="s">
        <v>1953</v>
      </c>
      <c r="C177" s="163">
        <v>12</v>
      </c>
      <c r="D177" s="305">
        <v>12</v>
      </c>
      <c r="E177" s="163">
        <v>1</v>
      </c>
      <c r="F177" s="163">
        <v>200</v>
      </c>
      <c r="G177" s="180" t="s">
        <v>1954</v>
      </c>
      <c r="H177" s="64" t="str">
        <f t="shared" si="11"/>
        <v>0FB0</v>
      </c>
      <c r="I177" s="163">
        <v>0.5</v>
      </c>
      <c r="J177" s="163" t="s">
        <v>106</v>
      </c>
    </row>
    <row r="178" spans="1:10" ht="25.5">
      <c r="A178" s="308">
        <f t="shared" si="10"/>
        <v>176</v>
      </c>
      <c r="B178" s="180" t="s">
        <v>1955</v>
      </c>
      <c r="C178" s="163">
        <v>18</v>
      </c>
      <c r="D178" s="305">
        <v>18</v>
      </c>
      <c r="E178" s="163">
        <v>1</v>
      </c>
      <c r="F178" s="163">
        <v>200</v>
      </c>
      <c r="G178" s="180" t="s">
        <v>1956</v>
      </c>
      <c r="H178" s="64" t="str">
        <f t="shared" si="11"/>
        <v>0FB1</v>
      </c>
      <c r="I178" s="163">
        <v>0.5</v>
      </c>
      <c r="J178" s="163" t="s">
        <v>106</v>
      </c>
    </row>
    <row r="179" spans="1:10" ht="25.5">
      <c r="A179" s="308">
        <f t="shared" si="10"/>
        <v>177</v>
      </c>
      <c r="B179" s="180" t="s">
        <v>1957</v>
      </c>
      <c r="C179" s="163">
        <v>24</v>
      </c>
      <c r="D179" s="305">
        <v>24</v>
      </c>
      <c r="E179" s="163">
        <v>1</v>
      </c>
      <c r="F179" s="163">
        <v>200</v>
      </c>
      <c r="G179" s="180" t="s">
        <v>1958</v>
      </c>
      <c r="H179" s="64" t="str">
        <f t="shared" si="11"/>
        <v>0FB2</v>
      </c>
      <c r="I179" s="163">
        <v>0.5</v>
      </c>
      <c r="J179" s="163" t="s">
        <v>106</v>
      </c>
    </row>
    <row r="180" spans="1:10" ht="25.5">
      <c r="A180" s="308">
        <f t="shared" si="10"/>
        <v>178</v>
      </c>
      <c r="B180" s="180" t="s">
        <v>1959</v>
      </c>
      <c r="C180" s="163">
        <v>30</v>
      </c>
      <c r="D180" s="305">
        <v>30</v>
      </c>
      <c r="E180" s="163">
        <v>1</v>
      </c>
      <c r="F180" s="163">
        <v>200</v>
      </c>
      <c r="G180" s="180" t="s">
        <v>1960</v>
      </c>
      <c r="H180" s="64" t="str">
        <f t="shared" si="11"/>
        <v>0FB3</v>
      </c>
      <c r="I180" s="163">
        <v>0.5</v>
      </c>
      <c r="J180" s="163" t="s">
        <v>106</v>
      </c>
    </row>
    <row r="181" spans="1:10" ht="25.5">
      <c r="A181" s="308">
        <f t="shared" si="10"/>
        <v>179</v>
      </c>
      <c r="B181" s="76" t="s">
        <v>1993</v>
      </c>
      <c r="C181" s="61">
        <v>4</v>
      </c>
      <c r="D181" s="306">
        <v>4</v>
      </c>
      <c r="E181" s="61">
        <v>1</v>
      </c>
      <c r="F181" s="61">
        <v>200</v>
      </c>
      <c r="G181" s="76" t="s">
        <v>1994</v>
      </c>
      <c r="H181" s="64" t="str">
        <f t="shared" si="11"/>
        <v>0FB4</v>
      </c>
      <c r="I181" s="61">
        <v>0.5</v>
      </c>
      <c r="J181" s="61" t="s">
        <v>106</v>
      </c>
    </row>
    <row r="182" spans="1:10" s="309" customFormat="1" ht="27" customHeight="1">
      <c r="A182" s="308">
        <f t="shared" ref="A182:A197" si="12">A181+1</f>
        <v>180</v>
      </c>
      <c r="B182" s="76" t="s">
        <v>1995</v>
      </c>
      <c r="C182" s="61">
        <v>8</v>
      </c>
      <c r="D182" s="306">
        <v>8</v>
      </c>
      <c r="E182" s="61">
        <v>1</v>
      </c>
      <c r="F182" s="61">
        <v>200</v>
      </c>
      <c r="G182" s="76" t="s">
        <v>1996</v>
      </c>
      <c r="H182" s="64" t="str">
        <f t="shared" si="11"/>
        <v>0FB5</v>
      </c>
      <c r="I182" s="61">
        <v>0.5</v>
      </c>
      <c r="J182" s="61" t="s">
        <v>106</v>
      </c>
    </row>
    <row r="183" spans="1:10" s="309" customFormat="1" ht="27" customHeight="1">
      <c r="A183" s="308">
        <f t="shared" si="12"/>
        <v>181</v>
      </c>
      <c r="B183" s="76" t="s">
        <v>1997</v>
      </c>
      <c r="C183" s="61">
        <v>12</v>
      </c>
      <c r="D183" s="306">
        <v>12</v>
      </c>
      <c r="E183" s="61">
        <v>1</v>
      </c>
      <c r="F183" s="61">
        <v>200</v>
      </c>
      <c r="G183" s="76" t="s">
        <v>1998</v>
      </c>
      <c r="H183" s="64" t="str">
        <f t="shared" si="11"/>
        <v>0FB6</v>
      </c>
      <c r="I183" s="61">
        <v>0.5</v>
      </c>
      <c r="J183" s="61" t="s">
        <v>106</v>
      </c>
    </row>
    <row r="184" spans="1:10" s="309" customFormat="1" ht="27" customHeight="1">
      <c r="A184" s="308">
        <f t="shared" si="12"/>
        <v>182</v>
      </c>
      <c r="B184" s="76" t="s">
        <v>1999</v>
      </c>
      <c r="C184" s="61">
        <v>16</v>
      </c>
      <c r="D184" s="306">
        <v>16</v>
      </c>
      <c r="E184" s="61">
        <v>1</v>
      </c>
      <c r="F184" s="61">
        <v>200</v>
      </c>
      <c r="G184" s="76" t="s">
        <v>2000</v>
      </c>
      <c r="H184" s="64" t="str">
        <f t="shared" si="11"/>
        <v>0FB7</v>
      </c>
      <c r="I184" s="61">
        <v>0.5</v>
      </c>
      <c r="J184" s="61" t="s">
        <v>106</v>
      </c>
    </row>
    <row r="185" spans="1:10" s="309" customFormat="1" ht="27" customHeight="1">
      <c r="A185" s="308">
        <f t="shared" si="12"/>
        <v>183</v>
      </c>
      <c r="B185" s="76" t="s">
        <v>2001</v>
      </c>
      <c r="C185" s="61">
        <v>26</v>
      </c>
      <c r="D185" s="306">
        <v>26</v>
      </c>
      <c r="E185" s="61">
        <v>1</v>
      </c>
      <c r="F185" s="61">
        <v>200</v>
      </c>
      <c r="G185" s="76" t="s">
        <v>2002</v>
      </c>
      <c r="H185" s="64" t="str">
        <f t="shared" si="11"/>
        <v>0FB8</v>
      </c>
      <c r="I185" s="61">
        <v>0.5</v>
      </c>
      <c r="J185" s="61" t="s">
        <v>106</v>
      </c>
    </row>
    <row r="186" spans="1:10" s="309" customFormat="1" ht="27" customHeight="1">
      <c r="A186" s="308">
        <f t="shared" si="12"/>
        <v>184</v>
      </c>
      <c r="B186" s="76" t="s">
        <v>2003</v>
      </c>
      <c r="C186" s="61">
        <v>8</v>
      </c>
      <c r="D186" s="306">
        <v>8</v>
      </c>
      <c r="E186" s="61">
        <v>1</v>
      </c>
      <c r="F186" s="61">
        <v>200</v>
      </c>
      <c r="G186" s="76" t="s">
        <v>2004</v>
      </c>
      <c r="H186" s="64" t="str">
        <f t="shared" si="11"/>
        <v>0FB9</v>
      </c>
      <c r="I186" s="61">
        <v>0.5</v>
      </c>
      <c r="J186" s="61" t="s">
        <v>139</v>
      </c>
    </row>
    <row r="187" spans="1:10" s="309" customFormat="1" ht="27" customHeight="1">
      <c r="A187" s="308">
        <f t="shared" si="12"/>
        <v>185</v>
      </c>
      <c r="B187" s="76" t="s">
        <v>2005</v>
      </c>
      <c r="C187" s="61">
        <v>16</v>
      </c>
      <c r="D187" s="306">
        <v>16</v>
      </c>
      <c r="E187" s="61">
        <v>1</v>
      </c>
      <c r="F187" s="61">
        <v>200</v>
      </c>
      <c r="G187" s="76" t="s">
        <v>2006</v>
      </c>
      <c r="H187" s="64" t="str">
        <f t="shared" si="11"/>
        <v>0FBA</v>
      </c>
      <c r="I187" s="61">
        <v>0.5</v>
      </c>
      <c r="J187" s="61" t="s">
        <v>139</v>
      </c>
    </row>
    <row r="188" spans="1:10" s="309" customFormat="1" ht="27" customHeight="1">
      <c r="A188" s="308">
        <f t="shared" si="12"/>
        <v>186</v>
      </c>
      <c r="B188" s="180" t="s">
        <v>1961</v>
      </c>
      <c r="C188" s="163">
        <v>15</v>
      </c>
      <c r="D188" s="305">
        <v>15</v>
      </c>
      <c r="E188" s="163">
        <v>0</v>
      </c>
      <c r="F188" s="163">
        <v>100</v>
      </c>
      <c r="G188" s="165" t="s">
        <v>1962</v>
      </c>
      <c r="H188" s="64" t="str">
        <f t="shared" si="11"/>
        <v>0FBB</v>
      </c>
      <c r="I188" s="163">
        <v>1</v>
      </c>
      <c r="J188" s="163" t="s">
        <v>106</v>
      </c>
    </row>
    <row r="189" spans="1:10" s="309" customFormat="1" ht="27" customHeight="1">
      <c r="A189" s="308">
        <f t="shared" si="12"/>
        <v>187</v>
      </c>
      <c r="B189" s="180" t="s">
        <v>1963</v>
      </c>
      <c r="C189" s="163">
        <v>96</v>
      </c>
      <c r="D189" s="166">
        <v>96</v>
      </c>
      <c r="E189" s="163">
        <v>10</v>
      </c>
      <c r="F189" s="163">
        <v>250</v>
      </c>
      <c r="G189" s="165" t="s">
        <v>1964</v>
      </c>
      <c r="H189" s="164" t="str">
        <f t="shared" si="11"/>
        <v>0FBC</v>
      </c>
      <c r="I189" s="163">
        <v>0.01</v>
      </c>
      <c r="J189" s="163" t="s">
        <v>108</v>
      </c>
    </row>
    <row r="190" spans="1:10" s="309" customFormat="1" ht="27" customHeight="1">
      <c r="A190" s="308">
        <f t="shared" si="12"/>
        <v>188</v>
      </c>
      <c r="B190" s="180" t="s">
        <v>2019</v>
      </c>
      <c r="C190" s="163">
        <v>250</v>
      </c>
      <c r="D190" s="305">
        <v>250</v>
      </c>
      <c r="E190" s="163">
        <v>5</v>
      </c>
      <c r="F190" s="163">
        <v>254</v>
      </c>
      <c r="G190" s="165" t="s">
        <v>2060</v>
      </c>
      <c r="H190" s="64" t="str">
        <f t="shared" si="11"/>
        <v>0FBD</v>
      </c>
      <c r="I190" s="163">
        <v>0.1</v>
      </c>
      <c r="J190" s="163" t="s">
        <v>109</v>
      </c>
    </row>
    <row r="191" spans="1:10" s="309" customFormat="1" ht="27" customHeight="1">
      <c r="A191" s="308">
        <f t="shared" si="12"/>
        <v>189</v>
      </c>
      <c r="B191" s="76" t="s">
        <v>2007</v>
      </c>
      <c r="C191" s="61">
        <v>10</v>
      </c>
      <c r="D191" s="306">
        <v>10</v>
      </c>
      <c r="E191" s="61">
        <v>1</v>
      </c>
      <c r="F191" s="61">
        <v>40</v>
      </c>
      <c r="G191" s="76" t="s">
        <v>2008</v>
      </c>
      <c r="H191" s="64" t="str">
        <f t="shared" si="11"/>
        <v>0FBE</v>
      </c>
      <c r="I191" s="61">
        <v>1</v>
      </c>
      <c r="J191" s="61" t="s">
        <v>108</v>
      </c>
    </row>
    <row r="192" spans="1:10" s="309" customFormat="1" ht="27" customHeight="1">
      <c r="A192" s="308">
        <f t="shared" si="12"/>
        <v>190</v>
      </c>
      <c r="B192" s="76" t="s">
        <v>2017</v>
      </c>
      <c r="C192" s="61">
        <v>20</v>
      </c>
      <c r="D192" s="306">
        <v>20</v>
      </c>
      <c r="E192" s="61">
        <v>0</v>
      </c>
      <c r="F192" s="61">
        <v>100</v>
      </c>
      <c r="G192" s="76" t="s">
        <v>2018</v>
      </c>
      <c r="H192" s="64" t="str">
        <f t="shared" si="11"/>
        <v>0FBF</v>
      </c>
      <c r="I192" s="61">
        <v>10</v>
      </c>
      <c r="J192" s="61" t="s">
        <v>107</v>
      </c>
    </row>
    <row r="193" spans="1:10" s="309" customFormat="1" ht="27" customHeight="1">
      <c r="A193" s="308">
        <f t="shared" si="12"/>
        <v>191</v>
      </c>
      <c r="B193" s="76" t="s">
        <v>2071</v>
      </c>
      <c r="C193" s="59">
        <v>10</v>
      </c>
      <c r="D193" s="59">
        <v>10</v>
      </c>
      <c r="E193" s="59">
        <v>0</v>
      </c>
      <c r="F193" s="59">
        <v>180</v>
      </c>
      <c r="G193" s="76" t="s">
        <v>2075</v>
      </c>
      <c r="H193" s="64" t="str">
        <f t="shared" si="11"/>
        <v>0FC0</v>
      </c>
      <c r="I193" s="59">
        <v>0.5</v>
      </c>
      <c r="J193" s="61" t="s">
        <v>1074</v>
      </c>
    </row>
    <row r="194" spans="1:10" s="309" customFormat="1" ht="27" customHeight="1">
      <c r="A194" s="308">
        <f t="shared" si="12"/>
        <v>192</v>
      </c>
      <c r="B194" s="76" t="s">
        <v>2072</v>
      </c>
      <c r="C194" s="59">
        <v>160</v>
      </c>
      <c r="D194" s="300">
        <v>160</v>
      </c>
      <c r="E194" s="59">
        <v>20</v>
      </c>
      <c r="F194" s="59">
        <v>200</v>
      </c>
      <c r="G194" s="76" t="s">
        <v>2076</v>
      </c>
      <c r="H194" s="64" t="str">
        <f t="shared" si="11"/>
        <v>0FC1</v>
      </c>
      <c r="I194" s="59">
        <v>0.5</v>
      </c>
      <c r="J194" s="61" t="s">
        <v>1074</v>
      </c>
    </row>
    <row r="195" spans="1:10" s="309" customFormat="1" ht="27" customHeight="1">
      <c r="A195" s="308">
        <f t="shared" si="12"/>
        <v>193</v>
      </c>
      <c r="B195" s="76" t="s">
        <v>2073</v>
      </c>
      <c r="C195" s="59">
        <v>70</v>
      </c>
      <c r="D195" s="300">
        <v>70</v>
      </c>
      <c r="E195" s="59">
        <v>0</v>
      </c>
      <c r="F195" s="59">
        <v>180</v>
      </c>
      <c r="G195" s="76" t="s">
        <v>2077</v>
      </c>
      <c r="H195" s="64" t="str">
        <f t="shared" si="11"/>
        <v>0FC2</v>
      </c>
      <c r="I195" s="59">
        <v>0.5</v>
      </c>
      <c r="J195" s="61" t="s">
        <v>1074</v>
      </c>
    </row>
    <row r="196" spans="1:10" s="309" customFormat="1" ht="27" customHeight="1">
      <c r="A196" s="308">
        <f t="shared" si="12"/>
        <v>194</v>
      </c>
      <c r="B196" s="76" t="s">
        <v>2074</v>
      </c>
      <c r="C196" s="59">
        <v>90</v>
      </c>
      <c r="D196" s="300">
        <v>90</v>
      </c>
      <c r="E196" s="59">
        <v>20</v>
      </c>
      <c r="F196" s="59">
        <v>200</v>
      </c>
      <c r="G196" s="76" t="s">
        <v>2078</v>
      </c>
      <c r="H196" s="64" t="str">
        <f t="shared" si="11"/>
        <v>0FC3</v>
      </c>
      <c r="I196" s="59">
        <v>0.5</v>
      </c>
      <c r="J196" s="61" t="s">
        <v>1074</v>
      </c>
    </row>
    <row r="197" spans="1:10" s="309" customFormat="1" ht="27" customHeight="1">
      <c r="A197" s="308">
        <f t="shared" si="12"/>
        <v>195</v>
      </c>
      <c r="B197" s="76" t="s">
        <v>2079</v>
      </c>
      <c r="C197" s="61">
        <v>6</v>
      </c>
      <c r="D197" s="306">
        <v>6</v>
      </c>
      <c r="E197" s="61">
        <v>0</v>
      </c>
      <c r="F197" s="61">
        <v>254</v>
      </c>
      <c r="G197" s="76" t="s">
        <v>2080</v>
      </c>
      <c r="H197" s="64" t="str">
        <f t="shared" si="11"/>
        <v>0FC4</v>
      </c>
      <c r="I197" s="61">
        <v>5</v>
      </c>
      <c r="J197" s="61" t="s">
        <v>107</v>
      </c>
    </row>
    <row r="198" spans="1:10" s="309" customFormat="1" ht="27" customHeight="1">
      <c r="A198" s="308">
        <f t="shared" ref="A198:A205" si="13">A197+1</f>
        <v>196</v>
      </c>
      <c r="B198" s="76" t="s">
        <v>2081</v>
      </c>
      <c r="C198" s="61">
        <v>20</v>
      </c>
      <c r="D198" s="306">
        <v>20</v>
      </c>
      <c r="E198" s="61">
        <v>5</v>
      </c>
      <c r="F198" s="61">
        <v>254</v>
      </c>
      <c r="G198" s="76" t="s">
        <v>2082</v>
      </c>
      <c r="H198" s="64" t="str">
        <f t="shared" si="11"/>
        <v>0FC5</v>
      </c>
      <c r="I198" s="61">
        <v>5</v>
      </c>
      <c r="J198" s="61" t="s">
        <v>107</v>
      </c>
    </row>
    <row r="199" spans="1:10" s="309" customFormat="1" ht="27" customHeight="1">
      <c r="A199" s="308">
        <f t="shared" si="13"/>
        <v>197</v>
      </c>
      <c r="B199" s="76" t="s">
        <v>2144</v>
      </c>
      <c r="C199" s="61">
        <v>2</v>
      </c>
      <c r="D199" s="306">
        <v>2</v>
      </c>
      <c r="E199" s="61">
        <v>1</v>
      </c>
      <c r="F199" s="61">
        <v>254</v>
      </c>
      <c r="G199" s="76" t="s">
        <v>2145</v>
      </c>
      <c r="H199" s="64" t="str">
        <f t="shared" si="11"/>
        <v>0FC6</v>
      </c>
      <c r="I199" s="61">
        <v>10</v>
      </c>
      <c r="J199" s="61" t="s">
        <v>107</v>
      </c>
    </row>
    <row r="200" spans="1:10" s="309" customFormat="1" ht="27" customHeight="1">
      <c r="A200" s="308">
        <f t="shared" si="13"/>
        <v>198</v>
      </c>
      <c r="B200" s="76" t="s">
        <v>2146</v>
      </c>
      <c r="C200" s="61">
        <v>8</v>
      </c>
      <c r="D200" s="306">
        <v>8</v>
      </c>
      <c r="E200" s="61">
        <v>1</v>
      </c>
      <c r="F200" s="61">
        <v>254</v>
      </c>
      <c r="G200" s="76" t="s">
        <v>2147</v>
      </c>
      <c r="H200" s="64" t="str">
        <f t="shared" si="11"/>
        <v>0FC7</v>
      </c>
      <c r="I200" s="61">
        <v>10</v>
      </c>
      <c r="J200" s="61" t="s">
        <v>107</v>
      </c>
    </row>
    <row r="201" spans="1:10" s="309" customFormat="1" ht="27" customHeight="1">
      <c r="A201" s="308">
        <f t="shared" si="13"/>
        <v>199</v>
      </c>
      <c r="B201" s="76" t="s">
        <v>2148</v>
      </c>
      <c r="C201" s="61">
        <v>1</v>
      </c>
      <c r="D201" s="306">
        <v>1</v>
      </c>
      <c r="E201" s="61">
        <v>1</v>
      </c>
      <c r="F201" s="61">
        <v>255</v>
      </c>
      <c r="G201" s="76" t="s">
        <v>2149</v>
      </c>
      <c r="H201" s="64" t="str">
        <f t="shared" si="11"/>
        <v>0FC8</v>
      </c>
      <c r="I201" s="61">
        <v>1</v>
      </c>
      <c r="J201" s="61" t="s">
        <v>108</v>
      </c>
    </row>
    <row r="202" spans="1:10" s="309" customFormat="1" ht="27" customHeight="1">
      <c r="A202" s="308">
        <f t="shared" si="13"/>
        <v>200</v>
      </c>
      <c r="B202" s="76" t="s">
        <v>2181</v>
      </c>
      <c r="C202" s="61">
        <v>0</v>
      </c>
      <c r="D202" s="306">
        <v>0</v>
      </c>
      <c r="E202" s="61">
        <v>0</v>
      </c>
      <c r="F202" s="61">
        <v>2</v>
      </c>
      <c r="G202" s="76" t="s">
        <v>2182</v>
      </c>
      <c r="H202" s="64" t="str">
        <f t="shared" si="11"/>
        <v>0FC9</v>
      </c>
      <c r="I202" s="61">
        <v>4</v>
      </c>
      <c r="J202" s="61" t="s">
        <v>108</v>
      </c>
    </row>
    <row r="203" spans="1:10" s="309" customFormat="1" ht="27" customHeight="1">
      <c r="A203" s="308">
        <f t="shared" si="13"/>
        <v>201</v>
      </c>
      <c r="B203" s="76" t="s">
        <v>2183</v>
      </c>
      <c r="C203" s="61">
        <v>125</v>
      </c>
      <c r="D203" s="306">
        <v>125</v>
      </c>
      <c r="E203" s="61">
        <v>0</v>
      </c>
      <c r="F203" s="61">
        <v>254</v>
      </c>
      <c r="G203" s="76" t="s">
        <v>2184</v>
      </c>
      <c r="H203" s="64" t="str">
        <f t="shared" si="11"/>
        <v>0FCA</v>
      </c>
      <c r="I203" s="61">
        <v>4</v>
      </c>
      <c r="J203" s="61" t="s">
        <v>108</v>
      </c>
    </row>
    <row r="204" spans="1:10" s="309" customFormat="1" ht="27" customHeight="1">
      <c r="A204" s="308">
        <f t="shared" si="13"/>
        <v>202</v>
      </c>
      <c r="B204" s="76" t="s">
        <v>2185</v>
      </c>
      <c r="C204" s="61">
        <v>5</v>
      </c>
      <c r="D204" s="306">
        <v>5</v>
      </c>
      <c r="E204" s="61">
        <v>0</v>
      </c>
      <c r="F204" s="61">
        <v>254</v>
      </c>
      <c r="G204" s="76" t="s">
        <v>2186</v>
      </c>
      <c r="H204" s="64" t="str">
        <f t="shared" si="11"/>
        <v>0FCB</v>
      </c>
      <c r="I204" s="61">
        <v>20</v>
      </c>
      <c r="J204" s="61" t="s">
        <v>108</v>
      </c>
    </row>
    <row r="205" spans="1:10" s="309" customFormat="1" ht="27" customHeight="1">
      <c r="A205" s="308">
        <f t="shared" si="13"/>
        <v>203</v>
      </c>
      <c r="B205" s="76" t="s">
        <v>2187</v>
      </c>
      <c r="C205" s="61">
        <v>12</v>
      </c>
      <c r="D205" s="306">
        <v>12</v>
      </c>
      <c r="E205" s="61">
        <v>0</v>
      </c>
      <c r="F205" s="61">
        <v>20</v>
      </c>
      <c r="G205" s="76" t="s">
        <v>2188</v>
      </c>
      <c r="H205" s="64" t="str">
        <f t="shared" si="11"/>
        <v>0FCC</v>
      </c>
      <c r="I205" s="61">
        <v>1</v>
      </c>
      <c r="J205" s="61" t="s">
        <v>210</v>
      </c>
    </row>
    <row r="206" spans="1:10" s="309" customFormat="1" ht="27" customHeight="1">
      <c r="A206" s="308">
        <f t="shared" ref="A206:A213" si="14">A205+1</f>
        <v>204</v>
      </c>
      <c r="B206" s="76" t="s">
        <v>2991</v>
      </c>
      <c r="C206" s="61">
        <v>13</v>
      </c>
      <c r="D206" s="306">
        <v>13</v>
      </c>
      <c r="E206" s="61">
        <v>0</v>
      </c>
      <c r="F206" s="61">
        <v>254</v>
      </c>
      <c r="G206" s="76" t="s">
        <v>2991</v>
      </c>
      <c r="H206" s="64" t="str">
        <f t="shared" si="11"/>
        <v>0FCD</v>
      </c>
      <c r="I206" s="61">
        <v>20</v>
      </c>
      <c r="J206" s="61" t="s">
        <v>107</v>
      </c>
    </row>
    <row r="207" spans="1:10" s="309" customFormat="1" ht="27" customHeight="1">
      <c r="A207" s="308">
        <f t="shared" si="14"/>
        <v>205</v>
      </c>
      <c r="B207" s="76" t="s">
        <v>2439</v>
      </c>
      <c r="C207" s="61">
        <v>14</v>
      </c>
      <c r="D207" s="306">
        <v>14</v>
      </c>
      <c r="E207" s="61">
        <v>0</v>
      </c>
      <c r="F207" s="61">
        <v>254</v>
      </c>
      <c r="G207" s="76" t="s">
        <v>2440</v>
      </c>
      <c r="H207" s="64" t="str">
        <f t="shared" si="11"/>
        <v>0FCE</v>
      </c>
      <c r="I207" s="61">
        <v>256</v>
      </c>
      <c r="J207" s="61" t="s">
        <v>108</v>
      </c>
    </row>
    <row r="208" spans="1:10" s="309" customFormat="1" ht="27" customHeight="1">
      <c r="A208" s="308">
        <f t="shared" si="14"/>
        <v>206</v>
      </c>
      <c r="B208" s="76" t="s">
        <v>2441</v>
      </c>
      <c r="C208" s="61">
        <v>67</v>
      </c>
      <c r="D208" s="306">
        <v>67</v>
      </c>
      <c r="E208" s="61">
        <v>0</v>
      </c>
      <c r="F208" s="61">
        <v>254</v>
      </c>
      <c r="G208" s="76" t="s">
        <v>2440</v>
      </c>
      <c r="H208" s="64" t="str">
        <f t="shared" si="11"/>
        <v>0FCF</v>
      </c>
      <c r="I208" s="61">
        <v>256</v>
      </c>
      <c r="J208" s="61" t="s">
        <v>108</v>
      </c>
    </row>
    <row r="209" spans="1:10" s="309" customFormat="1" ht="27" customHeight="1">
      <c r="A209" s="308">
        <f t="shared" si="14"/>
        <v>207</v>
      </c>
      <c r="B209" s="76" t="s">
        <v>2442</v>
      </c>
      <c r="C209" s="61">
        <v>10</v>
      </c>
      <c r="D209" s="306">
        <v>10</v>
      </c>
      <c r="E209" s="61">
        <v>0</v>
      </c>
      <c r="F209" s="61">
        <v>254</v>
      </c>
      <c r="G209" s="76" t="s">
        <v>2443</v>
      </c>
      <c r="H209" s="64" t="str">
        <f t="shared" si="11"/>
        <v>0FD0</v>
      </c>
      <c r="I209" s="61">
        <v>0.5</v>
      </c>
      <c r="J209" s="61" t="s">
        <v>108</v>
      </c>
    </row>
    <row r="210" spans="1:10" s="309" customFormat="1" ht="27" customHeight="1">
      <c r="A210" s="308">
        <f t="shared" si="14"/>
        <v>208</v>
      </c>
      <c r="B210" s="76" t="s">
        <v>2452</v>
      </c>
      <c r="C210" s="61">
        <v>25</v>
      </c>
      <c r="D210" s="306">
        <v>25</v>
      </c>
      <c r="E210" s="61">
        <v>0</v>
      </c>
      <c r="F210" s="61">
        <v>255</v>
      </c>
      <c r="G210" s="76" t="s">
        <v>2453</v>
      </c>
      <c r="H210" s="64" t="str">
        <f t="shared" si="11"/>
        <v>0FD1</v>
      </c>
      <c r="I210" s="61">
        <v>10</v>
      </c>
      <c r="J210" s="61" t="s">
        <v>107</v>
      </c>
    </row>
    <row r="211" spans="1:10" s="309" customFormat="1" ht="27" customHeight="1">
      <c r="A211" s="308">
        <f t="shared" si="14"/>
        <v>209</v>
      </c>
      <c r="B211" s="76" t="s">
        <v>2538</v>
      </c>
      <c r="C211" s="61">
        <v>12</v>
      </c>
      <c r="D211" s="129">
        <v>12</v>
      </c>
      <c r="E211" s="61">
        <v>0</v>
      </c>
      <c r="F211" s="61">
        <v>254</v>
      </c>
      <c r="G211" s="76" t="s">
        <v>2539</v>
      </c>
      <c r="H211" s="130" t="str">
        <f t="shared" si="11"/>
        <v>0FD2</v>
      </c>
      <c r="I211" s="61">
        <v>0.5</v>
      </c>
      <c r="J211" s="61" t="s">
        <v>106</v>
      </c>
    </row>
    <row r="212" spans="1:10" s="309" customFormat="1" ht="27" customHeight="1">
      <c r="A212" s="308">
        <f t="shared" si="14"/>
        <v>210</v>
      </c>
      <c r="B212" s="316" t="s">
        <v>2584</v>
      </c>
      <c r="C212" s="61">
        <v>40</v>
      </c>
      <c r="D212" s="306">
        <v>40</v>
      </c>
      <c r="E212" s="61">
        <v>0</v>
      </c>
      <c r="F212" s="61">
        <v>254</v>
      </c>
      <c r="G212" s="76" t="s">
        <v>2585</v>
      </c>
      <c r="H212" s="64" t="str">
        <f t="shared" si="11"/>
        <v>0FD3</v>
      </c>
      <c r="I212" s="61">
        <v>0.25</v>
      </c>
      <c r="J212" s="61" t="s">
        <v>210</v>
      </c>
    </row>
    <row r="213" spans="1:10" s="309" customFormat="1" ht="27" customHeight="1">
      <c r="A213" s="308">
        <f t="shared" si="14"/>
        <v>211</v>
      </c>
      <c r="B213" s="328" t="s">
        <v>3029</v>
      </c>
      <c r="C213" s="59">
        <v>7</v>
      </c>
      <c r="D213" s="60">
        <v>7</v>
      </c>
      <c r="E213" s="59">
        <v>0</v>
      </c>
      <c r="F213" s="59">
        <v>50</v>
      </c>
      <c r="G213" s="76" t="s">
        <v>3029</v>
      </c>
      <c r="H213" s="64" t="str">
        <f t="shared" ref="H213:H229" si="15">DEC2HEX((HEX2DEC(H212)+1),4)</f>
        <v>0FD4</v>
      </c>
      <c r="I213" s="59">
        <v>0.1</v>
      </c>
      <c r="J213" s="61" t="s">
        <v>106</v>
      </c>
    </row>
    <row r="214" spans="1:10" s="25" customFormat="1" ht="27" customHeight="1">
      <c r="A214" s="65">
        <f t="shared" ref="A214:A229" si="16">A213+1</f>
        <v>212</v>
      </c>
      <c r="B214" s="328" t="s">
        <v>3030</v>
      </c>
      <c r="C214" s="59">
        <v>10</v>
      </c>
      <c r="D214" s="60">
        <v>10</v>
      </c>
      <c r="E214" s="59">
        <v>0</v>
      </c>
      <c r="F214" s="59">
        <v>50</v>
      </c>
      <c r="G214" s="76" t="s">
        <v>3030</v>
      </c>
      <c r="H214" s="64" t="str">
        <f t="shared" si="15"/>
        <v>0FD5</v>
      </c>
      <c r="I214" s="59">
        <v>0.1</v>
      </c>
      <c r="J214" s="61" t="s">
        <v>106</v>
      </c>
    </row>
    <row r="215" spans="1:10" s="25" customFormat="1" ht="27" customHeight="1">
      <c r="A215" s="65">
        <f t="shared" si="16"/>
        <v>213</v>
      </c>
      <c r="B215" s="328" t="s">
        <v>3095</v>
      </c>
      <c r="C215" s="59">
        <v>20</v>
      </c>
      <c r="D215" s="59">
        <v>20</v>
      </c>
      <c r="E215" s="59">
        <v>1</v>
      </c>
      <c r="F215" s="59">
        <v>250</v>
      </c>
      <c r="G215" s="76" t="s">
        <v>3096</v>
      </c>
      <c r="H215" s="64" t="str">
        <f t="shared" si="15"/>
        <v>0FD6</v>
      </c>
      <c r="I215" s="59">
        <v>5</v>
      </c>
      <c r="J215" s="61" t="s">
        <v>107</v>
      </c>
    </row>
    <row r="216" spans="1:10" s="25" customFormat="1" ht="27" customHeight="1">
      <c r="A216" s="65">
        <f t="shared" si="16"/>
        <v>214</v>
      </c>
      <c r="B216" s="331" t="str">
        <f t="shared" ref="B216:B218" si="17">"reserved_byte" &amp;TEXT(A216,0)</f>
        <v>reserved_byte214</v>
      </c>
      <c r="C216" s="329">
        <v>255</v>
      </c>
      <c r="D216" s="330">
        <v>255</v>
      </c>
      <c r="E216" s="59">
        <v>0</v>
      </c>
      <c r="F216" s="59">
        <v>254</v>
      </c>
      <c r="G216" s="76" t="s">
        <v>59</v>
      </c>
      <c r="H216" s="64" t="str">
        <f t="shared" si="15"/>
        <v>0FD7</v>
      </c>
      <c r="I216" s="59">
        <v>1</v>
      </c>
      <c r="J216" s="61" t="s">
        <v>108</v>
      </c>
    </row>
    <row r="217" spans="1:10" s="25" customFormat="1" ht="27" customHeight="1">
      <c r="A217" s="65">
        <f t="shared" si="16"/>
        <v>215</v>
      </c>
      <c r="B217" s="331" t="str">
        <f t="shared" si="17"/>
        <v>reserved_byte215</v>
      </c>
      <c r="C217" s="329">
        <v>255</v>
      </c>
      <c r="D217" s="330">
        <v>255</v>
      </c>
      <c r="E217" s="59">
        <v>0</v>
      </c>
      <c r="F217" s="59">
        <v>254</v>
      </c>
      <c r="G217" s="76" t="s">
        <v>59</v>
      </c>
      <c r="H217" s="64" t="str">
        <f t="shared" si="15"/>
        <v>0FD8</v>
      </c>
      <c r="I217" s="59">
        <v>1</v>
      </c>
      <c r="J217" s="61" t="s">
        <v>108</v>
      </c>
    </row>
    <row r="218" spans="1:10" s="25" customFormat="1" ht="27" customHeight="1">
      <c r="A218" s="65">
        <f t="shared" si="16"/>
        <v>216</v>
      </c>
      <c r="B218" s="331" t="str">
        <f t="shared" si="17"/>
        <v>reserved_byte216</v>
      </c>
      <c r="C218" s="329">
        <v>255</v>
      </c>
      <c r="D218" s="330">
        <v>255</v>
      </c>
      <c r="E218" s="59">
        <v>0</v>
      </c>
      <c r="F218" s="59">
        <v>254</v>
      </c>
      <c r="G218" s="76" t="s">
        <v>59</v>
      </c>
      <c r="H218" s="64" t="str">
        <f t="shared" si="15"/>
        <v>0FD9</v>
      </c>
      <c r="I218" s="59">
        <v>1</v>
      </c>
      <c r="J218" s="61" t="s">
        <v>108</v>
      </c>
    </row>
    <row r="219" spans="1:10" s="25" customFormat="1" ht="27" customHeight="1">
      <c r="A219" s="65">
        <f t="shared" si="16"/>
        <v>217</v>
      </c>
      <c r="B219" s="328" t="s">
        <v>2586</v>
      </c>
      <c r="C219" s="59">
        <v>150</v>
      </c>
      <c r="D219" s="60">
        <v>150</v>
      </c>
      <c r="E219" s="59">
        <v>0</v>
      </c>
      <c r="F219" s="59">
        <v>254</v>
      </c>
      <c r="G219" s="76" t="s">
        <v>2586</v>
      </c>
      <c r="H219" s="64" t="str">
        <f t="shared" si="15"/>
        <v>0FDA</v>
      </c>
      <c r="I219" s="59">
        <v>10</v>
      </c>
      <c r="J219" s="61" t="s">
        <v>107</v>
      </c>
    </row>
    <row r="220" spans="1:10" s="25" customFormat="1" ht="27" customHeight="1">
      <c r="A220" s="65">
        <f t="shared" si="16"/>
        <v>218</v>
      </c>
      <c r="B220" s="331" t="str">
        <f t="shared" ref="B220:B221" si="18">"reserved_byte" &amp;TEXT(A220,0)</f>
        <v>reserved_byte218</v>
      </c>
      <c r="C220" s="329">
        <v>255</v>
      </c>
      <c r="D220" s="330">
        <v>255</v>
      </c>
      <c r="E220" s="59">
        <v>0</v>
      </c>
      <c r="F220" s="59">
        <v>255</v>
      </c>
      <c r="G220" s="76" t="s">
        <v>59</v>
      </c>
      <c r="H220" s="64" t="str">
        <f t="shared" si="15"/>
        <v>0FDB</v>
      </c>
      <c r="I220" s="59">
        <v>1</v>
      </c>
      <c r="J220" s="61" t="s">
        <v>108</v>
      </c>
    </row>
    <row r="221" spans="1:10" s="25" customFormat="1" ht="27" customHeight="1">
      <c r="A221" s="65">
        <f t="shared" si="16"/>
        <v>219</v>
      </c>
      <c r="B221" s="331" t="str">
        <f t="shared" si="18"/>
        <v>reserved_byte219</v>
      </c>
      <c r="C221" s="329">
        <v>255</v>
      </c>
      <c r="D221" s="330">
        <v>255</v>
      </c>
      <c r="E221" s="59">
        <v>0</v>
      </c>
      <c r="F221" s="59">
        <v>255</v>
      </c>
      <c r="G221" s="76" t="s">
        <v>59</v>
      </c>
      <c r="H221" s="64" t="str">
        <f t="shared" si="15"/>
        <v>0FDC</v>
      </c>
      <c r="I221" s="59">
        <v>1</v>
      </c>
      <c r="J221" s="61" t="s">
        <v>108</v>
      </c>
    </row>
    <row r="222" spans="1:10" s="25" customFormat="1" ht="27" customHeight="1">
      <c r="A222" s="65">
        <f t="shared" si="16"/>
        <v>220</v>
      </c>
      <c r="B222" s="328" t="s">
        <v>2972</v>
      </c>
      <c r="C222" s="59">
        <v>2</v>
      </c>
      <c r="D222" s="60">
        <v>2</v>
      </c>
      <c r="E222" s="59">
        <v>0</v>
      </c>
      <c r="F222" s="59">
        <v>145</v>
      </c>
      <c r="G222" s="76" t="s">
        <v>2973</v>
      </c>
      <c r="H222" s="64" t="str">
        <f t="shared" si="15"/>
        <v>0FDD</v>
      </c>
      <c r="I222" s="59">
        <v>50</v>
      </c>
      <c r="J222" s="61" t="s">
        <v>107</v>
      </c>
    </row>
    <row r="223" spans="1:10" s="25" customFormat="1" ht="27" customHeight="1">
      <c r="A223" s="65">
        <f t="shared" si="16"/>
        <v>221</v>
      </c>
      <c r="B223" s="328" t="s">
        <v>2975</v>
      </c>
      <c r="C223" s="59">
        <v>30</v>
      </c>
      <c r="D223" s="60">
        <v>30</v>
      </c>
      <c r="E223" s="59">
        <v>0</v>
      </c>
      <c r="F223" s="59">
        <v>200</v>
      </c>
      <c r="G223" s="76" t="s">
        <v>2977</v>
      </c>
      <c r="H223" s="64" t="str">
        <f t="shared" si="15"/>
        <v>0FDE</v>
      </c>
      <c r="I223" s="59">
        <v>5</v>
      </c>
      <c r="J223" s="61" t="s">
        <v>107</v>
      </c>
    </row>
    <row r="224" spans="1:10" s="25" customFormat="1" ht="27" customHeight="1">
      <c r="A224" s="65">
        <f t="shared" si="16"/>
        <v>222</v>
      </c>
      <c r="B224" s="328" t="s">
        <v>2976</v>
      </c>
      <c r="C224" s="59">
        <v>30</v>
      </c>
      <c r="D224" s="60">
        <v>30</v>
      </c>
      <c r="E224" s="59">
        <v>0</v>
      </c>
      <c r="F224" s="59">
        <v>200</v>
      </c>
      <c r="G224" s="76" t="s">
        <v>2978</v>
      </c>
      <c r="H224" s="64" t="str">
        <f t="shared" si="15"/>
        <v>0FDF</v>
      </c>
      <c r="I224" s="59">
        <v>5</v>
      </c>
      <c r="J224" s="61" t="s">
        <v>107</v>
      </c>
    </row>
    <row r="225" spans="1:10" s="25" customFormat="1" ht="27" customHeight="1">
      <c r="A225" s="65">
        <f t="shared" si="16"/>
        <v>223</v>
      </c>
      <c r="B225" s="328" t="s">
        <v>2981</v>
      </c>
      <c r="C225" s="59">
        <v>3</v>
      </c>
      <c r="D225" s="60">
        <v>3</v>
      </c>
      <c r="E225" s="59">
        <v>0</v>
      </c>
      <c r="F225" s="59">
        <v>10</v>
      </c>
      <c r="G225" s="76" t="s">
        <v>2982</v>
      </c>
      <c r="H225" s="64" t="str">
        <f t="shared" si="15"/>
        <v>0FE0</v>
      </c>
      <c r="I225" s="59">
        <v>1</v>
      </c>
      <c r="J225" s="61" t="s">
        <v>108</v>
      </c>
    </row>
    <row r="226" spans="1:10" s="25" customFormat="1" ht="27" customHeight="1">
      <c r="A226" s="65">
        <f t="shared" si="16"/>
        <v>224</v>
      </c>
      <c r="B226" s="328" t="s">
        <v>2983</v>
      </c>
      <c r="C226" s="59">
        <v>100</v>
      </c>
      <c r="D226" s="60">
        <v>100</v>
      </c>
      <c r="E226" s="59">
        <v>0</v>
      </c>
      <c r="F226" s="59">
        <v>200</v>
      </c>
      <c r="G226" s="76" t="s">
        <v>2985</v>
      </c>
      <c r="H226" s="64" t="str">
        <f t="shared" si="15"/>
        <v>0FE1</v>
      </c>
      <c r="I226" s="59">
        <v>5</v>
      </c>
      <c r="J226" s="61" t="s">
        <v>107</v>
      </c>
    </row>
    <row r="227" spans="1:10" s="25" customFormat="1" ht="27" customHeight="1">
      <c r="A227" s="65">
        <f t="shared" si="16"/>
        <v>225</v>
      </c>
      <c r="B227" s="328" t="s">
        <v>2984</v>
      </c>
      <c r="C227" s="59">
        <v>100</v>
      </c>
      <c r="D227" s="60">
        <v>100</v>
      </c>
      <c r="E227" s="59">
        <v>0</v>
      </c>
      <c r="F227" s="59">
        <v>200</v>
      </c>
      <c r="G227" s="76" t="s">
        <v>2986</v>
      </c>
      <c r="H227" s="64" t="str">
        <f t="shared" si="15"/>
        <v>0FE2</v>
      </c>
      <c r="I227" s="59">
        <v>5</v>
      </c>
      <c r="J227" s="61" t="s">
        <v>107</v>
      </c>
    </row>
    <row r="228" spans="1:10" s="25" customFormat="1" ht="27" customHeight="1">
      <c r="A228" s="65">
        <f t="shared" si="16"/>
        <v>226</v>
      </c>
      <c r="B228" s="328" t="str">
        <f t="shared" ref="B228:B229" si="19">"reserved_byte" &amp;TEXT(A228,0)</f>
        <v>reserved_byte226</v>
      </c>
      <c r="C228" s="59">
        <v>255</v>
      </c>
      <c r="D228" s="60">
        <v>255</v>
      </c>
      <c r="E228" s="59">
        <v>0</v>
      </c>
      <c r="F228" s="59">
        <v>254</v>
      </c>
      <c r="G228" s="76" t="s">
        <v>59</v>
      </c>
      <c r="H228" s="64" t="str">
        <f t="shared" si="15"/>
        <v>0FE3</v>
      </c>
      <c r="I228" s="59">
        <v>1</v>
      </c>
      <c r="J228" s="61" t="s">
        <v>108</v>
      </c>
    </row>
    <row r="229" spans="1:10" s="25" customFormat="1" ht="27" customHeight="1">
      <c r="A229" s="65">
        <f t="shared" si="16"/>
        <v>227</v>
      </c>
      <c r="B229" s="328" t="str">
        <f t="shared" si="19"/>
        <v>reserved_byte227</v>
      </c>
      <c r="C229" s="59">
        <v>255</v>
      </c>
      <c r="D229" s="60">
        <v>255</v>
      </c>
      <c r="E229" s="59">
        <v>0</v>
      </c>
      <c r="F229" s="59">
        <v>254</v>
      </c>
      <c r="G229" s="76" t="s">
        <v>59</v>
      </c>
      <c r="H229" s="64" t="str">
        <f t="shared" si="15"/>
        <v>0FE4</v>
      </c>
      <c r="I229" s="59">
        <v>1</v>
      </c>
      <c r="J229" s="61" t="s">
        <v>108</v>
      </c>
    </row>
  </sheetData>
  <dataValidations count="4">
    <dataValidation type="decimal" allowBlank="1" showInputMessage="1" showErrorMessage="1" sqref="C42:D42 D158:D167 C9:D9 C37 C95:C96 C18 C68:C69 C7 D145:D154 C132:C192 D139 C194:C1048576 D215">
      <formula1>E7</formula1>
      <formula2>F7</formula2>
    </dataValidation>
    <dataValidation type="decimal" operator="lessThan" allowBlank="1" showInputMessage="1" showErrorMessage="1" sqref="F132:F140 F142:F154 F169 F175:F180 F188:F190">
      <formula1>255</formula1>
    </dataValidation>
    <dataValidation type="decimal" allowBlank="1" showInputMessage="1" showErrorMessage="1" sqref="C124:C131 C120:D122 D37 D168:D192 D18 C38:D41 D95:D96 C97:D116 C118:D118 D216:D229 C43:D67 D68:D69 D140:D144 C2:D6 D7 C8:D8 C10:D17 D155:D157 D124:D138 C19:D36 D194:D214 C70:D94">
      <formula1>D2</formula1>
      <formula2>E2</formula2>
    </dataValidation>
    <dataValidation type="decimal" operator="lessThanOrEqual" allowBlank="1" showInputMessage="1" showErrorMessage="1" sqref="F7 F9 F20 F37 F95:F96 F18 F68:F69 F141 F170:F174 F155:F168 F181:F187 F191:F229">
      <formula1>255</formula1>
    </dataValidation>
  </dataValidations>
  <pageMargins left="0.59055118110236227" right="0.59055118110236227" top="0.59055118110236227" bottom="0.98425196850393704" header="0.51181102362204722" footer="0.51181102362204722"/>
  <pageSetup paperSize="9" scale="72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>
    <tabColor rgb="FFFF0000"/>
    <pageSetUpPr fitToPage="1"/>
  </sheetPr>
  <dimension ref="A1:G74"/>
  <sheetViews>
    <sheetView topLeftCell="A64" zoomScaleNormal="100" zoomScaleSheetLayoutView="50" workbookViewId="0"/>
  </sheetViews>
  <sheetFormatPr defaultColWidth="11.42578125" defaultRowHeight="12.75"/>
  <cols>
    <col min="1" max="1" width="12.7109375" style="31" bestFit="1" customWidth="1"/>
    <col min="2" max="2" width="38.5703125" bestFit="1" customWidth="1"/>
    <col min="3" max="4" width="9.7109375" style="24" customWidth="1"/>
    <col min="5" max="5" width="77.7109375" customWidth="1"/>
    <col min="6" max="6" width="9.7109375" style="24" customWidth="1"/>
    <col min="7" max="7" width="9.7109375" customWidth="1"/>
    <col min="8" max="8" width="10.28515625" bestFit="1" customWidth="1"/>
  </cols>
  <sheetData>
    <row r="1" spans="1:7" ht="38.25">
      <c r="A1" s="6" t="s">
        <v>20</v>
      </c>
      <c r="B1" s="6" t="s">
        <v>64</v>
      </c>
      <c r="C1" s="6" t="s">
        <v>34</v>
      </c>
      <c r="D1" s="6" t="s">
        <v>35</v>
      </c>
      <c r="E1" s="6" t="s">
        <v>21</v>
      </c>
      <c r="F1" s="6" t="s">
        <v>4</v>
      </c>
      <c r="G1" s="6" t="s">
        <v>16</v>
      </c>
    </row>
    <row r="2" spans="1:7">
      <c r="A2" s="35">
        <v>0</v>
      </c>
      <c r="B2" s="33" t="str">
        <f>"Byte" &amp;A2&amp;" Name"</f>
        <v>Byte0 Name</v>
      </c>
      <c r="C2" s="34" t="str">
        <f>DEC2HEX(C3+C4*2+C5*4+C6*8+C7*16+C8*32+C9*64+C10*128)</f>
        <v>0</v>
      </c>
      <c r="D2" s="34" t="str">
        <f>DEC2HEX(D3+D4*2+D5*4+D6*8+D7*16+D8*32+D9*64+D10*128)</f>
        <v>0</v>
      </c>
      <c r="E2" s="1" t="str">
        <f>B2</f>
        <v>Byte0 Name</v>
      </c>
      <c r="F2" s="62">
        <v>1301</v>
      </c>
      <c r="G2" s="32" t="s">
        <v>22</v>
      </c>
    </row>
    <row r="3" spans="1:7">
      <c r="A3" s="36"/>
      <c r="B3" s="29" t="str">
        <f>"reserved_byte"&amp;A2&amp;"_bit_0"</f>
        <v>reserved_byte0_bit_0</v>
      </c>
      <c r="C3" s="5">
        <v>0</v>
      </c>
      <c r="D3" s="5">
        <v>0</v>
      </c>
      <c r="E3" s="30" t="s">
        <v>24</v>
      </c>
      <c r="F3" s="47"/>
      <c r="G3" s="32" t="s">
        <v>15</v>
      </c>
    </row>
    <row r="4" spans="1:7">
      <c r="A4" s="36"/>
      <c r="B4" s="29" t="str">
        <f>"reserved_byte"&amp;A2&amp;"_bit_1"</f>
        <v>reserved_byte0_bit_1</v>
      </c>
      <c r="C4" s="5">
        <v>0</v>
      </c>
      <c r="D4" s="5">
        <v>0</v>
      </c>
      <c r="E4" s="30" t="s">
        <v>25</v>
      </c>
      <c r="F4" s="47"/>
      <c r="G4" s="32" t="s">
        <v>14</v>
      </c>
    </row>
    <row r="5" spans="1:7">
      <c r="A5" s="36"/>
      <c r="B5" s="29" t="str">
        <f>"reserved_byte"&amp;A2&amp;"_bit_2"</f>
        <v>reserved_byte0_bit_2</v>
      </c>
      <c r="C5" s="5">
        <v>0</v>
      </c>
      <c r="D5" s="5">
        <v>0</v>
      </c>
      <c r="E5" s="30" t="s">
        <v>26</v>
      </c>
      <c r="F5" s="47"/>
      <c r="G5" s="32" t="s">
        <v>13</v>
      </c>
    </row>
    <row r="6" spans="1:7">
      <c r="A6" s="36"/>
      <c r="B6" s="29" t="str">
        <f>"reserved_byte"&amp;A2&amp;"_bit_3"</f>
        <v>reserved_byte0_bit_3</v>
      </c>
      <c r="C6" s="5">
        <v>0</v>
      </c>
      <c r="D6" s="5">
        <v>0</v>
      </c>
      <c r="E6" s="30" t="s">
        <v>27</v>
      </c>
      <c r="F6" s="48"/>
      <c r="G6" s="32" t="s">
        <v>12</v>
      </c>
    </row>
    <row r="7" spans="1:7">
      <c r="A7" s="36"/>
      <c r="B7" s="29" t="str">
        <f>"reserved_byte"&amp;A2&amp;"_bit_4"</f>
        <v>reserved_byte0_bit_4</v>
      </c>
      <c r="C7" s="5">
        <v>0</v>
      </c>
      <c r="D7" s="5">
        <v>0</v>
      </c>
      <c r="E7" s="30" t="s">
        <v>28</v>
      </c>
      <c r="F7" s="47"/>
      <c r="G7" s="32" t="s">
        <v>11</v>
      </c>
    </row>
    <row r="8" spans="1:7">
      <c r="A8" s="36"/>
      <c r="B8" s="29" t="str">
        <f>"reserved_byte"&amp;A2&amp;"_bit_5"</f>
        <v>reserved_byte0_bit_5</v>
      </c>
      <c r="C8" s="5">
        <v>0</v>
      </c>
      <c r="D8" s="5">
        <v>0</v>
      </c>
      <c r="E8" s="30" t="s">
        <v>29</v>
      </c>
      <c r="F8" s="47"/>
      <c r="G8" s="32" t="s">
        <v>10</v>
      </c>
    </row>
    <row r="9" spans="1:7">
      <c r="A9" s="36"/>
      <c r="B9" s="29" t="str">
        <f>"reserved_byte"&amp;A2&amp;"_bit_6"</f>
        <v>reserved_byte0_bit_6</v>
      </c>
      <c r="C9" s="5">
        <v>0</v>
      </c>
      <c r="D9" s="5">
        <v>0</v>
      </c>
      <c r="E9" s="30" t="s">
        <v>30</v>
      </c>
      <c r="F9" s="47"/>
      <c r="G9" s="32" t="s">
        <v>8</v>
      </c>
    </row>
    <row r="10" spans="1:7" ht="13.5" thickBot="1">
      <c r="A10" s="40"/>
      <c r="B10" s="41" t="str">
        <f>"reserved_byte"&amp;A2&amp;"_bit_7"</f>
        <v>reserved_byte0_bit_7</v>
      </c>
      <c r="C10" s="42">
        <v>0</v>
      </c>
      <c r="D10" s="42">
        <v>0</v>
      </c>
      <c r="E10" s="43" t="s">
        <v>33</v>
      </c>
      <c r="F10" s="44"/>
      <c r="G10" s="45" t="s">
        <v>7</v>
      </c>
    </row>
    <row r="11" spans="1:7" ht="14.25" thickTop="1" thickBot="1">
      <c r="A11" s="37">
        <f>A2+1</f>
        <v>1</v>
      </c>
      <c r="B11" s="33" t="str">
        <f>"Byte" &amp;A11&amp;" Name"</f>
        <v>Byte1 Name</v>
      </c>
      <c r="C11" s="34" t="str">
        <f>DEC2HEX(C12+C13*2+C14*4+C15*8+C16*16+C17*32+C18*64+C19*128)</f>
        <v>79</v>
      </c>
      <c r="D11" s="34" t="str">
        <f>DEC2HEX(D12+D13*2+D14*4+D15*8+D16*16+D17*32+D18*64+D19*128)</f>
        <v>79</v>
      </c>
      <c r="E11" s="38" t="str">
        <f>B11</f>
        <v>Byte1 Name</v>
      </c>
      <c r="F11" s="46" t="str">
        <f>DEC2HEX((HEX2DEC(F2)+1),4)</f>
        <v>1302</v>
      </c>
      <c r="G11" s="39" t="s">
        <v>22</v>
      </c>
    </row>
    <row r="12" spans="1:7">
      <c r="A12" s="36"/>
      <c r="B12" s="80" t="s">
        <v>354</v>
      </c>
      <c r="C12" s="83">
        <v>1</v>
      </c>
      <c r="D12" s="83">
        <v>1</v>
      </c>
      <c r="E12" s="90" t="s">
        <v>372</v>
      </c>
      <c r="F12" s="47"/>
      <c r="G12" s="32" t="s">
        <v>15</v>
      </c>
    </row>
    <row r="13" spans="1:7">
      <c r="A13" s="36"/>
      <c r="B13" s="81" t="s">
        <v>355</v>
      </c>
      <c r="C13" s="84">
        <v>0</v>
      </c>
      <c r="D13" s="84">
        <v>0</v>
      </c>
      <c r="E13" s="91" t="s">
        <v>373</v>
      </c>
      <c r="F13" s="47"/>
      <c r="G13" s="32" t="s">
        <v>14</v>
      </c>
    </row>
    <row r="14" spans="1:7">
      <c r="A14" s="36"/>
      <c r="B14" s="81" t="s">
        <v>356</v>
      </c>
      <c r="C14" s="84">
        <v>0</v>
      </c>
      <c r="D14" s="84">
        <v>0</v>
      </c>
      <c r="E14" s="91" t="s">
        <v>374</v>
      </c>
      <c r="F14" s="47"/>
      <c r="G14" s="32" t="s">
        <v>13</v>
      </c>
    </row>
    <row r="15" spans="1:7">
      <c r="A15" s="36"/>
      <c r="B15" s="81" t="s">
        <v>357</v>
      </c>
      <c r="C15" s="84">
        <v>1</v>
      </c>
      <c r="D15" s="84">
        <v>1</v>
      </c>
      <c r="E15" s="91" t="s">
        <v>375</v>
      </c>
      <c r="F15" s="48"/>
      <c r="G15" s="32" t="s">
        <v>12</v>
      </c>
    </row>
    <row r="16" spans="1:7">
      <c r="A16" s="36"/>
      <c r="B16" s="81" t="s">
        <v>358</v>
      </c>
      <c r="C16" s="84">
        <v>1</v>
      </c>
      <c r="D16" s="84">
        <v>1</v>
      </c>
      <c r="E16" s="91" t="s">
        <v>376</v>
      </c>
      <c r="F16" s="47"/>
      <c r="G16" s="32" t="s">
        <v>11</v>
      </c>
    </row>
    <row r="17" spans="1:7">
      <c r="A17" s="36"/>
      <c r="B17" s="81" t="s">
        <v>359</v>
      </c>
      <c r="C17" s="84">
        <v>1</v>
      </c>
      <c r="D17" s="84">
        <v>1</v>
      </c>
      <c r="E17" s="91" t="s">
        <v>377</v>
      </c>
      <c r="F17" s="47"/>
      <c r="G17" s="32" t="s">
        <v>10</v>
      </c>
    </row>
    <row r="18" spans="1:7">
      <c r="A18" s="36"/>
      <c r="B18" s="82" t="s">
        <v>360</v>
      </c>
      <c r="C18" s="85">
        <v>1</v>
      </c>
      <c r="D18" s="85">
        <v>1</v>
      </c>
      <c r="E18" s="90" t="s">
        <v>378</v>
      </c>
      <c r="F18" s="47"/>
      <c r="G18" s="32" t="s">
        <v>8</v>
      </c>
    </row>
    <row r="19" spans="1:7" ht="13.5" thickBot="1">
      <c r="A19" s="40"/>
      <c r="B19" s="41" t="str">
        <f>"reserved_byte"&amp;A11&amp;"_bit_7"</f>
        <v>reserved_byte1_bit_7</v>
      </c>
      <c r="C19" s="42">
        <v>0</v>
      </c>
      <c r="D19" s="42">
        <v>0</v>
      </c>
      <c r="E19" s="43" t="s">
        <v>33</v>
      </c>
      <c r="F19" s="44"/>
      <c r="G19" s="45" t="s">
        <v>7</v>
      </c>
    </row>
    <row r="20" spans="1:7" ht="13.5" thickTop="1">
      <c r="A20" s="37">
        <f>A11+1</f>
        <v>2</v>
      </c>
      <c r="B20" s="33" t="str">
        <f>"Byte" &amp;A20&amp;" Name"</f>
        <v>Byte2 Name</v>
      </c>
      <c r="C20" s="34" t="str">
        <f>DEC2HEX(C21+C22*2+C23*4+C24*8+C25*16+C26*32+C27*64+C28*128)</f>
        <v>7</v>
      </c>
      <c r="D20" s="34" t="str">
        <f>DEC2HEX(D21+D22*2+D23*4+D24*8+D25*16+D26*32+D27*64+D28*128)</f>
        <v>7</v>
      </c>
      <c r="E20" s="38" t="str">
        <f>B20</f>
        <v>Byte2 Name</v>
      </c>
      <c r="F20" s="46" t="str">
        <f>DEC2HEX((HEX2DEC(F11)+1),4)</f>
        <v>1303</v>
      </c>
      <c r="G20" s="39" t="s">
        <v>22</v>
      </c>
    </row>
    <row r="21" spans="1:7">
      <c r="A21" s="36"/>
      <c r="B21" s="82" t="s">
        <v>361</v>
      </c>
      <c r="C21" s="5">
        <v>1</v>
      </c>
      <c r="D21" s="5">
        <v>1</v>
      </c>
      <c r="E21" s="82" t="s">
        <v>379</v>
      </c>
      <c r="F21" s="47"/>
      <c r="G21" s="32" t="s">
        <v>15</v>
      </c>
    </row>
    <row r="22" spans="1:7">
      <c r="A22" s="36"/>
      <c r="B22" s="100" t="s">
        <v>637</v>
      </c>
      <c r="C22" s="5">
        <v>1</v>
      </c>
      <c r="D22" s="5">
        <v>1</v>
      </c>
      <c r="E22" s="82" t="s">
        <v>639</v>
      </c>
      <c r="F22" s="47"/>
      <c r="G22" s="32" t="s">
        <v>14</v>
      </c>
    </row>
    <row r="23" spans="1:7">
      <c r="A23" s="36"/>
      <c r="B23" s="82" t="s">
        <v>638</v>
      </c>
      <c r="C23" s="5">
        <v>1</v>
      </c>
      <c r="D23" s="5">
        <v>1</v>
      </c>
      <c r="E23" s="82" t="s">
        <v>640</v>
      </c>
      <c r="F23" s="47"/>
      <c r="G23" s="32" t="s">
        <v>13</v>
      </c>
    </row>
    <row r="24" spans="1:7">
      <c r="A24" s="36"/>
      <c r="B24" s="29" t="str">
        <f>"reserved_byte"&amp;A20&amp;"_bit_3"</f>
        <v>reserved_byte2_bit_3</v>
      </c>
      <c r="C24" s="5">
        <v>0</v>
      </c>
      <c r="D24" s="5">
        <v>0</v>
      </c>
      <c r="E24" s="30" t="s">
        <v>27</v>
      </c>
      <c r="F24" s="48"/>
      <c r="G24" s="32" t="s">
        <v>12</v>
      </c>
    </row>
    <row r="25" spans="1:7">
      <c r="A25" s="36"/>
      <c r="B25" s="29" t="str">
        <f>"reserved_byte"&amp;A20&amp;"_bit_4"</f>
        <v>reserved_byte2_bit_4</v>
      </c>
      <c r="C25" s="5">
        <v>0</v>
      </c>
      <c r="D25" s="5">
        <v>0</v>
      </c>
      <c r="E25" s="30" t="s">
        <v>28</v>
      </c>
      <c r="F25" s="47"/>
      <c r="G25" s="32" t="s">
        <v>11</v>
      </c>
    </row>
    <row r="26" spans="1:7">
      <c r="A26" s="36"/>
      <c r="B26" s="29" t="str">
        <f>"reserved_byte"&amp;A20&amp;"_bit_5"</f>
        <v>reserved_byte2_bit_5</v>
      </c>
      <c r="C26" s="5">
        <v>0</v>
      </c>
      <c r="D26" s="5">
        <v>0</v>
      </c>
      <c r="E26" s="30" t="s">
        <v>29</v>
      </c>
      <c r="F26" s="47"/>
      <c r="G26" s="32" t="s">
        <v>10</v>
      </c>
    </row>
    <row r="27" spans="1:7">
      <c r="A27" s="36"/>
      <c r="B27" s="29" t="str">
        <f>"reserved_byte"&amp;A20&amp;"_bit_6"</f>
        <v>reserved_byte2_bit_6</v>
      </c>
      <c r="C27" s="5">
        <v>0</v>
      </c>
      <c r="D27" s="5">
        <v>0</v>
      </c>
      <c r="E27" s="30" t="s">
        <v>30</v>
      </c>
      <c r="F27" s="47"/>
      <c r="G27" s="32" t="s">
        <v>8</v>
      </c>
    </row>
    <row r="28" spans="1:7" ht="13.5" thickBot="1">
      <c r="A28" s="40"/>
      <c r="B28" s="41" t="str">
        <f>"reserved_byte"&amp;A20&amp;"_bit_7"</f>
        <v>reserved_byte2_bit_7</v>
      </c>
      <c r="C28" s="42">
        <v>0</v>
      </c>
      <c r="D28" s="42">
        <v>0</v>
      </c>
      <c r="E28" s="43" t="s">
        <v>33</v>
      </c>
      <c r="F28" s="44"/>
      <c r="G28" s="45" t="s">
        <v>7</v>
      </c>
    </row>
    <row r="29" spans="1:7" ht="14.25" thickTop="1" thickBot="1">
      <c r="A29" s="37">
        <f>A20+1</f>
        <v>3</v>
      </c>
      <c r="B29" s="33" t="str">
        <f>"Byte" &amp;A29&amp;" Name"</f>
        <v>Byte3 Name</v>
      </c>
      <c r="C29" s="34" t="str">
        <f>DEC2HEX(C30+C31*2+C32*4+C33*8+C34*16+C35*32+C36*64+C37*128)</f>
        <v>1</v>
      </c>
      <c r="D29" s="34" t="str">
        <f>DEC2HEX(D30+D31*2+D32*4+D33*8+D34*16+D35*32+D36*64+D37*128)</f>
        <v>1</v>
      </c>
      <c r="E29" s="38" t="str">
        <f>B29</f>
        <v>Byte3 Name</v>
      </c>
      <c r="F29" s="46" t="str">
        <f>DEC2HEX((HEX2DEC(F20)+1),4)</f>
        <v>1304</v>
      </c>
      <c r="G29" s="39" t="s">
        <v>22</v>
      </c>
    </row>
    <row r="30" spans="1:7">
      <c r="A30" s="36"/>
      <c r="B30" s="88" t="s">
        <v>362</v>
      </c>
      <c r="C30" s="86">
        <v>1</v>
      </c>
      <c r="D30" s="86">
        <v>1</v>
      </c>
      <c r="E30" s="89" t="s">
        <v>370</v>
      </c>
      <c r="F30" s="47"/>
      <c r="G30" s="32" t="s">
        <v>15</v>
      </c>
    </row>
    <row r="31" spans="1:7">
      <c r="A31" s="36"/>
      <c r="B31" s="81" t="s">
        <v>363</v>
      </c>
      <c r="C31" s="87">
        <v>0</v>
      </c>
      <c r="D31" s="87">
        <v>0</v>
      </c>
      <c r="E31" s="90" t="s">
        <v>380</v>
      </c>
      <c r="F31" s="47"/>
      <c r="G31" s="32" t="s">
        <v>14</v>
      </c>
    </row>
    <row r="32" spans="1:7">
      <c r="A32" s="36"/>
      <c r="B32" s="81" t="s">
        <v>364</v>
      </c>
      <c r="C32" s="87">
        <v>0</v>
      </c>
      <c r="D32" s="87">
        <v>0</v>
      </c>
      <c r="E32" s="90" t="s">
        <v>381</v>
      </c>
      <c r="F32" s="47"/>
      <c r="G32" s="32" t="s">
        <v>13</v>
      </c>
    </row>
    <row r="33" spans="1:7">
      <c r="A33" s="36"/>
      <c r="B33" s="81" t="s">
        <v>365</v>
      </c>
      <c r="C33" s="87">
        <v>0</v>
      </c>
      <c r="D33" s="87">
        <v>0</v>
      </c>
      <c r="E33" s="90" t="s">
        <v>382</v>
      </c>
      <c r="F33" s="48"/>
      <c r="G33" s="32" t="s">
        <v>12</v>
      </c>
    </row>
    <row r="34" spans="1:7">
      <c r="A34" s="36"/>
      <c r="B34" s="81" t="s">
        <v>366</v>
      </c>
      <c r="C34" s="87">
        <v>0</v>
      </c>
      <c r="D34" s="87">
        <v>0</v>
      </c>
      <c r="E34" s="90" t="s">
        <v>383</v>
      </c>
      <c r="F34" s="47"/>
      <c r="G34" s="32" t="s">
        <v>11</v>
      </c>
    </row>
    <row r="35" spans="1:7">
      <c r="A35" s="36"/>
      <c r="B35" s="81" t="s">
        <v>367</v>
      </c>
      <c r="C35" s="87">
        <v>0</v>
      </c>
      <c r="D35" s="87">
        <v>0</v>
      </c>
      <c r="E35" s="90" t="s">
        <v>384</v>
      </c>
      <c r="F35" s="47"/>
      <c r="G35" s="32" t="s">
        <v>10</v>
      </c>
    </row>
    <row r="36" spans="1:7">
      <c r="A36" s="36"/>
      <c r="B36" s="81" t="s">
        <v>368</v>
      </c>
      <c r="C36" s="87">
        <v>0</v>
      </c>
      <c r="D36" s="87">
        <v>0</v>
      </c>
      <c r="E36" s="90" t="s">
        <v>385</v>
      </c>
      <c r="F36" s="47"/>
      <c r="G36" s="32" t="s">
        <v>8</v>
      </c>
    </row>
    <row r="37" spans="1:7" ht="13.5" thickBot="1">
      <c r="A37" s="40"/>
      <c r="B37" s="41" t="str">
        <f>"reserved_byte"&amp;A29&amp;"_bit_7"</f>
        <v>reserved_byte3_bit_7</v>
      </c>
      <c r="C37" s="42">
        <v>0</v>
      </c>
      <c r="D37" s="42">
        <v>0</v>
      </c>
      <c r="E37" s="43" t="s">
        <v>33</v>
      </c>
      <c r="F37" s="44"/>
      <c r="G37" s="45" t="s">
        <v>7</v>
      </c>
    </row>
    <row r="38" spans="1:7" ht="13.5" thickTop="1">
      <c r="A38" s="37">
        <f>A29+1</f>
        <v>4</v>
      </c>
      <c r="B38" s="33" t="str">
        <f>"Byte" &amp;A38&amp;" Name"</f>
        <v>Byte4 Name</v>
      </c>
      <c r="C38" s="34" t="str">
        <f>DEC2HEX(C39+C40*2+C41*4+C42*8+C43*16+C44*32+C45*64+C46*128)</f>
        <v>0</v>
      </c>
      <c r="D38" s="34" t="str">
        <f>DEC2HEX(D39+D40*2+D41*4+D42*8+D43*16+D44*32+D45*64+D46*128)</f>
        <v>0</v>
      </c>
      <c r="E38" s="38" t="str">
        <f>B38</f>
        <v>Byte4 Name</v>
      </c>
      <c r="F38" s="46" t="str">
        <f>DEC2HEX((HEX2DEC(F29)+1),4)</f>
        <v>1305</v>
      </c>
      <c r="G38" s="39" t="s">
        <v>22</v>
      </c>
    </row>
    <row r="39" spans="1:7">
      <c r="A39" s="36"/>
      <c r="B39" s="29" t="str">
        <f>"reserved_byte"&amp;A38&amp;"_bit_0"</f>
        <v>reserved_byte4_bit_0</v>
      </c>
      <c r="C39" s="5">
        <v>0</v>
      </c>
      <c r="D39" s="5">
        <v>0</v>
      </c>
      <c r="E39" s="30" t="s">
        <v>24</v>
      </c>
      <c r="F39" s="47"/>
      <c r="G39" s="32" t="s">
        <v>15</v>
      </c>
    </row>
    <row r="40" spans="1:7">
      <c r="A40" s="36"/>
      <c r="B40" s="29" t="str">
        <f>"reserved_byte"&amp;A38&amp;"_bit_1"</f>
        <v>reserved_byte4_bit_1</v>
      </c>
      <c r="C40" s="5">
        <v>0</v>
      </c>
      <c r="D40" s="5">
        <v>0</v>
      </c>
      <c r="E40" s="30" t="s">
        <v>25</v>
      </c>
      <c r="F40" s="47"/>
      <c r="G40" s="32" t="s">
        <v>14</v>
      </c>
    </row>
    <row r="41" spans="1:7">
      <c r="A41" s="36"/>
      <c r="B41" s="29" t="str">
        <f>"reserved_byte"&amp;A38&amp;"_bit_2"</f>
        <v>reserved_byte4_bit_2</v>
      </c>
      <c r="C41" s="5">
        <v>0</v>
      </c>
      <c r="D41" s="5">
        <v>0</v>
      </c>
      <c r="E41" s="30" t="s">
        <v>26</v>
      </c>
      <c r="F41" s="47"/>
      <c r="G41" s="32" t="s">
        <v>13</v>
      </c>
    </row>
    <row r="42" spans="1:7">
      <c r="A42" s="36"/>
      <c r="B42" s="29" t="str">
        <f>"reserved_byte"&amp;A38&amp;"_bit_3"</f>
        <v>reserved_byte4_bit_3</v>
      </c>
      <c r="C42" s="5">
        <v>0</v>
      </c>
      <c r="D42" s="5">
        <v>0</v>
      </c>
      <c r="E42" s="30" t="s">
        <v>27</v>
      </c>
      <c r="F42" s="48"/>
      <c r="G42" s="32" t="s">
        <v>12</v>
      </c>
    </row>
    <row r="43" spans="1:7">
      <c r="A43" s="36"/>
      <c r="B43" s="29" t="str">
        <f>"reserved_byte"&amp;A38&amp;"_bit_4"</f>
        <v>reserved_byte4_bit_4</v>
      </c>
      <c r="C43" s="5">
        <v>0</v>
      </c>
      <c r="D43" s="5">
        <v>0</v>
      </c>
      <c r="E43" s="30" t="s">
        <v>28</v>
      </c>
      <c r="F43" s="47"/>
      <c r="G43" s="32" t="s">
        <v>11</v>
      </c>
    </row>
    <row r="44" spans="1:7">
      <c r="A44" s="36"/>
      <c r="B44" s="29" t="str">
        <f>"reserved_byte"&amp;A38&amp;"_bit_5"</f>
        <v>reserved_byte4_bit_5</v>
      </c>
      <c r="C44" s="5">
        <v>0</v>
      </c>
      <c r="D44" s="5">
        <v>0</v>
      </c>
      <c r="E44" s="30" t="s">
        <v>29</v>
      </c>
      <c r="F44" s="47"/>
      <c r="G44" s="32" t="s">
        <v>10</v>
      </c>
    </row>
    <row r="45" spans="1:7">
      <c r="A45" s="36"/>
      <c r="B45" s="29" t="str">
        <f>"reserved_byte"&amp;A38&amp;"_bit_6"</f>
        <v>reserved_byte4_bit_6</v>
      </c>
      <c r="C45" s="5">
        <v>0</v>
      </c>
      <c r="D45" s="5">
        <v>0</v>
      </c>
      <c r="E45" s="30" t="s">
        <v>30</v>
      </c>
      <c r="F45" s="47"/>
      <c r="G45" s="32" t="s">
        <v>8</v>
      </c>
    </row>
    <row r="46" spans="1:7" ht="13.5" thickBot="1">
      <c r="A46" s="40"/>
      <c r="B46" s="41" t="str">
        <f>"reserved_byte"&amp;A38&amp;"_bit_7"</f>
        <v>reserved_byte4_bit_7</v>
      </c>
      <c r="C46" s="42">
        <v>0</v>
      </c>
      <c r="D46" s="42">
        <v>0</v>
      </c>
      <c r="E46" s="43" t="s">
        <v>33</v>
      </c>
      <c r="F46" s="44"/>
      <c r="G46" s="45" t="s">
        <v>7</v>
      </c>
    </row>
    <row r="47" spans="1:7" ht="14.25" thickTop="1" thickBot="1">
      <c r="A47" s="37">
        <f>A38+1</f>
        <v>5</v>
      </c>
      <c r="B47" s="33" t="str">
        <f>"Byte" &amp;A47&amp;" Name"</f>
        <v>Byte5 Name</v>
      </c>
      <c r="C47" s="34" t="str">
        <f>DEC2HEX(C48+C49*2+C50*4+C51*8+C52*16+C53*32+C54*64+C55*128)</f>
        <v>0</v>
      </c>
      <c r="D47" s="34" t="str">
        <f>DEC2HEX(D48+D49*2+D50*4+D51*8+D52*16+D53*32+D54*64+D55*128)</f>
        <v>0</v>
      </c>
      <c r="E47" s="38" t="str">
        <f>B47</f>
        <v>Byte5 Name</v>
      </c>
      <c r="F47" s="46" t="str">
        <f>DEC2HEX((HEX2DEC(F38)+1),4)</f>
        <v>1306</v>
      </c>
      <c r="G47" s="39" t="s">
        <v>22</v>
      </c>
    </row>
    <row r="48" spans="1:7">
      <c r="A48" s="36"/>
      <c r="B48" s="88" t="s">
        <v>369</v>
      </c>
      <c r="C48" s="86">
        <v>0</v>
      </c>
      <c r="D48" s="86">
        <v>0</v>
      </c>
      <c r="E48" s="89" t="s">
        <v>371</v>
      </c>
      <c r="F48" s="47"/>
      <c r="G48" s="32" t="s">
        <v>15</v>
      </c>
    </row>
    <row r="49" spans="1:7">
      <c r="A49" s="36"/>
      <c r="B49" s="29" t="str">
        <f>"reserved_byte"&amp;A47&amp;"_bit_1"</f>
        <v>reserved_byte5_bit_1</v>
      </c>
      <c r="C49" s="5">
        <v>0</v>
      </c>
      <c r="D49" s="5">
        <v>0</v>
      </c>
      <c r="E49" s="30" t="s">
        <v>25</v>
      </c>
      <c r="F49" s="47"/>
      <c r="G49" s="32" t="s">
        <v>14</v>
      </c>
    </row>
    <row r="50" spans="1:7">
      <c r="A50" s="36"/>
      <c r="B50" s="29" t="str">
        <f>"reserved_byte"&amp;A47&amp;"_bit_2"</f>
        <v>reserved_byte5_bit_2</v>
      </c>
      <c r="C50" s="5">
        <v>0</v>
      </c>
      <c r="D50" s="5">
        <v>0</v>
      </c>
      <c r="E50" s="30" t="s">
        <v>26</v>
      </c>
      <c r="F50" s="47"/>
      <c r="G50" s="32" t="s">
        <v>13</v>
      </c>
    </row>
    <row r="51" spans="1:7">
      <c r="A51" s="36"/>
      <c r="B51" s="29" t="str">
        <f>"reserved_byte"&amp;A47&amp;"_bit_3"</f>
        <v>reserved_byte5_bit_3</v>
      </c>
      <c r="C51" s="5">
        <v>0</v>
      </c>
      <c r="D51" s="5">
        <v>0</v>
      </c>
      <c r="E51" s="30" t="s">
        <v>27</v>
      </c>
      <c r="F51" s="48"/>
      <c r="G51" s="32" t="s">
        <v>12</v>
      </c>
    </row>
    <row r="52" spans="1:7">
      <c r="A52" s="36"/>
      <c r="B52" s="29" t="str">
        <f>"reserved_byte"&amp;A47&amp;"_bit_4"</f>
        <v>reserved_byte5_bit_4</v>
      </c>
      <c r="C52" s="5">
        <v>0</v>
      </c>
      <c r="D52" s="5">
        <v>0</v>
      </c>
      <c r="E52" s="30" t="s">
        <v>28</v>
      </c>
      <c r="F52" s="47"/>
      <c r="G52" s="32" t="s">
        <v>11</v>
      </c>
    </row>
    <row r="53" spans="1:7">
      <c r="A53" s="36"/>
      <c r="B53" s="29" t="str">
        <f>"reserved_byte"&amp;A47&amp;"_bit_5"</f>
        <v>reserved_byte5_bit_5</v>
      </c>
      <c r="C53" s="5">
        <v>0</v>
      </c>
      <c r="D53" s="5">
        <v>0</v>
      </c>
      <c r="E53" s="30" t="s">
        <v>29</v>
      </c>
      <c r="F53" s="47"/>
      <c r="G53" s="32" t="s">
        <v>10</v>
      </c>
    </row>
    <row r="54" spans="1:7">
      <c r="A54" s="36"/>
      <c r="B54" s="29" t="str">
        <f>"reserved_byte"&amp;A47&amp;"_bit_6"</f>
        <v>reserved_byte5_bit_6</v>
      </c>
      <c r="C54" s="5">
        <v>0</v>
      </c>
      <c r="D54" s="5">
        <v>0</v>
      </c>
      <c r="E54" s="30" t="s">
        <v>30</v>
      </c>
      <c r="F54" s="47"/>
      <c r="G54" s="32" t="s">
        <v>8</v>
      </c>
    </row>
    <row r="55" spans="1:7" ht="13.5" thickBot="1">
      <c r="A55" s="40"/>
      <c r="B55" s="41" t="str">
        <f>"reserved_byte"&amp;A47&amp;"_bit_7"</f>
        <v>reserved_byte5_bit_7</v>
      </c>
      <c r="C55" s="42">
        <v>0</v>
      </c>
      <c r="D55" s="42">
        <v>0</v>
      </c>
      <c r="E55" s="43" t="s">
        <v>33</v>
      </c>
      <c r="F55" s="44"/>
      <c r="G55" s="45" t="s">
        <v>7</v>
      </c>
    </row>
    <row r="56" spans="1:7" ht="13.5" thickTop="1">
      <c r="A56" s="37">
        <f>A47+1</f>
        <v>6</v>
      </c>
      <c r="B56" s="33" t="str">
        <f>"Byte" &amp;A56&amp;" Name"</f>
        <v>Byte6 Name</v>
      </c>
      <c r="C56" s="34" t="str">
        <f>DEC2HEX(C57+C58*2+C59*4+C60*8+C61*16+C62*32+C63*64+C64*128)</f>
        <v>0</v>
      </c>
      <c r="D56" s="34" t="str">
        <f>DEC2HEX(D57+D58*2+D59*4+D60*8+D61*16+D62*32+D63*64+D64*128)</f>
        <v>0</v>
      </c>
      <c r="E56" s="38" t="str">
        <f>B56</f>
        <v>Byte6 Name</v>
      </c>
      <c r="F56" s="46" t="str">
        <f>DEC2HEX((HEX2DEC(F47)+1),4)</f>
        <v>1307</v>
      </c>
      <c r="G56" s="39" t="s">
        <v>22</v>
      </c>
    </row>
    <row r="57" spans="1:7">
      <c r="A57" s="36"/>
      <c r="B57" s="29" t="str">
        <f>"reserved_byte"&amp;A56&amp;"_bit_0"</f>
        <v>reserved_byte6_bit_0</v>
      </c>
      <c r="C57" s="5">
        <v>0</v>
      </c>
      <c r="D57" s="5">
        <v>0</v>
      </c>
      <c r="E57" s="30" t="s">
        <v>24</v>
      </c>
      <c r="F57" s="47"/>
      <c r="G57" s="32" t="s">
        <v>15</v>
      </c>
    </row>
    <row r="58" spans="1:7">
      <c r="A58" s="36"/>
      <c r="B58" s="29" t="str">
        <f>"reserved_byte"&amp;A56&amp;"_bit_1"</f>
        <v>reserved_byte6_bit_1</v>
      </c>
      <c r="C58" s="5">
        <v>0</v>
      </c>
      <c r="D58" s="5">
        <v>0</v>
      </c>
      <c r="E58" s="30" t="s">
        <v>25</v>
      </c>
      <c r="F58" s="47"/>
      <c r="G58" s="32" t="s">
        <v>14</v>
      </c>
    </row>
    <row r="59" spans="1:7">
      <c r="A59" s="36"/>
      <c r="B59" s="29" t="str">
        <f>"reserved_byte"&amp;A56&amp;"_bit_2"</f>
        <v>reserved_byte6_bit_2</v>
      </c>
      <c r="C59" s="5">
        <v>0</v>
      </c>
      <c r="D59" s="5">
        <v>0</v>
      </c>
      <c r="E59" s="30" t="s">
        <v>26</v>
      </c>
      <c r="F59" s="47"/>
      <c r="G59" s="32" t="s">
        <v>13</v>
      </c>
    </row>
    <row r="60" spans="1:7">
      <c r="A60" s="36"/>
      <c r="B60" s="29" t="str">
        <f>"reserved_byte"&amp;A56&amp;"_bit_3"</f>
        <v>reserved_byte6_bit_3</v>
      </c>
      <c r="C60" s="5">
        <v>0</v>
      </c>
      <c r="D60" s="5">
        <v>0</v>
      </c>
      <c r="E60" s="30" t="s">
        <v>27</v>
      </c>
      <c r="F60" s="48"/>
      <c r="G60" s="32" t="s">
        <v>12</v>
      </c>
    </row>
    <row r="61" spans="1:7">
      <c r="A61" s="36"/>
      <c r="B61" s="29" t="str">
        <f>"reserved_byte"&amp;A56&amp;"_bit_4"</f>
        <v>reserved_byte6_bit_4</v>
      </c>
      <c r="C61" s="5">
        <v>0</v>
      </c>
      <c r="D61" s="5">
        <v>0</v>
      </c>
      <c r="E61" s="30" t="s">
        <v>28</v>
      </c>
      <c r="F61" s="47"/>
      <c r="G61" s="32" t="s">
        <v>11</v>
      </c>
    </row>
    <row r="62" spans="1:7">
      <c r="A62" s="36"/>
      <c r="B62" s="29" t="str">
        <f>"reserved_byte"&amp;A56&amp;"_bit_5"</f>
        <v>reserved_byte6_bit_5</v>
      </c>
      <c r="C62" s="5">
        <v>0</v>
      </c>
      <c r="D62" s="5">
        <v>0</v>
      </c>
      <c r="E62" s="30" t="s">
        <v>29</v>
      </c>
      <c r="F62" s="47"/>
      <c r="G62" s="32" t="s">
        <v>10</v>
      </c>
    </row>
    <row r="63" spans="1:7">
      <c r="A63" s="36"/>
      <c r="B63" s="29" t="str">
        <f>"reserved_byte"&amp;A56&amp;"_bit_6"</f>
        <v>reserved_byte6_bit_6</v>
      </c>
      <c r="C63" s="5">
        <v>0</v>
      </c>
      <c r="D63" s="5">
        <v>0</v>
      </c>
      <c r="E63" s="30" t="s">
        <v>30</v>
      </c>
      <c r="F63" s="47"/>
      <c r="G63" s="32" t="s">
        <v>8</v>
      </c>
    </row>
    <row r="64" spans="1:7" ht="13.5" thickBot="1">
      <c r="A64" s="40"/>
      <c r="B64" s="41" t="str">
        <f>"reserved_byte"&amp;A56&amp;"_bit_7"</f>
        <v>reserved_byte6_bit_7</v>
      </c>
      <c r="C64" s="42">
        <v>0</v>
      </c>
      <c r="D64" s="42">
        <v>0</v>
      </c>
      <c r="E64" s="43" t="s">
        <v>33</v>
      </c>
      <c r="F64" s="44"/>
      <c r="G64" s="45" t="s">
        <v>7</v>
      </c>
    </row>
    <row r="65" spans="1:7" ht="13.5" thickTop="1">
      <c r="A65" s="37">
        <f>A56+1</f>
        <v>7</v>
      </c>
      <c r="B65" s="33" t="str">
        <f>"Byte" &amp;A65&amp;" Name"</f>
        <v>Byte7 Name</v>
      </c>
      <c r="C65" s="34" t="str">
        <f>DEC2HEX(C66+C67*2+C68*4+C69*8+C70*16+C71*32+C72*64+C73*128)</f>
        <v>0</v>
      </c>
      <c r="D65" s="34" t="str">
        <f>DEC2HEX(D66+D67*2+D68*4+D69*8+D70*16+D71*32+D72*64+D73*128)</f>
        <v>0</v>
      </c>
      <c r="E65" s="38" t="str">
        <f>B65</f>
        <v>Byte7 Name</v>
      </c>
      <c r="F65" s="46" t="str">
        <f>DEC2HEX((HEX2DEC(F56)+1),4)</f>
        <v>1308</v>
      </c>
      <c r="G65" s="39" t="s">
        <v>22</v>
      </c>
    </row>
    <row r="66" spans="1:7">
      <c r="A66" s="36"/>
      <c r="B66" s="29" t="str">
        <f>"reserved_byte"&amp;A65&amp;"_bit_0"</f>
        <v>reserved_byte7_bit_0</v>
      </c>
      <c r="C66" s="5">
        <v>0</v>
      </c>
      <c r="D66" s="5">
        <v>0</v>
      </c>
      <c r="E66" s="30" t="s">
        <v>24</v>
      </c>
      <c r="F66" s="47"/>
      <c r="G66" s="32" t="s">
        <v>15</v>
      </c>
    </row>
    <row r="67" spans="1:7">
      <c r="A67" s="36"/>
      <c r="B67" s="29" t="str">
        <f>"reserved_byte"&amp;A65&amp;"_bit_1"</f>
        <v>reserved_byte7_bit_1</v>
      </c>
      <c r="C67" s="5">
        <v>0</v>
      </c>
      <c r="D67" s="5">
        <v>0</v>
      </c>
      <c r="E67" s="30" t="s">
        <v>25</v>
      </c>
      <c r="F67" s="47"/>
      <c r="G67" s="32" t="s">
        <v>14</v>
      </c>
    </row>
    <row r="68" spans="1:7">
      <c r="A68" s="36"/>
      <c r="B68" s="29" t="str">
        <f>"reserved_byte"&amp;A65&amp;"_bit_2"</f>
        <v>reserved_byte7_bit_2</v>
      </c>
      <c r="C68" s="5">
        <v>0</v>
      </c>
      <c r="D68" s="5">
        <v>0</v>
      </c>
      <c r="E68" s="30" t="s">
        <v>26</v>
      </c>
      <c r="F68" s="47"/>
      <c r="G68" s="32" t="s">
        <v>13</v>
      </c>
    </row>
    <row r="69" spans="1:7">
      <c r="A69" s="36"/>
      <c r="B69" s="29" t="str">
        <f>"reserved_byte"&amp;A65&amp;"_bit_3"</f>
        <v>reserved_byte7_bit_3</v>
      </c>
      <c r="C69" s="5">
        <v>0</v>
      </c>
      <c r="D69" s="5">
        <v>0</v>
      </c>
      <c r="E69" s="30" t="s">
        <v>27</v>
      </c>
      <c r="F69" s="48"/>
      <c r="G69" s="32" t="s">
        <v>12</v>
      </c>
    </row>
    <row r="70" spans="1:7">
      <c r="A70" s="36"/>
      <c r="B70" s="29" t="str">
        <f>"reserved_byte"&amp;A65&amp;"_bit_4"</f>
        <v>reserved_byte7_bit_4</v>
      </c>
      <c r="C70" s="5">
        <v>0</v>
      </c>
      <c r="D70" s="5">
        <v>0</v>
      </c>
      <c r="E70" s="30" t="s">
        <v>28</v>
      </c>
      <c r="F70" s="47"/>
      <c r="G70" s="32" t="s">
        <v>11</v>
      </c>
    </row>
    <row r="71" spans="1:7">
      <c r="A71" s="36"/>
      <c r="B71" s="29" t="str">
        <f>"reserved_byte"&amp;A65&amp;"_bit_5"</f>
        <v>reserved_byte7_bit_5</v>
      </c>
      <c r="C71" s="5">
        <v>0</v>
      </c>
      <c r="D71" s="5">
        <v>0</v>
      </c>
      <c r="E71" s="30" t="s">
        <v>29</v>
      </c>
      <c r="F71" s="47"/>
      <c r="G71" s="32" t="s">
        <v>10</v>
      </c>
    </row>
    <row r="72" spans="1:7">
      <c r="A72" s="36"/>
      <c r="B72" s="29" t="str">
        <f>"reserved_byte"&amp;A65&amp;"_bit_6"</f>
        <v>reserved_byte7_bit_6</v>
      </c>
      <c r="C72" s="5">
        <v>0</v>
      </c>
      <c r="D72" s="5">
        <v>0</v>
      </c>
      <c r="E72" s="30" t="s">
        <v>30</v>
      </c>
      <c r="F72" s="47"/>
      <c r="G72" s="32" t="s">
        <v>8</v>
      </c>
    </row>
    <row r="73" spans="1:7" ht="13.5" thickBot="1">
      <c r="A73" s="40"/>
      <c r="B73" s="41" t="str">
        <f>"reserved_byte"&amp;A65&amp;"_bit_7"</f>
        <v>reserved_byte7_bit_7</v>
      </c>
      <c r="C73" s="42">
        <v>0</v>
      </c>
      <c r="D73" s="42">
        <v>0</v>
      </c>
      <c r="E73" s="43" t="s">
        <v>33</v>
      </c>
      <c r="F73" s="44"/>
      <c r="G73" s="45" t="s">
        <v>7</v>
      </c>
    </row>
    <row r="74" spans="1:7" ht="13.5" thickTop="1"/>
  </sheetData>
  <dataConsolidate/>
  <conditionalFormatting sqref="J1 J20:J65293">
    <cfRule type="cellIs" dxfId="5" priority="3" stopIfTrue="1" operator="greaterThan">
      <formula>21</formula>
    </cfRule>
  </conditionalFormatting>
  <conditionalFormatting sqref="J2:J10">
    <cfRule type="cellIs" dxfId="4" priority="2" stopIfTrue="1" operator="greaterThan">
      <formula>21</formula>
    </cfRule>
  </conditionalFormatting>
  <conditionalFormatting sqref="J11:J19">
    <cfRule type="cellIs" dxfId="3" priority="1" stopIfTrue="1" operator="greaterThan">
      <formula>21</formula>
    </cfRule>
  </conditionalFormatting>
  <dataValidations count="4">
    <dataValidation type="custom" allowBlank="1" showInputMessage="1" showErrorMessage="1" promptTitle="This bit can't used." sqref="B10 B19 B28 B37 B46 B55 B64 B73">
      <formula1>"not usable bit"</formula1>
    </dataValidation>
    <dataValidation type="list" allowBlank="1" showInputMessage="1" showErrorMessage="1" sqref="J2 C66:D72 C3:D9 C12:D18 C30:D36 C39:D45 C48:D54 C57:D63 C21:D27">
      <formula1>"0,1"</formula1>
    </dataValidation>
    <dataValidation type="custom" allowBlank="1" showInputMessage="1" showErrorMessage="1" sqref="C10:D10 C19:D19 C28:D28 C37:D37 C46:D46 C55:D55 C64:D64 C73:D73">
      <formula1>0</formula1>
    </dataValidation>
    <dataValidation operator="lessThan" allowBlank="1" showInputMessage="1" showErrorMessage="1" errorTitle="Achtung: Fehler!" error="Name darf nicht mehr als 21 Zeichen enthalten!" sqref="A2:A73"/>
  </dataValidations>
  <pageMargins left="0.59055118110236227" right="0.59055118110236227" top="0.59055118110236227" bottom="0.98425196850393704" header="0.51181102362204722" footer="0.51181102362204722"/>
  <pageSetup paperSize="9" scale="80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A1:J25"/>
  <sheetViews>
    <sheetView topLeftCell="A28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 t="shared" ref="B2:B25" si="0"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9" t="s">
        <v>417</v>
      </c>
      <c r="H2" s="63">
        <v>401</v>
      </c>
      <c r="I2" s="59">
        <v>1</v>
      </c>
      <c r="J2" s="61"/>
    </row>
    <row r="3" spans="1:10" s="25" customFormat="1" ht="27" customHeight="1">
      <c r="A3" s="65">
        <f t="shared" ref="A3:A25" si="1">A2+1</f>
        <v>1</v>
      </c>
      <c r="B3" s="76" t="str">
        <f t="shared" si="0"/>
        <v>reserved_byte1</v>
      </c>
      <c r="C3" s="59">
        <v>255</v>
      </c>
      <c r="D3" s="60">
        <v>255</v>
      </c>
      <c r="E3" s="59">
        <v>0</v>
      </c>
      <c r="F3" s="59">
        <v>255</v>
      </c>
      <c r="G3" s="79" t="s">
        <v>418</v>
      </c>
      <c r="H3" s="64" t="str">
        <f t="shared" ref="H3:H25" si="2">DEC2HEX((HEX2DEC(H2)+1),4)</f>
        <v>0402</v>
      </c>
      <c r="I3" s="59">
        <v>1</v>
      </c>
      <c r="J3" s="61"/>
    </row>
    <row r="4" spans="1:10" s="25" customFormat="1" ht="27" customHeight="1">
      <c r="A4" s="65">
        <f t="shared" si="1"/>
        <v>2</v>
      </c>
      <c r="B4" s="76" t="str">
        <f t="shared" si="0"/>
        <v>reserved_byte2</v>
      </c>
      <c r="C4" s="59">
        <v>255</v>
      </c>
      <c r="D4" s="60">
        <v>255</v>
      </c>
      <c r="E4" s="59">
        <v>0</v>
      </c>
      <c r="F4" s="59">
        <v>255</v>
      </c>
      <c r="G4" s="79" t="s">
        <v>419</v>
      </c>
      <c r="H4" s="64" t="str">
        <f t="shared" si="2"/>
        <v>0403</v>
      </c>
      <c r="I4" s="59">
        <v>1</v>
      </c>
      <c r="J4" s="61"/>
    </row>
    <row r="5" spans="1:10" s="25" customFormat="1" ht="27" customHeight="1">
      <c r="A5" s="65">
        <f t="shared" si="1"/>
        <v>3</v>
      </c>
      <c r="B5" s="76" t="str">
        <f t="shared" si="0"/>
        <v>reserved_byte3</v>
      </c>
      <c r="C5" s="59">
        <v>255</v>
      </c>
      <c r="D5" s="60">
        <v>255</v>
      </c>
      <c r="E5" s="59">
        <v>0</v>
      </c>
      <c r="F5" s="59">
        <v>255</v>
      </c>
      <c r="G5" s="79" t="s">
        <v>420</v>
      </c>
      <c r="H5" s="64" t="str">
        <f t="shared" si="2"/>
        <v>0404</v>
      </c>
      <c r="I5" s="59">
        <v>1</v>
      </c>
      <c r="J5" s="61"/>
    </row>
    <row r="6" spans="1:10" s="25" customFormat="1" ht="27" customHeight="1">
      <c r="A6" s="65">
        <f t="shared" si="1"/>
        <v>4</v>
      </c>
      <c r="B6" s="76" t="str">
        <f t="shared" si="0"/>
        <v>reserved_byte4</v>
      </c>
      <c r="C6" s="59">
        <v>255</v>
      </c>
      <c r="D6" s="60">
        <v>255</v>
      </c>
      <c r="E6" s="59">
        <v>0</v>
      </c>
      <c r="F6" s="59">
        <v>255</v>
      </c>
      <c r="G6" s="79" t="s">
        <v>421</v>
      </c>
      <c r="H6" s="64" t="str">
        <f t="shared" si="2"/>
        <v>0405</v>
      </c>
      <c r="I6" s="59">
        <v>1</v>
      </c>
      <c r="J6" s="61"/>
    </row>
    <row r="7" spans="1:10" s="25" customFormat="1" ht="27" customHeight="1">
      <c r="A7" s="65">
        <f t="shared" si="1"/>
        <v>5</v>
      </c>
      <c r="B7" s="76" t="str">
        <f t="shared" si="0"/>
        <v>reserved_byte5</v>
      </c>
      <c r="C7" s="59">
        <v>255</v>
      </c>
      <c r="D7" s="60">
        <v>255</v>
      </c>
      <c r="E7" s="59">
        <v>0</v>
      </c>
      <c r="F7" s="59">
        <v>255</v>
      </c>
      <c r="G7" s="79" t="s">
        <v>422</v>
      </c>
      <c r="H7" s="64" t="str">
        <f t="shared" si="2"/>
        <v>0406</v>
      </c>
      <c r="I7" s="59">
        <v>1</v>
      </c>
      <c r="J7" s="61"/>
    </row>
    <row r="8" spans="1:10" s="25" customFormat="1" ht="27" customHeight="1">
      <c r="A8" s="65">
        <f t="shared" si="1"/>
        <v>6</v>
      </c>
      <c r="B8" s="76" t="str">
        <f t="shared" si="0"/>
        <v>reserved_byte6</v>
      </c>
      <c r="C8" s="59">
        <v>255</v>
      </c>
      <c r="D8" s="60">
        <v>255</v>
      </c>
      <c r="E8" s="59">
        <v>0</v>
      </c>
      <c r="F8" s="59">
        <v>255</v>
      </c>
      <c r="G8" s="79" t="s">
        <v>423</v>
      </c>
      <c r="H8" s="64" t="str">
        <f t="shared" si="2"/>
        <v>0407</v>
      </c>
      <c r="I8" s="59">
        <v>1</v>
      </c>
      <c r="J8" s="61"/>
    </row>
    <row r="9" spans="1:10" s="25" customFormat="1" ht="27" customHeight="1">
      <c r="A9" s="65">
        <f t="shared" si="1"/>
        <v>7</v>
      </c>
      <c r="B9" s="76" t="str">
        <f t="shared" si="0"/>
        <v>reserved_byte7</v>
      </c>
      <c r="C9" s="59">
        <v>255</v>
      </c>
      <c r="D9" s="60">
        <v>255</v>
      </c>
      <c r="E9" s="59">
        <v>0</v>
      </c>
      <c r="F9" s="59">
        <v>255</v>
      </c>
      <c r="G9" s="79" t="s">
        <v>424</v>
      </c>
      <c r="H9" s="64" t="str">
        <f t="shared" si="2"/>
        <v>0408</v>
      </c>
      <c r="I9" s="59">
        <v>1</v>
      </c>
      <c r="J9" s="61"/>
    </row>
    <row r="10" spans="1:10" s="25" customFormat="1" ht="27" customHeight="1">
      <c r="A10" s="65">
        <f t="shared" si="1"/>
        <v>8</v>
      </c>
      <c r="B10" s="76" t="str">
        <f t="shared" si="0"/>
        <v>reserved_byte8</v>
      </c>
      <c r="C10" s="59">
        <v>255</v>
      </c>
      <c r="D10" s="60">
        <v>255</v>
      </c>
      <c r="E10" s="59">
        <v>0</v>
      </c>
      <c r="F10" s="59">
        <v>255</v>
      </c>
      <c r="G10" s="79" t="s">
        <v>425</v>
      </c>
      <c r="H10" s="64" t="str">
        <f t="shared" si="2"/>
        <v>0409</v>
      </c>
      <c r="I10" s="59">
        <v>1</v>
      </c>
      <c r="J10" s="61"/>
    </row>
    <row r="11" spans="1:10" s="25" customFormat="1" ht="27" customHeight="1">
      <c r="A11" s="65">
        <f t="shared" si="1"/>
        <v>9</v>
      </c>
      <c r="B11" s="76" t="str">
        <f t="shared" si="0"/>
        <v>reserved_byte9</v>
      </c>
      <c r="C11" s="59">
        <v>255</v>
      </c>
      <c r="D11" s="60">
        <v>255</v>
      </c>
      <c r="E11" s="59">
        <v>0</v>
      </c>
      <c r="F11" s="59">
        <v>255</v>
      </c>
      <c r="G11" s="79" t="s">
        <v>426</v>
      </c>
      <c r="H11" s="64" t="str">
        <f t="shared" si="2"/>
        <v>040A</v>
      </c>
      <c r="I11" s="59">
        <v>1</v>
      </c>
      <c r="J11" s="61"/>
    </row>
    <row r="12" spans="1:10" s="25" customFormat="1" ht="27" customHeight="1">
      <c r="A12" s="65">
        <f t="shared" si="1"/>
        <v>10</v>
      </c>
      <c r="B12" s="76" t="str">
        <f t="shared" si="0"/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9" t="s">
        <v>427</v>
      </c>
      <c r="H12" s="64" t="str">
        <f t="shared" si="2"/>
        <v>040B</v>
      </c>
      <c r="I12" s="59">
        <v>1</v>
      </c>
      <c r="J12" s="61"/>
    </row>
    <row r="13" spans="1:10" s="25" customFormat="1" ht="27" customHeight="1">
      <c r="A13" s="65">
        <f t="shared" si="1"/>
        <v>11</v>
      </c>
      <c r="B13" s="76" t="str">
        <f t="shared" si="0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9" t="s">
        <v>428</v>
      </c>
      <c r="H13" s="64" t="str">
        <f t="shared" si="2"/>
        <v>040C</v>
      </c>
      <c r="I13" s="59">
        <v>1</v>
      </c>
      <c r="J13" s="61"/>
    </row>
    <row r="14" spans="1:10" s="25" customFormat="1" ht="27" customHeight="1">
      <c r="A14" s="65">
        <f t="shared" si="1"/>
        <v>12</v>
      </c>
      <c r="B14" s="76" t="str">
        <f t="shared" si="0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9" t="s">
        <v>429</v>
      </c>
      <c r="H14" s="64" t="str">
        <f t="shared" si="2"/>
        <v>040D</v>
      </c>
      <c r="I14" s="59">
        <v>1</v>
      </c>
      <c r="J14" s="61"/>
    </row>
    <row r="15" spans="1:10" s="25" customFormat="1" ht="27" customHeight="1">
      <c r="A15" s="65">
        <f t="shared" si="1"/>
        <v>13</v>
      </c>
      <c r="B15" s="76" t="str">
        <f t="shared" si="0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9" t="s">
        <v>430</v>
      </c>
      <c r="H15" s="64" t="str">
        <f t="shared" si="2"/>
        <v>040E</v>
      </c>
      <c r="I15" s="59">
        <v>1</v>
      </c>
      <c r="J15" s="61"/>
    </row>
    <row r="16" spans="1:10" s="25" customFormat="1" ht="27" customHeight="1">
      <c r="A16" s="65">
        <f t="shared" si="1"/>
        <v>14</v>
      </c>
      <c r="B16" s="76" t="str">
        <f t="shared" si="0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9" t="s">
        <v>431</v>
      </c>
      <c r="H16" s="64" t="str">
        <f t="shared" si="2"/>
        <v>040F</v>
      </c>
      <c r="I16" s="59">
        <v>1</v>
      </c>
      <c r="J16" s="61"/>
    </row>
    <row r="17" spans="1:10" s="25" customFormat="1" ht="27" customHeight="1">
      <c r="A17" s="65">
        <f t="shared" si="1"/>
        <v>15</v>
      </c>
      <c r="B17" s="76" t="str">
        <f t="shared" si="0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9" t="s">
        <v>432</v>
      </c>
      <c r="H17" s="64" t="str">
        <f t="shared" si="2"/>
        <v>0410</v>
      </c>
      <c r="I17" s="59">
        <v>1</v>
      </c>
      <c r="J17" s="61"/>
    </row>
    <row r="18" spans="1:10" s="25" customFormat="1" ht="27" customHeight="1">
      <c r="A18" s="65">
        <f t="shared" si="1"/>
        <v>16</v>
      </c>
      <c r="B18" s="76" t="str">
        <f t="shared" si="0"/>
        <v>reserved_byte16</v>
      </c>
      <c r="C18" s="59">
        <v>255</v>
      </c>
      <c r="D18" s="60">
        <v>255</v>
      </c>
      <c r="E18" s="59">
        <v>0</v>
      </c>
      <c r="F18" s="59">
        <v>255</v>
      </c>
      <c r="G18" s="79" t="s">
        <v>433</v>
      </c>
      <c r="H18" s="64" t="str">
        <f t="shared" si="2"/>
        <v>0411</v>
      </c>
      <c r="I18" s="59">
        <v>1</v>
      </c>
      <c r="J18" s="61"/>
    </row>
    <row r="19" spans="1:10" s="25" customFormat="1" ht="27" customHeight="1">
      <c r="A19" s="65">
        <f t="shared" si="1"/>
        <v>17</v>
      </c>
      <c r="B19" s="76" t="str">
        <f t="shared" si="0"/>
        <v>reserved_byte17</v>
      </c>
      <c r="C19" s="59">
        <v>255</v>
      </c>
      <c r="D19" s="60">
        <v>255</v>
      </c>
      <c r="E19" s="59">
        <v>0</v>
      </c>
      <c r="F19" s="59">
        <v>255</v>
      </c>
      <c r="G19" s="79" t="s">
        <v>434</v>
      </c>
      <c r="H19" s="64" t="str">
        <f t="shared" si="2"/>
        <v>0412</v>
      </c>
      <c r="I19" s="59">
        <v>1</v>
      </c>
      <c r="J19" s="61"/>
    </row>
    <row r="20" spans="1:10" s="25" customFormat="1" ht="27" customHeight="1">
      <c r="A20" s="65">
        <f t="shared" si="1"/>
        <v>18</v>
      </c>
      <c r="B20" s="76" t="str">
        <f t="shared" si="0"/>
        <v>reserved_byte18</v>
      </c>
      <c r="C20" s="59">
        <v>255</v>
      </c>
      <c r="D20" s="60">
        <v>255</v>
      </c>
      <c r="E20" s="59">
        <v>0</v>
      </c>
      <c r="F20" s="59">
        <v>255</v>
      </c>
      <c r="G20" s="79" t="s">
        <v>435</v>
      </c>
      <c r="H20" s="64" t="str">
        <f t="shared" si="2"/>
        <v>0413</v>
      </c>
      <c r="I20" s="59">
        <v>1</v>
      </c>
      <c r="J20" s="61"/>
    </row>
    <row r="21" spans="1:10" s="25" customFormat="1" ht="27" customHeight="1">
      <c r="A21" s="65">
        <f t="shared" si="1"/>
        <v>19</v>
      </c>
      <c r="B21" s="76" t="str">
        <f t="shared" si="0"/>
        <v>reserved_byte19</v>
      </c>
      <c r="C21" s="59">
        <v>255</v>
      </c>
      <c r="D21" s="60">
        <v>255</v>
      </c>
      <c r="E21" s="59">
        <v>0</v>
      </c>
      <c r="F21" s="59">
        <v>255</v>
      </c>
      <c r="G21" s="79" t="s">
        <v>436</v>
      </c>
      <c r="H21" s="64" t="str">
        <f t="shared" si="2"/>
        <v>0414</v>
      </c>
      <c r="I21" s="59">
        <v>1</v>
      </c>
      <c r="J21" s="61"/>
    </row>
    <row r="22" spans="1:10" s="25" customFormat="1" ht="27" customHeight="1">
      <c r="A22" s="65">
        <f t="shared" si="1"/>
        <v>20</v>
      </c>
      <c r="B22" s="76" t="str">
        <f t="shared" si="0"/>
        <v>reserved_byte20</v>
      </c>
      <c r="C22" s="59">
        <v>255</v>
      </c>
      <c r="D22" s="60">
        <v>255</v>
      </c>
      <c r="E22" s="59">
        <v>0</v>
      </c>
      <c r="F22" s="59">
        <v>255</v>
      </c>
      <c r="G22" s="76" t="s">
        <v>59</v>
      </c>
      <c r="H22" s="64" t="str">
        <f t="shared" si="2"/>
        <v>0415</v>
      </c>
      <c r="I22" s="59">
        <v>1</v>
      </c>
      <c r="J22" s="61"/>
    </row>
    <row r="23" spans="1:10" s="25" customFormat="1" ht="27" customHeight="1">
      <c r="A23" s="65">
        <f t="shared" si="1"/>
        <v>21</v>
      </c>
      <c r="B23" s="76" t="str">
        <f t="shared" si="0"/>
        <v>reserved_byte21</v>
      </c>
      <c r="C23" s="59">
        <v>255</v>
      </c>
      <c r="D23" s="60">
        <v>255</v>
      </c>
      <c r="E23" s="59">
        <v>0</v>
      </c>
      <c r="F23" s="59">
        <v>255</v>
      </c>
      <c r="G23" s="76" t="s">
        <v>59</v>
      </c>
      <c r="H23" s="64" t="str">
        <f t="shared" si="2"/>
        <v>0416</v>
      </c>
      <c r="I23" s="59">
        <v>1</v>
      </c>
      <c r="J23" s="61"/>
    </row>
    <row r="24" spans="1:10" s="25" customFormat="1" ht="27" customHeight="1">
      <c r="A24" s="65">
        <f t="shared" si="1"/>
        <v>22</v>
      </c>
      <c r="B24" s="76" t="str">
        <f t="shared" si="0"/>
        <v>reserved_byte22</v>
      </c>
      <c r="C24" s="59">
        <v>255</v>
      </c>
      <c r="D24" s="60">
        <v>255</v>
      </c>
      <c r="E24" s="59">
        <v>0</v>
      </c>
      <c r="F24" s="59">
        <v>255</v>
      </c>
      <c r="G24" s="76" t="s">
        <v>59</v>
      </c>
      <c r="H24" s="64" t="str">
        <f t="shared" si="2"/>
        <v>0417</v>
      </c>
      <c r="I24" s="59">
        <v>1</v>
      </c>
      <c r="J24" s="61"/>
    </row>
    <row r="25" spans="1:10" s="25" customFormat="1" ht="27" customHeight="1">
      <c r="A25" s="65">
        <f t="shared" si="1"/>
        <v>23</v>
      </c>
      <c r="B25" s="76" t="str">
        <f t="shared" si="0"/>
        <v>reserved_byte23</v>
      </c>
      <c r="C25" s="59">
        <v>255</v>
      </c>
      <c r="D25" s="60">
        <v>255</v>
      </c>
      <c r="E25" s="59">
        <v>0</v>
      </c>
      <c r="F25" s="59">
        <v>255</v>
      </c>
      <c r="G25" s="76" t="s">
        <v>59</v>
      </c>
      <c r="H25" s="64" t="str">
        <f t="shared" si="2"/>
        <v>0418</v>
      </c>
      <c r="I25" s="59">
        <v>1</v>
      </c>
      <c r="J25" s="61"/>
    </row>
  </sheetData>
  <dataValidations count="3">
    <dataValidation type="decimal" allowBlank="1" showInputMessage="1" showErrorMessage="1" sqref="D2:D25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  <dataValidation type="decimal" operator="lessThanOrEqual" allowBlank="1" showInputMessage="1" showErrorMessage="1" sqref="F2:F25">
      <formula1>255</formula1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FF0000"/>
    <pageSetUpPr fitToPage="1"/>
  </sheetPr>
  <dimension ref="A1:J17"/>
  <sheetViews>
    <sheetView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 t="shared" ref="B2:B17" si="0"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9" t="s">
        <v>437</v>
      </c>
      <c r="H2" s="63">
        <v>1</v>
      </c>
      <c r="I2" s="59">
        <v>1</v>
      </c>
      <c r="J2" s="61"/>
    </row>
    <row r="3" spans="1:10" s="25" customFormat="1" ht="27" customHeight="1">
      <c r="A3" s="65">
        <f t="shared" ref="A3:A17" si="1">A2+1</f>
        <v>1</v>
      </c>
      <c r="B3" s="76" t="str">
        <f t="shared" si="0"/>
        <v>reserved_byte1</v>
      </c>
      <c r="C3" s="59">
        <v>255</v>
      </c>
      <c r="D3" s="60">
        <v>255</v>
      </c>
      <c r="E3" s="59">
        <v>0</v>
      </c>
      <c r="F3" s="59">
        <v>255</v>
      </c>
      <c r="G3" s="79" t="s">
        <v>438</v>
      </c>
      <c r="H3" s="64" t="str">
        <f t="shared" ref="H3:H17" si="2">DEC2HEX((HEX2DEC(H2)+1),4)</f>
        <v>0002</v>
      </c>
      <c r="I3" s="59">
        <v>1</v>
      </c>
      <c r="J3" s="61"/>
    </row>
    <row r="4" spans="1:10" s="25" customFormat="1" ht="27" customHeight="1">
      <c r="A4" s="65">
        <f t="shared" si="1"/>
        <v>2</v>
      </c>
      <c r="B4" s="76" t="str">
        <f t="shared" si="0"/>
        <v>reserved_byte2</v>
      </c>
      <c r="C4" s="59">
        <v>255</v>
      </c>
      <c r="D4" s="60">
        <v>255</v>
      </c>
      <c r="E4" s="59">
        <v>0</v>
      </c>
      <c r="F4" s="59">
        <v>255</v>
      </c>
      <c r="G4" s="79" t="s">
        <v>439</v>
      </c>
      <c r="H4" s="64" t="str">
        <f t="shared" si="2"/>
        <v>0003</v>
      </c>
      <c r="I4" s="59">
        <v>1</v>
      </c>
      <c r="J4" s="61"/>
    </row>
    <row r="5" spans="1:10" s="25" customFormat="1" ht="27" customHeight="1">
      <c r="A5" s="65">
        <f t="shared" si="1"/>
        <v>3</v>
      </c>
      <c r="B5" s="76" t="str">
        <f t="shared" si="0"/>
        <v>reserved_byte3</v>
      </c>
      <c r="C5" s="59">
        <v>255</v>
      </c>
      <c r="D5" s="60">
        <v>255</v>
      </c>
      <c r="E5" s="59">
        <v>0</v>
      </c>
      <c r="F5" s="59">
        <v>255</v>
      </c>
      <c r="G5" s="79" t="s">
        <v>440</v>
      </c>
      <c r="H5" s="64" t="str">
        <f t="shared" si="2"/>
        <v>0004</v>
      </c>
      <c r="I5" s="59">
        <v>1</v>
      </c>
      <c r="J5" s="61"/>
    </row>
    <row r="6" spans="1:10" s="25" customFormat="1" ht="27" customHeight="1">
      <c r="A6" s="65">
        <f t="shared" si="1"/>
        <v>4</v>
      </c>
      <c r="B6" s="76" t="str">
        <f t="shared" si="0"/>
        <v>reserved_byte4</v>
      </c>
      <c r="C6" s="59">
        <v>255</v>
      </c>
      <c r="D6" s="60">
        <v>255</v>
      </c>
      <c r="E6" s="59">
        <v>0</v>
      </c>
      <c r="F6" s="59">
        <v>255</v>
      </c>
      <c r="G6" s="79" t="s">
        <v>441</v>
      </c>
      <c r="H6" s="64" t="str">
        <f t="shared" si="2"/>
        <v>0005</v>
      </c>
      <c r="I6" s="59">
        <v>1</v>
      </c>
      <c r="J6" s="61"/>
    </row>
    <row r="7" spans="1:10" s="25" customFormat="1" ht="27" customHeight="1">
      <c r="A7" s="65">
        <f t="shared" si="1"/>
        <v>5</v>
      </c>
      <c r="B7" s="76" t="str">
        <f t="shared" si="0"/>
        <v>reserved_byte5</v>
      </c>
      <c r="C7" s="59">
        <v>255</v>
      </c>
      <c r="D7" s="60">
        <v>255</v>
      </c>
      <c r="E7" s="59">
        <v>0</v>
      </c>
      <c r="F7" s="59">
        <v>255</v>
      </c>
      <c r="G7" s="79" t="s">
        <v>442</v>
      </c>
      <c r="H7" s="64" t="str">
        <f t="shared" si="2"/>
        <v>0006</v>
      </c>
      <c r="I7" s="59">
        <v>1</v>
      </c>
      <c r="J7" s="61"/>
    </row>
    <row r="8" spans="1:10" s="25" customFormat="1" ht="27" customHeight="1">
      <c r="A8" s="65">
        <f t="shared" si="1"/>
        <v>6</v>
      </c>
      <c r="B8" s="76" t="str">
        <f t="shared" si="0"/>
        <v>reserved_byte6</v>
      </c>
      <c r="C8" s="59">
        <v>255</v>
      </c>
      <c r="D8" s="60">
        <v>255</v>
      </c>
      <c r="E8" s="59">
        <v>0</v>
      </c>
      <c r="F8" s="59">
        <v>255</v>
      </c>
      <c r="G8" s="79" t="s">
        <v>443</v>
      </c>
      <c r="H8" s="64" t="str">
        <f t="shared" si="2"/>
        <v>0007</v>
      </c>
      <c r="I8" s="59">
        <v>1</v>
      </c>
      <c r="J8" s="61"/>
    </row>
    <row r="9" spans="1:10" s="25" customFormat="1" ht="27" customHeight="1">
      <c r="A9" s="65">
        <f t="shared" si="1"/>
        <v>7</v>
      </c>
      <c r="B9" s="76" t="str">
        <f t="shared" si="0"/>
        <v>reserved_byte7</v>
      </c>
      <c r="C9" s="59">
        <v>255</v>
      </c>
      <c r="D9" s="60">
        <v>255</v>
      </c>
      <c r="E9" s="59">
        <v>0</v>
      </c>
      <c r="F9" s="59">
        <v>255</v>
      </c>
      <c r="G9" s="79" t="s">
        <v>444</v>
      </c>
      <c r="H9" s="64" t="str">
        <f t="shared" si="2"/>
        <v>0008</v>
      </c>
      <c r="I9" s="59">
        <v>1</v>
      </c>
      <c r="J9" s="61"/>
    </row>
    <row r="10" spans="1:10" s="25" customFormat="1" ht="27" customHeight="1">
      <c r="A10" s="65">
        <f t="shared" si="1"/>
        <v>8</v>
      </c>
      <c r="B10" s="76" t="str">
        <f t="shared" si="0"/>
        <v>reserved_byte8</v>
      </c>
      <c r="C10" s="59">
        <v>255</v>
      </c>
      <c r="D10" s="60">
        <v>255</v>
      </c>
      <c r="E10" s="59">
        <v>0</v>
      </c>
      <c r="F10" s="59">
        <v>255</v>
      </c>
      <c r="G10" s="79" t="s">
        <v>445</v>
      </c>
      <c r="H10" s="64" t="str">
        <f t="shared" si="2"/>
        <v>0009</v>
      </c>
      <c r="I10" s="59">
        <v>1</v>
      </c>
      <c r="J10" s="61"/>
    </row>
    <row r="11" spans="1:10" s="25" customFormat="1" ht="27" customHeight="1">
      <c r="A11" s="65">
        <f t="shared" si="1"/>
        <v>9</v>
      </c>
      <c r="B11" s="76" t="str">
        <f t="shared" si="0"/>
        <v>reserved_byte9</v>
      </c>
      <c r="C11" s="59">
        <v>255</v>
      </c>
      <c r="D11" s="60">
        <v>255</v>
      </c>
      <c r="E11" s="59">
        <v>0</v>
      </c>
      <c r="F11" s="59">
        <v>255</v>
      </c>
      <c r="G11" s="79" t="s">
        <v>446</v>
      </c>
      <c r="H11" s="64" t="str">
        <f t="shared" si="2"/>
        <v>000A</v>
      </c>
      <c r="I11" s="59">
        <v>1</v>
      </c>
      <c r="J11" s="61"/>
    </row>
    <row r="12" spans="1:10" s="25" customFormat="1" ht="27" customHeight="1">
      <c r="A12" s="65">
        <f t="shared" si="1"/>
        <v>10</v>
      </c>
      <c r="B12" s="76" t="str">
        <f t="shared" si="0"/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9" t="s">
        <v>447</v>
      </c>
      <c r="H12" s="64" t="str">
        <f t="shared" si="2"/>
        <v>000B</v>
      </c>
      <c r="I12" s="59">
        <v>1</v>
      </c>
      <c r="J12" s="61"/>
    </row>
    <row r="13" spans="1:10" s="25" customFormat="1" ht="27" customHeight="1">
      <c r="A13" s="65">
        <f t="shared" si="1"/>
        <v>11</v>
      </c>
      <c r="B13" s="76" t="str">
        <f t="shared" si="0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9" t="s">
        <v>448</v>
      </c>
      <c r="H13" s="64" t="str">
        <f t="shared" si="2"/>
        <v>000C</v>
      </c>
      <c r="I13" s="59">
        <v>1</v>
      </c>
      <c r="J13" s="61"/>
    </row>
    <row r="14" spans="1:10" s="25" customFormat="1" ht="27" customHeight="1">
      <c r="A14" s="65">
        <f t="shared" si="1"/>
        <v>12</v>
      </c>
      <c r="B14" s="76" t="str">
        <f t="shared" si="0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9" t="s">
        <v>449</v>
      </c>
      <c r="H14" s="64" t="str">
        <f t="shared" si="2"/>
        <v>000D</v>
      </c>
      <c r="I14" s="59">
        <v>1</v>
      </c>
      <c r="J14" s="61"/>
    </row>
    <row r="15" spans="1:10" s="25" customFormat="1" ht="27" customHeight="1">
      <c r="A15" s="65">
        <f t="shared" si="1"/>
        <v>13</v>
      </c>
      <c r="B15" s="76" t="str">
        <f t="shared" si="0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9" t="s">
        <v>450</v>
      </c>
      <c r="H15" s="64" t="str">
        <f t="shared" si="2"/>
        <v>000E</v>
      </c>
      <c r="I15" s="59">
        <v>1</v>
      </c>
      <c r="J15" s="61"/>
    </row>
    <row r="16" spans="1:10" s="25" customFormat="1" ht="27" customHeight="1">
      <c r="A16" s="65">
        <f t="shared" si="1"/>
        <v>14</v>
      </c>
      <c r="B16" s="76" t="str">
        <f t="shared" si="0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9" t="s">
        <v>451</v>
      </c>
      <c r="H16" s="64" t="str">
        <f t="shared" si="2"/>
        <v>000F</v>
      </c>
      <c r="I16" s="59">
        <v>1</v>
      </c>
      <c r="J16" s="61"/>
    </row>
    <row r="17" spans="1:10" s="25" customFormat="1" ht="27" customHeight="1">
      <c r="A17" s="65">
        <f t="shared" si="1"/>
        <v>15</v>
      </c>
      <c r="B17" s="76" t="str">
        <f t="shared" si="0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9" t="s">
        <v>452</v>
      </c>
      <c r="H17" s="64" t="str">
        <f t="shared" si="2"/>
        <v>0010</v>
      </c>
      <c r="I17" s="59">
        <v>1</v>
      </c>
      <c r="J17" s="61"/>
    </row>
  </sheetData>
  <dataValidations count="3">
    <dataValidation type="decimal" allowBlank="1" showInputMessage="1" showErrorMessage="1" sqref="D2:D17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  <dataValidation type="decimal" operator="lessThanOrEqual" allowBlank="1" showInputMessage="1" showErrorMessage="1" sqref="F2:F17">
      <formula1>255</formula1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>
    <tabColor rgb="FFFF0000"/>
    <pageSetUpPr fitToPage="1"/>
  </sheetPr>
  <dimension ref="A1:J5"/>
  <sheetViews>
    <sheetView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9" t="s">
        <v>453</v>
      </c>
      <c r="H2" s="63">
        <v>101</v>
      </c>
      <c r="I2" s="59">
        <v>1</v>
      </c>
      <c r="J2" s="61"/>
    </row>
    <row r="3" spans="1:10" s="25" customFormat="1" ht="27" customHeight="1">
      <c r="A3" s="65">
        <f>A2+1</f>
        <v>1</v>
      </c>
      <c r="B3" s="76" t="str">
        <f>"reserved_byte" &amp;TEXT(A3,0)</f>
        <v>reserved_byte1</v>
      </c>
      <c r="C3" s="59">
        <v>255</v>
      </c>
      <c r="D3" s="60">
        <v>255</v>
      </c>
      <c r="E3" s="59">
        <v>0</v>
      </c>
      <c r="F3" s="59">
        <v>255</v>
      </c>
      <c r="G3" s="79" t="s">
        <v>454</v>
      </c>
      <c r="H3" s="64" t="str">
        <f>DEC2HEX((HEX2DEC(H2)+1),4)</f>
        <v>0102</v>
      </c>
      <c r="I3" s="59">
        <v>1</v>
      </c>
      <c r="J3" s="61"/>
    </row>
    <row r="4" spans="1:10" s="25" customFormat="1" ht="27" customHeight="1">
      <c r="A4" s="65">
        <f>A3+1</f>
        <v>2</v>
      </c>
      <c r="B4" s="76" t="str">
        <f>"reserved_byte" &amp;TEXT(A4,0)</f>
        <v>reserved_byte2</v>
      </c>
      <c r="C4" s="59">
        <v>255</v>
      </c>
      <c r="D4" s="60">
        <v>255</v>
      </c>
      <c r="E4" s="59">
        <v>0</v>
      </c>
      <c r="F4" s="59">
        <v>255</v>
      </c>
      <c r="G4" s="79" t="s">
        <v>455</v>
      </c>
      <c r="H4" s="64" t="str">
        <f>DEC2HEX((HEX2DEC(H3)+1),4)</f>
        <v>0103</v>
      </c>
      <c r="I4" s="59">
        <v>1</v>
      </c>
      <c r="J4" s="61"/>
    </row>
    <row r="5" spans="1:10" s="25" customFormat="1" ht="27" customHeight="1">
      <c r="A5" s="65">
        <f>A4+1</f>
        <v>3</v>
      </c>
      <c r="B5" s="76" t="str">
        <f>"reserved_byte" &amp;TEXT(A5,0)</f>
        <v>reserved_byte3</v>
      </c>
      <c r="C5" s="59">
        <v>255</v>
      </c>
      <c r="D5" s="60">
        <v>255</v>
      </c>
      <c r="E5" s="59">
        <v>0</v>
      </c>
      <c r="F5" s="59">
        <v>255</v>
      </c>
      <c r="G5" s="79" t="s">
        <v>456</v>
      </c>
      <c r="H5" s="64" t="str">
        <f>DEC2HEX((HEX2DEC(H4)+1),4)</f>
        <v>0104</v>
      </c>
      <c r="I5" s="59">
        <v>1</v>
      </c>
      <c r="J5" s="61"/>
    </row>
  </sheetData>
  <dataValidations disablePrompts="1" count="3">
    <dataValidation type="decimal" allowBlank="1" showInputMessage="1" showErrorMessage="1" sqref="D2:D5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  <dataValidation type="decimal" operator="lessThanOrEqual" allowBlank="1" showInputMessage="1" showErrorMessage="1" sqref="F2:F5">
      <formula1>255</formula1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tabColor rgb="FFFF0000"/>
    <pageSetUpPr fitToPage="1"/>
  </sheetPr>
  <dimension ref="A1:J17"/>
  <sheetViews>
    <sheetView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">
        <v>622</v>
      </c>
      <c r="C2" s="59">
        <v>255</v>
      </c>
      <c r="D2" s="60">
        <v>255</v>
      </c>
      <c r="E2" s="59">
        <v>0</v>
      </c>
      <c r="F2" s="59">
        <v>255</v>
      </c>
      <c r="G2" s="76" t="s">
        <v>629</v>
      </c>
      <c r="H2" s="63">
        <v>3901</v>
      </c>
      <c r="I2" s="59">
        <v>1</v>
      </c>
      <c r="J2" s="61"/>
    </row>
    <row r="3" spans="1:10" s="25" customFormat="1" ht="27" customHeight="1">
      <c r="A3" s="65">
        <f t="shared" ref="A3:A17" si="0">A2+1</f>
        <v>1</v>
      </c>
      <c r="B3" s="76" t="s">
        <v>623</v>
      </c>
      <c r="C3" s="59">
        <v>255</v>
      </c>
      <c r="D3" s="60">
        <v>255</v>
      </c>
      <c r="E3" s="59">
        <v>0</v>
      </c>
      <c r="F3" s="59">
        <v>255</v>
      </c>
      <c r="G3" s="76" t="s">
        <v>630</v>
      </c>
      <c r="H3" s="64" t="str">
        <f t="shared" ref="H3:H17" si="1">DEC2HEX((HEX2DEC(H2)+1),4)</f>
        <v>3902</v>
      </c>
      <c r="I3" s="59">
        <v>1</v>
      </c>
      <c r="J3" s="61"/>
    </row>
    <row r="4" spans="1:10" s="25" customFormat="1" ht="27" customHeight="1">
      <c r="A4" s="65">
        <f t="shared" si="0"/>
        <v>2</v>
      </c>
      <c r="B4" s="76" t="s">
        <v>624</v>
      </c>
      <c r="C4" s="59">
        <v>255</v>
      </c>
      <c r="D4" s="60">
        <v>255</v>
      </c>
      <c r="E4" s="59">
        <v>0</v>
      </c>
      <c r="F4" s="59">
        <v>255</v>
      </c>
      <c r="G4" s="76" t="s">
        <v>631</v>
      </c>
      <c r="H4" s="64" t="str">
        <f t="shared" si="1"/>
        <v>3903</v>
      </c>
      <c r="I4" s="59">
        <v>1</v>
      </c>
      <c r="J4" s="61"/>
    </row>
    <row r="5" spans="1:10" s="25" customFormat="1" ht="27" customHeight="1">
      <c r="A5" s="65">
        <f t="shared" si="0"/>
        <v>3</v>
      </c>
      <c r="B5" s="76" t="s">
        <v>625</v>
      </c>
      <c r="C5" s="59">
        <v>0</v>
      </c>
      <c r="D5" s="60">
        <v>0</v>
      </c>
      <c r="E5" s="59">
        <v>0</v>
      </c>
      <c r="F5" s="59">
        <v>255</v>
      </c>
      <c r="G5" s="76" t="s">
        <v>632</v>
      </c>
      <c r="H5" s="64" t="str">
        <f t="shared" si="1"/>
        <v>3904</v>
      </c>
      <c r="I5" s="59">
        <v>1</v>
      </c>
      <c r="J5" s="61"/>
    </row>
    <row r="6" spans="1:10" s="25" customFormat="1" ht="27" customHeight="1">
      <c r="A6" s="65">
        <f t="shared" si="0"/>
        <v>4</v>
      </c>
      <c r="B6" s="76" t="s">
        <v>626</v>
      </c>
      <c r="C6" s="59">
        <v>255</v>
      </c>
      <c r="D6" s="60">
        <v>255</v>
      </c>
      <c r="E6" s="59">
        <v>0</v>
      </c>
      <c r="F6" s="59">
        <v>255</v>
      </c>
      <c r="G6" s="76" t="s">
        <v>633</v>
      </c>
      <c r="H6" s="64" t="str">
        <f t="shared" si="1"/>
        <v>3905</v>
      </c>
      <c r="I6" s="59">
        <v>1</v>
      </c>
      <c r="J6" s="61"/>
    </row>
    <row r="7" spans="1:10" s="25" customFormat="1" ht="27" customHeight="1">
      <c r="A7" s="65">
        <f t="shared" si="0"/>
        <v>5</v>
      </c>
      <c r="B7" s="76" t="s">
        <v>627</v>
      </c>
      <c r="C7" s="59">
        <v>255</v>
      </c>
      <c r="D7" s="60">
        <v>255</v>
      </c>
      <c r="E7" s="59">
        <v>0</v>
      </c>
      <c r="F7" s="59">
        <v>255</v>
      </c>
      <c r="G7" s="76" t="s">
        <v>634</v>
      </c>
      <c r="H7" s="64" t="str">
        <f t="shared" si="1"/>
        <v>3906</v>
      </c>
      <c r="I7" s="59">
        <v>1</v>
      </c>
      <c r="J7" s="61"/>
    </row>
    <row r="8" spans="1:10" s="25" customFormat="1" ht="27" customHeight="1">
      <c r="A8" s="65">
        <f t="shared" si="0"/>
        <v>6</v>
      </c>
      <c r="B8" s="76" t="s">
        <v>628</v>
      </c>
      <c r="C8" s="59">
        <v>255</v>
      </c>
      <c r="D8" s="60">
        <v>255</v>
      </c>
      <c r="E8" s="59">
        <v>0</v>
      </c>
      <c r="F8" s="59">
        <v>255</v>
      </c>
      <c r="G8" s="76" t="s">
        <v>635</v>
      </c>
      <c r="H8" s="64" t="str">
        <f t="shared" si="1"/>
        <v>3907</v>
      </c>
      <c r="I8" s="59">
        <v>1</v>
      </c>
      <c r="J8" s="61"/>
    </row>
    <row r="9" spans="1:10" s="25" customFormat="1" ht="27" customHeight="1">
      <c r="A9" s="65">
        <f t="shared" si="0"/>
        <v>7</v>
      </c>
      <c r="B9" s="76" t="s">
        <v>718</v>
      </c>
      <c r="C9" s="59">
        <v>255</v>
      </c>
      <c r="D9" s="60">
        <v>255</v>
      </c>
      <c r="E9" s="59">
        <v>0</v>
      </c>
      <c r="F9" s="59">
        <v>255</v>
      </c>
      <c r="G9" s="76" t="s">
        <v>715</v>
      </c>
      <c r="H9" s="64" t="str">
        <f t="shared" si="1"/>
        <v>3908</v>
      </c>
      <c r="I9" s="59">
        <v>1</v>
      </c>
      <c r="J9" s="61"/>
    </row>
    <row r="10" spans="1:10" s="25" customFormat="1" ht="27" customHeight="1">
      <c r="A10" s="65">
        <f t="shared" si="0"/>
        <v>8</v>
      </c>
      <c r="B10" s="76" t="s">
        <v>719</v>
      </c>
      <c r="C10" s="59">
        <v>255</v>
      </c>
      <c r="D10" s="60">
        <v>255</v>
      </c>
      <c r="E10" s="59">
        <v>0</v>
      </c>
      <c r="F10" s="59">
        <v>255</v>
      </c>
      <c r="G10" s="76" t="s">
        <v>716</v>
      </c>
      <c r="H10" s="64" t="str">
        <f t="shared" si="1"/>
        <v>3909</v>
      </c>
      <c r="I10" s="59">
        <v>1</v>
      </c>
      <c r="J10" s="61"/>
    </row>
    <row r="11" spans="1:10" s="25" customFormat="1" ht="27" customHeight="1">
      <c r="A11" s="65">
        <f t="shared" si="0"/>
        <v>9</v>
      </c>
      <c r="B11" s="76" t="s">
        <v>720</v>
      </c>
      <c r="C11" s="59">
        <v>255</v>
      </c>
      <c r="D11" s="60">
        <v>255</v>
      </c>
      <c r="E11" s="59">
        <v>0</v>
      </c>
      <c r="F11" s="59">
        <v>255</v>
      </c>
      <c r="G11" s="76" t="s">
        <v>717</v>
      </c>
      <c r="H11" s="64" t="str">
        <f t="shared" si="1"/>
        <v>390A</v>
      </c>
      <c r="I11" s="59">
        <v>1</v>
      </c>
      <c r="J11" s="61"/>
    </row>
    <row r="12" spans="1:10" s="25" customFormat="1" ht="27" customHeight="1">
      <c r="A12" s="65">
        <f t="shared" si="0"/>
        <v>10</v>
      </c>
      <c r="B12" s="76" t="str">
        <f t="shared" ref="B12:B17" si="2">"reserved_byte" &amp;TEXT(A12,0)</f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6" t="s">
        <v>59</v>
      </c>
      <c r="H12" s="64" t="str">
        <f t="shared" si="1"/>
        <v>390B</v>
      </c>
      <c r="I12" s="59">
        <v>1</v>
      </c>
      <c r="J12" s="61"/>
    </row>
    <row r="13" spans="1:10" s="25" customFormat="1" ht="27" customHeight="1">
      <c r="A13" s="65">
        <f t="shared" si="0"/>
        <v>11</v>
      </c>
      <c r="B13" s="76" t="str">
        <f t="shared" si="2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6" t="s">
        <v>59</v>
      </c>
      <c r="H13" s="64" t="str">
        <f t="shared" si="1"/>
        <v>390C</v>
      </c>
      <c r="I13" s="59">
        <v>1</v>
      </c>
      <c r="J13" s="61"/>
    </row>
    <row r="14" spans="1:10" s="25" customFormat="1" ht="27" customHeight="1">
      <c r="A14" s="65">
        <f t="shared" si="0"/>
        <v>12</v>
      </c>
      <c r="B14" s="76" t="str">
        <f t="shared" si="2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6" t="s">
        <v>59</v>
      </c>
      <c r="H14" s="64" t="str">
        <f t="shared" si="1"/>
        <v>390D</v>
      </c>
      <c r="I14" s="59">
        <v>1</v>
      </c>
      <c r="J14" s="61"/>
    </row>
    <row r="15" spans="1:10" s="25" customFormat="1" ht="27" customHeight="1">
      <c r="A15" s="65">
        <f t="shared" si="0"/>
        <v>13</v>
      </c>
      <c r="B15" s="76" t="str">
        <f t="shared" si="2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6" t="s">
        <v>59</v>
      </c>
      <c r="H15" s="64" t="str">
        <f t="shared" si="1"/>
        <v>390E</v>
      </c>
      <c r="I15" s="59">
        <v>1</v>
      </c>
      <c r="J15" s="61"/>
    </row>
    <row r="16" spans="1:10" s="25" customFormat="1" ht="27" customHeight="1">
      <c r="A16" s="65">
        <f t="shared" si="0"/>
        <v>14</v>
      </c>
      <c r="B16" s="76" t="str">
        <f t="shared" si="2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6" t="s">
        <v>59</v>
      </c>
      <c r="H16" s="64" t="str">
        <f t="shared" si="1"/>
        <v>390F</v>
      </c>
      <c r="I16" s="59">
        <v>1</v>
      </c>
      <c r="J16" s="61"/>
    </row>
    <row r="17" spans="1:10" s="25" customFormat="1" ht="27" customHeight="1">
      <c r="A17" s="65">
        <f t="shared" si="0"/>
        <v>15</v>
      </c>
      <c r="B17" s="76" t="str">
        <f t="shared" si="2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6" t="s">
        <v>59</v>
      </c>
      <c r="H17" s="64" t="str">
        <f t="shared" si="1"/>
        <v>3910</v>
      </c>
      <c r="I17" s="59">
        <v>1</v>
      </c>
      <c r="J17" s="61"/>
    </row>
  </sheetData>
  <dataValidations count="3">
    <dataValidation type="decimal" operator="lessThanOrEqual" allowBlank="1" showInputMessage="1" showErrorMessage="1" sqref="F2:F17">
      <formula1>255</formula1>
    </dataValidation>
    <dataValidation type="decimal" allowBlank="1" showInputMessage="1" showErrorMessage="1" sqref="D2:D17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A1:M189"/>
  <sheetViews>
    <sheetView topLeftCell="A121" zoomScaleNormal="100" workbookViewId="0">
      <selection activeCell="G159" sqref="G159"/>
    </sheetView>
  </sheetViews>
  <sheetFormatPr defaultColWidth="11.42578125" defaultRowHeight="29.25" customHeight="1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2" ht="29.25" customHeight="1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2" s="25" customFormat="1" ht="29.25" customHeight="1">
      <c r="A2" s="65">
        <v>0</v>
      </c>
      <c r="B2" s="76" t="s">
        <v>776</v>
      </c>
      <c r="C2" s="61">
        <v>113</v>
      </c>
      <c r="D2" s="129">
        <v>113</v>
      </c>
      <c r="E2" s="61">
        <v>0</v>
      </c>
      <c r="F2" s="61">
        <v>255</v>
      </c>
      <c r="G2" s="76" t="s">
        <v>921</v>
      </c>
      <c r="H2" s="63">
        <v>1001</v>
      </c>
      <c r="I2" s="61" t="s">
        <v>1072</v>
      </c>
      <c r="J2" s="61" t="s">
        <v>108</v>
      </c>
      <c r="K2" s="181"/>
      <c r="L2" s="182" t="s">
        <v>1091</v>
      </c>
    </row>
    <row r="3" spans="1:12" s="25" customFormat="1" ht="29.25" customHeight="1">
      <c r="A3" s="65">
        <f t="shared" ref="A3:A66" si="0">A2+1</f>
        <v>1</v>
      </c>
      <c r="B3" s="76" t="s">
        <v>777</v>
      </c>
      <c r="C3" s="61">
        <v>200</v>
      </c>
      <c r="D3" s="129">
        <v>200</v>
      </c>
      <c r="E3" s="61">
        <v>0</v>
      </c>
      <c r="F3" s="61">
        <v>255</v>
      </c>
      <c r="G3" s="76" t="s">
        <v>922</v>
      </c>
      <c r="H3" s="130" t="str">
        <f t="shared" ref="H3:H66" si="1">DEC2HEX((HEX2DEC(H2)+1),4)</f>
        <v>1002</v>
      </c>
      <c r="I3" s="61" t="s">
        <v>1072</v>
      </c>
      <c r="J3" s="61" t="s">
        <v>108</v>
      </c>
      <c r="K3" s="181"/>
      <c r="L3" s="182" t="s">
        <v>1091</v>
      </c>
    </row>
    <row r="4" spans="1:12" s="25" customFormat="1" ht="29.25" customHeight="1">
      <c r="A4" s="65">
        <f t="shared" si="0"/>
        <v>2</v>
      </c>
      <c r="B4" s="76" t="s">
        <v>778</v>
      </c>
      <c r="C4" s="61">
        <v>113</v>
      </c>
      <c r="D4" s="129">
        <v>113</v>
      </c>
      <c r="E4" s="61">
        <v>0</v>
      </c>
      <c r="F4" s="61">
        <v>255</v>
      </c>
      <c r="G4" s="76" t="s">
        <v>923</v>
      </c>
      <c r="H4" s="130" t="str">
        <f t="shared" si="1"/>
        <v>1003</v>
      </c>
      <c r="I4" s="61" t="s">
        <v>1072</v>
      </c>
      <c r="J4" s="61" t="s">
        <v>108</v>
      </c>
      <c r="K4" s="181"/>
      <c r="L4" s="182" t="s">
        <v>1091</v>
      </c>
    </row>
    <row r="5" spans="1:12" s="25" customFormat="1" ht="29.25" customHeight="1">
      <c r="A5" s="65">
        <f t="shared" si="0"/>
        <v>3</v>
      </c>
      <c r="B5" s="76" t="s">
        <v>779</v>
      </c>
      <c r="C5" s="61">
        <v>200</v>
      </c>
      <c r="D5" s="129">
        <v>200</v>
      </c>
      <c r="E5" s="61">
        <v>0</v>
      </c>
      <c r="F5" s="61">
        <v>255</v>
      </c>
      <c r="G5" s="76" t="s">
        <v>924</v>
      </c>
      <c r="H5" s="130" t="str">
        <f t="shared" si="1"/>
        <v>1004</v>
      </c>
      <c r="I5" s="61" t="s">
        <v>1072</v>
      </c>
      <c r="J5" s="61" t="s">
        <v>108</v>
      </c>
      <c r="K5" s="181"/>
      <c r="L5" s="182" t="s">
        <v>1091</v>
      </c>
    </row>
    <row r="6" spans="1:12" s="25" customFormat="1" ht="29.25" customHeight="1">
      <c r="A6" s="65">
        <f t="shared" si="0"/>
        <v>4</v>
      </c>
      <c r="B6" s="76" t="s">
        <v>780</v>
      </c>
      <c r="C6" s="61">
        <v>113</v>
      </c>
      <c r="D6" s="129">
        <v>113</v>
      </c>
      <c r="E6" s="61">
        <v>0</v>
      </c>
      <c r="F6" s="61">
        <v>255</v>
      </c>
      <c r="G6" s="76" t="s">
        <v>925</v>
      </c>
      <c r="H6" s="130" t="str">
        <f t="shared" si="1"/>
        <v>1005</v>
      </c>
      <c r="I6" s="61" t="s">
        <v>1072</v>
      </c>
      <c r="J6" s="61" t="s">
        <v>108</v>
      </c>
      <c r="K6" s="181"/>
      <c r="L6" s="182" t="s">
        <v>1091</v>
      </c>
    </row>
    <row r="7" spans="1:12" s="25" customFormat="1" ht="29.25" customHeight="1">
      <c r="A7" s="65">
        <f t="shared" si="0"/>
        <v>5</v>
      </c>
      <c r="B7" s="76" t="s">
        <v>781</v>
      </c>
      <c r="C7" s="61">
        <v>200</v>
      </c>
      <c r="D7" s="129">
        <v>200</v>
      </c>
      <c r="E7" s="61">
        <v>0</v>
      </c>
      <c r="F7" s="61">
        <v>255</v>
      </c>
      <c r="G7" s="76" t="s">
        <v>926</v>
      </c>
      <c r="H7" s="130" t="str">
        <f t="shared" si="1"/>
        <v>1006</v>
      </c>
      <c r="I7" s="61" t="s">
        <v>1072</v>
      </c>
      <c r="J7" s="61" t="s">
        <v>108</v>
      </c>
      <c r="K7" s="181"/>
      <c r="L7" s="182" t="s">
        <v>1091</v>
      </c>
    </row>
    <row r="8" spans="1:12" s="25" customFormat="1" ht="29.25" customHeight="1">
      <c r="A8" s="65">
        <f t="shared" si="0"/>
        <v>6</v>
      </c>
      <c r="B8" s="76" t="s">
        <v>782</v>
      </c>
      <c r="C8" s="189">
        <v>70</v>
      </c>
      <c r="D8" s="190">
        <v>70</v>
      </c>
      <c r="E8" s="61">
        <v>0</v>
      </c>
      <c r="F8" s="61">
        <v>255</v>
      </c>
      <c r="G8" s="76" t="s">
        <v>927</v>
      </c>
      <c r="H8" s="130" t="str">
        <f t="shared" si="1"/>
        <v>1007</v>
      </c>
      <c r="I8" s="61" t="s">
        <v>1073</v>
      </c>
      <c r="J8" s="61" t="s">
        <v>1074</v>
      </c>
      <c r="K8" s="181"/>
      <c r="L8" s="182" t="s">
        <v>1092</v>
      </c>
    </row>
    <row r="9" spans="1:12" s="25" customFormat="1" ht="29.25" customHeight="1">
      <c r="A9" s="65">
        <f t="shared" si="0"/>
        <v>7</v>
      </c>
      <c r="B9" s="76" t="s">
        <v>783</v>
      </c>
      <c r="C9" s="189">
        <v>46</v>
      </c>
      <c r="D9" s="190">
        <v>46.000000000000007</v>
      </c>
      <c r="E9" s="61">
        <v>0</v>
      </c>
      <c r="F9" s="61">
        <v>255</v>
      </c>
      <c r="G9" s="76" t="s">
        <v>928</v>
      </c>
      <c r="H9" s="130" t="str">
        <f t="shared" si="1"/>
        <v>1008</v>
      </c>
      <c r="I9" s="61" t="s">
        <v>1073</v>
      </c>
      <c r="J9" s="61" t="s">
        <v>1074</v>
      </c>
      <c r="K9" s="181"/>
      <c r="L9" s="182" t="s">
        <v>1092</v>
      </c>
    </row>
    <row r="10" spans="1:12" s="25" customFormat="1" ht="29.25" customHeight="1">
      <c r="A10" s="65">
        <f t="shared" si="0"/>
        <v>8</v>
      </c>
      <c r="B10" s="76" t="s">
        <v>784</v>
      </c>
      <c r="C10" s="187">
        <v>36</v>
      </c>
      <c r="D10" s="188">
        <v>36.000000000000007</v>
      </c>
      <c r="E10" s="61">
        <v>0</v>
      </c>
      <c r="F10" s="61">
        <v>255</v>
      </c>
      <c r="G10" s="76" t="s">
        <v>929</v>
      </c>
      <c r="H10" s="130" t="str">
        <f t="shared" si="1"/>
        <v>1009</v>
      </c>
      <c r="I10" s="61" t="s">
        <v>1073</v>
      </c>
      <c r="J10" s="61" t="s">
        <v>1074</v>
      </c>
      <c r="K10" s="181"/>
      <c r="L10" s="182" t="s">
        <v>1092</v>
      </c>
    </row>
    <row r="11" spans="1:12" s="25" customFormat="1" ht="29.25" customHeight="1">
      <c r="A11" s="65">
        <f t="shared" si="0"/>
        <v>9</v>
      </c>
      <c r="B11" s="76" t="s">
        <v>785</v>
      </c>
      <c r="C11" s="61">
        <v>21</v>
      </c>
      <c r="D11" s="129">
        <v>21</v>
      </c>
      <c r="E11" s="61">
        <v>0</v>
      </c>
      <c r="F11" s="61">
        <v>255</v>
      </c>
      <c r="G11" s="76" t="s">
        <v>930</v>
      </c>
      <c r="H11" s="130" t="str">
        <f t="shared" si="1"/>
        <v>100A</v>
      </c>
      <c r="I11" s="61" t="s">
        <v>1073</v>
      </c>
      <c r="J11" s="61" t="s">
        <v>1074</v>
      </c>
      <c r="K11" s="181"/>
      <c r="L11" s="182" t="s">
        <v>1092</v>
      </c>
    </row>
    <row r="12" spans="1:12" s="25" customFormat="1" ht="29.25" customHeight="1">
      <c r="A12" s="65">
        <f t="shared" si="0"/>
        <v>10</v>
      </c>
      <c r="B12" s="76" t="s">
        <v>786</v>
      </c>
      <c r="C12" s="185">
        <v>117</v>
      </c>
      <c r="D12" s="186">
        <v>117.00000000000001</v>
      </c>
      <c r="E12" s="61">
        <v>0</v>
      </c>
      <c r="F12" s="61">
        <v>255</v>
      </c>
      <c r="G12" s="76" t="s">
        <v>931</v>
      </c>
      <c r="H12" s="130" t="str">
        <f t="shared" si="1"/>
        <v>100B</v>
      </c>
      <c r="I12" s="61" t="s">
        <v>1073</v>
      </c>
      <c r="J12" s="61" t="s">
        <v>1074</v>
      </c>
      <c r="K12" s="181"/>
      <c r="L12" s="182" t="s">
        <v>1092</v>
      </c>
    </row>
    <row r="13" spans="1:12" s="25" customFormat="1" ht="29.25" customHeight="1">
      <c r="A13" s="65">
        <f t="shared" si="0"/>
        <v>11</v>
      </c>
      <c r="B13" s="76" t="s">
        <v>787</v>
      </c>
      <c r="C13" s="185">
        <v>82</v>
      </c>
      <c r="D13" s="186">
        <v>82.000000000000014</v>
      </c>
      <c r="E13" s="61">
        <v>0</v>
      </c>
      <c r="F13" s="61">
        <v>255</v>
      </c>
      <c r="G13" s="76" t="s">
        <v>932</v>
      </c>
      <c r="H13" s="130" t="str">
        <f t="shared" si="1"/>
        <v>100C</v>
      </c>
      <c r="I13" s="61" t="s">
        <v>1073</v>
      </c>
      <c r="J13" s="61" t="s">
        <v>1074</v>
      </c>
      <c r="K13" s="181"/>
      <c r="L13" s="182" t="s">
        <v>1092</v>
      </c>
    </row>
    <row r="14" spans="1:12" s="25" customFormat="1" ht="29.25" customHeight="1">
      <c r="A14" s="65">
        <f t="shared" si="0"/>
        <v>12</v>
      </c>
      <c r="B14" s="76" t="s">
        <v>788</v>
      </c>
      <c r="C14" s="199">
        <v>22</v>
      </c>
      <c r="D14" s="200">
        <v>22</v>
      </c>
      <c r="E14" s="61">
        <v>0</v>
      </c>
      <c r="F14" s="61">
        <v>255</v>
      </c>
      <c r="G14" s="76" t="s">
        <v>933</v>
      </c>
      <c r="H14" s="130" t="str">
        <f t="shared" si="1"/>
        <v>100D</v>
      </c>
      <c r="I14" s="61" t="s">
        <v>1073</v>
      </c>
      <c r="J14" s="61" t="s">
        <v>1074</v>
      </c>
      <c r="K14" s="181"/>
      <c r="L14" s="182" t="s">
        <v>1092</v>
      </c>
    </row>
    <row r="15" spans="1:12" s="25" customFormat="1" ht="29.25" customHeight="1">
      <c r="A15" s="65">
        <f t="shared" si="0"/>
        <v>13</v>
      </c>
      <c r="B15" s="76" t="s">
        <v>1076</v>
      </c>
      <c r="C15" s="201">
        <v>12</v>
      </c>
      <c r="D15" s="202">
        <v>12</v>
      </c>
      <c r="E15" s="61">
        <v>0</v>
      </c>
      <c r="F15" s="61">
        <v>255</v>
      </c>
      <c r="G15" s="76" t="s">
        <v>934</v>
      </c>
      <c r="H15" s="130" t="str">
        <f t="shared" si="1"/>
        <v>100E</v>
      </c>
      <c r="I15" s="61" t="s">
        <v>1073</v>
      </c>
      <c r="J15" s="61" t="s">
        <v>1074</v>
      </c>
      <c r="K15" s="181"/>
      <c r="L15" s="182" t="s">
        <v>1092</v>
      </c>
    </row>
    <row r="16" spans="1:12" s="25" customFormat="1" ht="29.25" customHeight="1">
      <c r="A16" s="65">
        <f t="shared" si="0"/>
        <v>14</v>
      </c>
      <c r="B16" s="76" t="s">
        <v>789</v>
      </c>
      <c r="C16" s="193">
        <v>46</v>
      </c>
      <c r="D16" s="194">
        <v>46.000000000000007</v>
      </c>
      <c r="E16" s="61">
        <v>0</v>
      </c>
      <c r="F16" s="61">
        <v>255</v>
      </c>
      <c r="G16" s="76" t="s">
        <v>935</v>
      </c>
      <c r="H16" s="130" t="str">
        <f t="shared" si="1"/>
        <v>100F</v>
      </c>
      <c r="I16" s="61" t="s">
        <v>1073</v>
      </c>
      <c r="J16" s="61" t="s">
        <v>1074</v>
      </c>
      <c r="K16" s="181"/>
      <c r="L16" s="182" t="s">
        <v>1092</v>
      </c>
    </row>
    <row r="17" spans="1:12" s="25" customFormat="1" ht="29.25" customHeight="1">
      <c r="A17" s="65">
        <f t="shared" si="0"/>
        <v>15</v>
      </c>
      <c r="B17" s="76" t="s">
        <v>1077</v>
      </c>
      <c r="C17" s="191">
        <v>27</v>
      </c>
      <c r="D17" s="192">
        <v>27</v>
      </c>
      <c r="E17" s="61">
        <v>0</v>
      </c>
      <c r="F17" s="61">
        <v>255</v>
      </c>
      <c r="G17" s="76" t="s">
        <v>936</v>
      </c>
      <c r="H17" s="130" t="str">
        <f t="shared" si="1"/>
        <v>1010</v>
      </c>
      <c r="I17" s="61" t="s">
        <v>1073</v>
      </c>
      <c r="J17" s="61" t="s">
        <v>1074</v>
      </c>
      <c r="K17" s="181"/>
      <c r="L17" s="182" t="s">
        <v>1092</v>
      </c>
    </row>
    <row r="18" spans="1:12" s="25" customFormat="1" ht="29.25" customHeight="1">
      <c r="A18" s="65">
        <f t="shared" si="0"/>
        <v>16</v>
      </c>
      <c r="B18" s="76" t="s">
        <v>790</v>
      </c>
      <c r="C18" s="209">
        <v>75</v>
      </c>
      <c r="D18" s="210">
        <v>75</v>
      </c>
      <c r="E18" s="61">
        <v>0</v>
      </c>
      <c r="F18" s="61">
        <v>255</v>
      </c>
      <c r="G18" s="76" t="s">
        <v>937</v>
      </c>
      <c r="H18" s="130" t="str">
        <f t="shared" si="1"/>
        <v>1011</v>
      </c>
      <c r="I18" s="61" t="s">
        <v>1073</v>
      </c>
      <c r="J18" s="61" t="s">
        <v>1074</v>
      </c>
      <c r="K18" s="181"/>
      <c r="L18" s="182" t="s">
        <v>1092</v>
      </c>
    </row>
    <row r="19" spans="1:12" s="25" customFormat="1" ht="29.25" customHeight="1">
      <c r="A19" s="65">
        <f t="shared" si="0"/>
        <v>17</v>
      </c>
      <c r="B19" s="76" t="s">
        <v>1078</v>
      </c>
      <c r="C19" s="207">
        <v>50</v>
      </c>
      <c r="D19" s="208">
        <v>50</v>
      </c>
      <c r="E19" s="61">
        <v>0</v>
      </c>
      <c r="F19" s="61">
        <v>255</v>
      </c>
      <c r="G19" s="76" t="s">
        <v>938</v>
      </c>
      <c r="H19" s="130" t="str">
        <f t="shared" si="1"/>
        <v>1012</v>
      </c>
      <c r="I19" s="61" t="s">
        <v>1073</v>
      </c>
      <c r="J19" s="61" t="s">
        <v>1074</v>
      </c>
      <c r="K19" s="181"/>
      <c r="L19" s="182" t="s">
        <v>1092</v>
      </c>
    </row>
    <row r="20" spans="1:12" s="25" customFormat="1" ht="29.25" customHeight="1">
      <c r="A20" s="65">
        <f t="shared" si="0"/>
        <v>18</v>
      </c>
      <c r="B20" s="76" t="s">
        <v>791</v>
      </c>
      <c r="C20" s="205">
        <v>117</v>
      </c>
      <c r="D20" s="206">
        <v>117.00000000000001</v>
      </c>
      <c r="E20" s="61">
        <v>0</v>
      </c>
      <c r="F20" s="61">
        <v>255</v>
      </c>
      <c r="G20" s="76" t="s">
        <v>939</v>
      </c>
      <c r="H20" s="130" t="str">
        <f t="shared" si="1"/>
        <v>1013</v>
      </c>
      <c r="I20" s="61" t="s">
        <v>1073</v>
      </c>
      <c r="J20" s="61" t="s">
        <v>1074</v>
      </c>
      <c r="K20" s="181"/>
      <c r="L20" s="182" t="s">
        <v>1092</v>
      </c>
    </row>
    <row r="21" spans="1:12" s="25" customFormat="1" ht="29.25" customHeight="1">
      <c r="A21" s="65">
        <f t="shared" si="0"/>
        <v>19</v>
      </c>
      <c r="B21" s="76" t="s">
        <v>1079</v>
      </c>
      <c r="C21" s="203">
        <v>82</v>
      </c>
      <c r="D21" s="204">
        <v>82.000000000000014</v>
      </c>
      <c r="E21" s="61">
        <v>0</v>
      </c>
      <c r="F21" s="61">
        <v>255</v>
      </c>
      <c r="G21" s="76" t="s">
        <v>940</v>
      </c>
      <c r="H21" s="130" t="str">
        <f t="shared" si="1"/>
        <v>1014</v>
      </c>
      <c r="I21" s="61" t="s">
        <v>1073</v>
      </c>
      <c r="J21" s="61" t="s">
        <v>1074</v>
      </c>
      <c r="K21" s="181"/>
      <c r="L21" s="182" t="s">
        <v>1092</v>
      </c>
    </row>
    <row r="22" spans="1:12" s="25" customFormat="1" ht="29.25" customHeight="1">
      <c r="A22" s="65">
        <f t="shared" si="0"/>
        <v>20</v>
      </c>
      <c r="B22" s="76" t="s">
        <v>792</v>
      </c>
      <c r="C22" s="197">
        <v>170</v>
      </c>
      <c r="D22" s="198">
        <v>170</v>
      </c>
      <c r="E22" s="61">
        <v>0</v>
      </c>
      <c r="F22" s="61">
        <v>255</v>
      </c>
      <c r="G22" s="76" t="s">
        <v>941</v>
      </c>
      <c r="H22" s="130" t="str">
        <f t="shared" si="1"/>
        <v>1015</v>
      </c>
      <c r="I22" s="61" t="s">
        <v>1073</v>
      </c>
      <c r="J22" s="61" t="s">
        <v>1074</v>
      </c>
      <c r="K22" s="181"/>
      <c r="L22" s="182" t="s">
        <v>1092</v>
      </c>
    </row>
    <row r="23" spans="1:12" s="25" customFormat="1" ht="29.25" customHeight="1">
      <c r="A23" s="65">
        <f t="shared" si="0"/>
        <v>21</v>
      </c>
      <c r="B23" s="76" t="s">
        <v>1080</v>
      </c>
      <c r="C23" s="195">
        <v>127</v>
      </c>
      <c r="D23" s="196">
        <v>127.00000000000001</v>
      </c>
      <c r="E23" s="61">
        <v>0</v>
      </c>
      <c r="F23" s="61">
        <v>255</v>
      </c>
      <c r="G23" s="76" t="s">
        <v>942</v>
      </c>
      <c r="H23" s="130" t="str">
        <f t="shared" si="1"/>
        <v>1016</v>
      </c>
      <c r="I23" s="61" t="s">
        <v>1073</v>
      </c>
      <c r="J23" s="61" t="s">
        <v>1074</v>
      </c>
      <c r="K23" s="181"/>
      <c r="L23" s="182" t="s">
        <v>1092</v>
      </c>
    </row>
    <row r="24" spans="1:12" s="25" customFormat="1" ht="29.25" customHeight="1">
      <c r="A24" s="65">
        <f t="shared" si="0"/>
        <v>22</v>
      </c>
      <c r="B24" s="76" t="s">
        <v>793</v>
      </c>
      <c r="C24" s="61">
        <v>184</v>
      </c>
      <c r="D24" s="129">
        <v>184.00000000000003</v>
      </c>
      <c r="E24" s="61">
        <v>0</v>
      </c>
      <c r="F24" s="61">
        <v>255</v>
      </c>
      <c r="G24" s="76" t="s">
        <v>943</v>
      </c>
      <c r="H24" s="130" t="str">
        <f t="shared" si="1"/>
        <v>1017</v>
      </c>
      <c r="I24" s="61" t="s">
        <v>1073</v>
      </c>
      <c r="J24" s="61" t="s">
        <v>1074</v>
      </c>
      <c r="K24" s="181"/>
      <c r="L24" s="182" t="s">
        <v>1092</v>
      </c>
    </row>
    <row r="25" spans="1:12" s="25" customFormat="1" ht="29.25" customHeight="1">
      <c r="A25" s="65">
        <f t="shared" si="0"/>
        <v>23</v>
      </c>
      <c r="B25" s="76" t="s">
        <v>794</v>
      </c>
      <c r="C25" s="283">
        <v>5</v>
      </c>
      <c r="D25" s="284">
        <v>5</v>
      </c>
      <c r="E25" s="61">
        <v>0</v>
      </c>
      <c r="F25" s="61">
        <v>255</v>
      </c>
      <c r="G25" s="76" t="s">
        <v>944</v>
      </c>
      <c r="H25" s="130" t="str">
        <f t="shared" si="1"/>
        <v>1018</v>
      </c>
      <c r="I25" s="61" t="s">
        <v>1073</v>
      </c>
      <c r="J25" s="61" t="s">
        <v>1074</v>
      </c>
      <c r="K25" s="181"/>
      <c r="L25" s="182" t="s">
        <v>1092</v>
      </c>
    </row>
    <row r="26" spans="1:12" s="25" customFormat="1" ht="29.25" customHeight="1">
      <c r="A26" s="65">
        <f t="shared" si="0"/>
        <v>24</v>
      </c>
      <c r="B26" s="76" t="s">
        <v>795</v>
      </c>
      <c r="C26" s="61">
        <v>0</v>
      </c>
      <c r="D26" s="129">
        <v>0</v>
      </c>
      <c r="E26" s="61">
        <v>0</v>
      </c>
      <c r="F26" s="61">
        <v>255</v>
      </c>
      <c r="G26" s="76" t="s">
        <v>945</v>
      </c>
      <c r="H26" s="130" t="str">
        <f t="shared" si="1"/>
        <v>1019</v>
      </c>
      <c r="I26" s="61" t="s">
        <v>1073</v>
      </c>
      <c r="J26" s="61" t="s">
        <v>1074</v>
      </c>
      <c r="K26" s="181"/>
      <c r="L26" s="182" t="s">
        <v>1092</v>
      </c>
    </row>
    <row r="27" spans="1:12" s="25" customFormat="1" ht="29.25" customHeight="1">
      <c r="A27" s="65">
        <f t="shared" si="0"/>
        <v>25</v>
      </c>
      <c r="B27" s="76" t="s">
        <v>796</v>
      </c>
      <c r="C27" s="281">
        <v>127</v>
      </c>
      <c r="D27" s="282">
        <v>127.00000000000001</v>
      </c>
      <c r="E27" s="61">
        <v>0</v>
      </c>
      <c r="F27" s="61">
        <v>255</v>
      </c>
      <c r="G27" s="76" t="s">
        <v>946</v>
      </c>
      <c r="H27" s="130" t="str">
        <f t="shared" si="1"/>
        <v>101A</v>
      </c>
      <c r="I27" s="61" t="s">
        <v>1073</v>
      </c>
      <c r="J27" s="61" t="s">
        <v>1074</v>
      </c>
      <c r="K27" s="181"/>
      <c r="L27" s="182" t="s">
        <v>1092</v>
      </c>
    </row>
    <row r="28" spans="1:12" s="25" customFormat="1" ht="29.25" customHeight="1">
      <c r="A28" s="65">
        <f t="shared" si="0"/>
        <v>26</v>
      </c>
      <c r="B28" s="76" t="s">
        <v>797</v>
      </c>
      <c r="C28" s="281">
        <v>90</v>
      </c>
      <c r="D28" s="282">
        <v>90</v>
      </c>
      <c r="E28" s="61">
        <v>0</v>
      </c>
      <c r="F28" s="61">
        <v>255</v>
      </c>
      <c r="G28" s="76" t="s">
        <v>947</v>
      </c>
      <c r="H28" s="130" t="str">
        <f t="shared" si="1"/>
        <v>101B</v>
      </c>
      <c r="I28" s="61" t="s">
        <v>1073</v>
      </c>
      <c r="J28" s="61" t="s">
        <v>1074</v>
      </c>
      <c r="K28" s="181"/>
      <c r="L28" s="182" t="s">
        <v>1092</v>
      </c>
    </row>
    <row r="29" spans="1:12" s="25" customFormat="1" ht="29.25" customHeight="1">
      <c r="A29" s="65">
        <f t="shared" si="0"/>
        <v>27</v>
      </c>
      <c r="B29" s="76" t="s">
        <v>798</v>
      </c>
      <c r="C29" s="279">
        <v>86</v>
      </c>
      <c r="D29" s="280">
        <v>86</v>
      </c>
      <c r="E29" s="61">
        <v>0</v>
      </c>
      <c r="F29" s="61">
        <v>255</v>
      </c>
      <c r="G29" s="76" t="s">
        <v>948</v>
      </c>
      <c r="H29" s="130" t="str">
        <f t="shared" si="1"/>
        <v>101C</v>
      </c>
      <c r="I29" s="61" t="s">
        <v>1073</v>
      </c>
      <c r="J29" s="61" t="s">
        <v>1074</v>
      </c>
      <c r="K29" s="181"/>
      <c r="L29" s="182" t="s">
        <v>1092</v>
      </c>
    </row>
    <row r="30" spans="1:12" s="25" customFormat="1" ht="29.25" customHeight="1">
      <c r="A30" s="65">
        <f t="shared" si="0"/>
        <v>28</v>
      </c>
      <c r="B30" s="76" t="s">
        <v>799</v>
      </c>
      <c r="C30" s="279">
        <v>57</v>
      </c>
      <c r="D30" s="280">
        <v>57.000000000000007</v>
      </c>
      <c r="E30" s="61">
        <v>0</v>
      </c>
      <c r="F30" s="61">
        <v>255</v>
      </c>
      <c r="G30" s="76" t="s">
        <v>949</v>
      </c>
      <c r="H30" s="130" t="str">
        <f t="shared" si="1"/>
        <v>101D</v>
      </c>
      <c r="I30" s="61" t="s">
        <v>1073</v>
      </c>
      <c r="J30" s="61" t="s">
        <v>1074</v>
      </c>
      <c r="K30" s="181"/>
      <c r="L30" s="182" t="s">
        <v>1092</v>
      </c>
    </row>
    <row r="31" spans="1:12" s="25" customFormat="1" ht="29.25" customHeight="1">
      <c r="A31" s="65">
        <f t="shared" si="0"/>
        <v>29</v>
      </c>
      <c r="B31" s="76" t="s">
        <v>800</v>
      </c>
      <c r="C31" s="277">
        <v>52</v>
      </c>
      <c r="D31" s="278">
        <v>52</v>
      </c>
      <c r="E31" s="61">
        <v>0</v>
      </c>
      <c r="F31" s="61">
        <v>255</v>
      </c>
      <c r="G31" s="76" t="s">
        <v>950</v>
      </c>
      <c r="H31" s="130" t="str">
        <f t="shared" si="1"/>
        <v>101E</v>
      </c>
      <c r="I31" s="61" t="s">
        <v>1073</v>
      </c>
      <c r="J31" s="61" t="s">
        <v>1074</v>
      </c>
      <c r="K31" s="181"/>
      <c r="L31" s="182" t="s">
        <v>1092</v>
      </c>
    </row>
    <row r="32" spans="1:12" s="25" customFormat="1" ht="29.25" customHeight="1">
      <c r="A32" s="65">
        <f t="shared" si="0"/>
        <v>30</v>
      </c>
      <c r="B32" s="76" t="s">
        <v>801</v>
      </c>
      <c r="C32" s="277">
        <v>33</v>
      </c>
      <c r="D32" s="278">
        <v>33</v>
      </c>
      <c r="E32" s="61">
        <v>0</v>
      </c>
      <c r="F32" s="61">
        <v>255</v>
      </c>
      <c r="G32" s="76" t="s">
        <v>951</v>
      </c>
      <c r="H32" s="130" t="str">
        <f t="shared" si="1"/>
        <v>101F</v>
      </c>
      <c r="I32" s="61" t="s">
        <v>1073</v>
      </c>
      <c r="J32" s="61" t="s">
        <v>1074</v>
      </c>
      <c r="K32" s="181"/>
      <c r="L32" s="182" t="s">
        <v>1092</v>
      </c>
    </row>
    <row r="33" spans="1:13" s="25" customFormat="1" ht="29.25" customHeight="1">
      <c r="A33" s="65">
        <f t="shared" si="0"/>
        <v>31</v>
      </c>
      <c r="B33" s="76" t="s">
        <v>802</v>
      </c>
      <c r="C33" s="275">
        <v>26</v>
      </c>
      <c r="D33" s="276">
        <v>26</v>
      </c>
      <c r="E33" s="61">
        <v>0</v>
      </c>
      <c r="F33" s="61">
        <v>255</v>
      </c>
      <c r="G33" s="76" t="s">
        <v>952</v>
      </c>
      <c r="H33" s="130" t="str">
        <f t="shared" si="1"/>
        <v>1020</v>
      </c>
      <c r="I33" s="61" t="s">
        <v>1073</v>
      </c>
      <c r="J33" s="61" t="s">
        <v>1074</v>
      </c>
      <c r="K33" s="181"/>
      <c r="L33" s="182" t="s">
        <v>1092</v>
      </c>
    </row>
    <row r="34" spans="1:13" s="25" customFormat="1" ht="29.25" customHeight="1">
      <c r="A34" s="65">
        <f t="shared" si="0"/>
        <v>32</v>
      </c>
      <c r="B34" s="76" t="s">
        <v>803</v>
      </c>
      <c r="C34" s="275">
        <v>14</v>
      </c>
      <c r="D34" s="276">
        <v>14.000000000000002</v>
      </c>
      <c r="E34" s="61">
        <v>0</v>
      </c>
      <c r="F34" s="61">
        <v>255</v>
      </c>
      <c r="G34" s="76" t="s">
        <v>953</v>
      </c>
      <c r="H34" s="130" t="str">
        <f t="shared" si="1"/>
        <v>1021</v>
      </c>
      <c r="I34" s="61" t="s">
        <v>1073</v>
      </c>
      <c r="J34" s="61" t="s">
        <v>1074</v>
      </c>
      <c r="K34" s="181"/>
      <c r="L34" s="182" t="s">
        <v>1092</v>
      </c>
    </row>
    <row r="35" spans="1:13" s="25" customFormat="1" ht="29.25" customHeight="1">
      <c r="A35" s="65">
        <f t="shared" si="0"/>
        <v>33</v>
      </c>
      <c r="B35" s="76" t="s">
        <v>804</v>
      </c>
      <c r="C35" s="249">
        <v>46</v>
      </c>
      <c r="D35" s="250">
        <v>46.000000000000007</v>
      </c>
      <c r="E35" s="61">
        <v>0</v>
      </c>
      <c r="F35" s="61">
        <v>255</v>
      </c>
      <c r="G35" s="76" t="s">
        <v>954</v>
      </c>
      <c r="H35" s="130" t="str">
        <f t="shared" si="1"/>
        <v>1022</v>
      </c>
      <c r="I35" s="61" t="s">
        <v>1073</v>
      </c>
      <c r="J35" s="61" t="s">
        <v>1074</v>
      </c>
      <c r="K35" s="181"/>
      <c r="L35" s="182" t="s">
        <v>1092</v>
      </c>
    </row>
    <row r="36" spans="1:13" s="25" customFormat="1" ht="29.25" customHeight="1">
      <c r="A36" s="65">
        <f t="shared" si="0"/>
        <v>34</v>
      </c>
      <c r="B36" s="76" t="s">
        <v>805</v>
      </c>
      <c r="C36" s="249">
        <v>28</v>
      </c>
      <c r="D36" s="250">
        <v>28.000000000000004</v>
      </c>
      <c r="E36" s="61">
        <v>0</v>
      </c>
      <c r="F36" s="61">
        <v>255</v>
      </c>
      <c r="G36" s="76" t="s">
        <v>955</v>
      </c>
      <c r="H36" s="130" t="str">
        <f t="shared" si="1"/>
        <v>1023</v>
      </c>
      <c r="I36" s="61" t="s">
        <v>1073</v>
      </c>
      <c r="J36" s="61" t="s">
        <v>1074</v>
      </c>
      <c r="K36" s="181"/>
      <c r="L36" s="182" t="s">
        <v>1092</v>
      </c>
    </row>
    <row r="37" spans="1:13" s="25" customFormat="1" ht="29.25" customHeight="1">
      <c r="A37" s="65">
        <f t="shared" si="0"/>
        <v>35</v>
      </c>
      <c r="B37" s="76" t="s">
        <v>806</v>
      </c>
      <c r="C37" s="253">
        <v>102</v>
      </c>
      <c r="D37" s="254">
        <v>102.00000000000001</v>
      </c>
      <c r="E37" s="61">
        <v>0</v>
      </c>
      <c r="F37" s="61">
        <v>255</v>
      </c>
      <c r="G37" s="76" t="s">
        <v>956</v>
      </c>
      <c r="H37" s="130" t="str">
        <f t="shared" si="1"/>
        <v>1024</v>
      </c>
      <c r="I37" s="61" t="s">
        <v>1073</v>
      </c>
      <c r="J37" s="61" t="s">
        <v>1074</v>
      </c>
      <c r="K37" s="181"/>
      <c r="L37" s="182" t="s">
        <v>1092</v>
      </c>
    </row>
    <row r="38" spans="1:13" s="25" customFormat="1" ht="29.25" customHeight="1">
      <c r="A38" s="65">
        <f t="shared" si="0"/>
        <v>36</v>
      </c>
      <c r="B38" s="76" t="s">
        <v>807</v>
      </c>
      <c r="C38" s="253">
        <v>70</v>
      </c>
      <c r="D38" s="254">
        <v>70</v>
      </c>
      <c r="E38" s="61">
        <v>0</v>
      </c>
      <c r="F38" s="61">
        <v>255</v>
      </c>
      <c r="G38" s="76" t="s">
        <v>957</v>
      </c>
      <c r="H38" s="130" t="str">
        <f t="shared" si="1"/>
        <v>1025</v>
      </c>
      <c r="I38" s="61" t="s">
        <v>1073</v>
      </c>
      <c r="J38" s="61" t="s">
        <v>1074</v>
      </c>
      <c r="K38" s="181"/>
      <c r="L38" s="182" t="s">
        <v>1092</v>
      </c>
    </row>
    <row r="39" spans="1:13" s="25" customFormat="1" ht="29.25" customHeight="1">
      <c r="A39" s="65">
        <f t="shared" si="0"/>
        <v>37</v>
      </c>
      <c r="B39" s="76" t="s">
        <v>808</v>
      </c>
      <c r="C39" s="251">
        <v>19</v>
      </c>
      <c r="D39" s="252">
        <v>19</v>
      </c>
      <c r="E39" s="61">
        <v>0</v>
      </c>
      <c r="F39" s="61">
        <v>255</v>
      </c>
      <c r="G39" s="76" t="s">
        <v>958</v>
      </c>
      <c r="H39" s="130" t="str">
        <f t="shared" si="1"/>
        <v>1026</v>
      </c>
      <c r="I39" s="61" t="s">
        <v>1073</v>
      </c>
      <c r="J39" s="61" t="s">
        <v>1074</v>
      </c>
      <c r="K39" s="181"/>
      <c r="L39" s="182" t="s">
        <v>1092</v>
      </c>
      <c r="M39" s="181"/>
    </row>
    <row r="40" spans="1:13" s="25" customFormat="1" ht="29.25" customHeight="1">
      <c r="A40" s="65">
        <f t="shared" si="0"/>
        <v>38</v>
      </c>
      <c r="B40" s="76" t="s">
        <v>809</v>
      </c>
      <c r="C40" s="251">
        <v>9</v>
      </c>
      <c r="D40" s="252">
        <v>9.0000000000000018</v>
      </c>
      <c r="E40" s="61">
        <v>0</v>
      </c>
      <c r="F40" s="61">
        <v>255</v>
      </c>
      <c r="G40" s="76" t="s">
        <v>959</v>
      </c>
      <c r="H40" s="130" t="str">
        <f t="shared" si="1"/>
        <v>1027</v>
      </c>
      <c r="I40" s="61" t="s">
        <v>1073</v>
      </c>
      <c r="J40" s="61" t="s">
        <v>1074</v>
      </c>
      <c r="K40" s="181"/>
      <c r="L40" s="182" t="s">
        <v>1092</v>
      </c>
      <c r="M40" s="181"/>
    </row>
    <row r="41" spans="1:13" s="25" customFormat="1" ht="29.25" customHeight="1">
      <c r="A41" s="65">
        <f t="shared" si="0"/>
        <v>39</v>
      </c>
      <c r="B41" s="76" t="s">
        <v>810</v>
      </c>
      <c r="C41" s="247">
        <v>8</v>
      </c>
      <c r="D41" s="248">
        <v>8</v>
      </c>
      <c r="E41" s="61">
        <v>0</v>
      </c>
      <c r="F41" s="61">
        <v>255</v>
      </c>
      <c r="G41" s="76" t="s">
        <v>960</v>
      </c>
      <c r="H41" s="130" t="str">
        <f t="shared" si="1"/>
        <v>1028</v>
      </c>
      <c r="I41" s="61" t="s">
        <v>1073</v>
      </c>
      <c r="J41" s="61" t="s">
        <v>1074</v>
      </c>
      <c r="K41" s="181"/>
      <c r="L41" s="182" t="s">
        <v>1092</v>
      </c>
      <c r="M41" s="181"/>
    </row>
    <row r="42" spans="1:13" s="25" customFormat="1" ht="29.25" customHeight="1">
      <c r="A42" s="65">
        <f t="shared" si="0"/>
        <v>40</v>
      </c>
      <c r="B42" s="76" t="s">
        <v>811</v>
      </c>
      <c r="C42" s="61">
        <v>0</v>
      </c>
      <c r="D42" s="129">
        <v>0</v>
      </c>
      <c r="E42" s="61">
        <v>0</v>
      </c>
      <c r="F42" s="61">
        <v>255</v>
      </c>
      <c r="G42" s="76" t="s">
        <v>961</v>
      </c>
      <c r="H42" s="130" t="str">
        <f t="shared" si="1"/>
        <v>1029</v>
      </c>
      <c r="I42" s="61" t="s">
        <v>1073</v>
      </c>
      <c r="J42" s="61" t="s">
        <v>1074</v>
      </c>
      <c r="K42" s="181"/>
      <c r="L42" s="182" t="s">
        <v>1092</v>
      </c>
      <c r="M42" s="181"/>
    </row>
    <row r="43" spans="1:13" s="25" customFormat="1" ht="29.25" customHeight="1">
      <c r="A43" s="65">
        <f t="shared" si="0"/>
        <v>41</v>
      </c>
      <c r="B43" s="76" t="s">
        <v>812</v>
      </c>
      <c r="C43" s="213">
        <v>73</v>
      </c>
      <c r="D43" s="214">
        <v>73</v>
      </c>
      <c r="E43" s="61">
        <v>0</v>
      </c>
      <c r="F43" s="61">
        <v>255</v>
      </c>
      <c r="G43" s="76" t="s">
        <v>962</v>
      </c>
      <c r="H43" s="130" t="str">
        <f t="shared" si="1"/>
        <v>102A</v>
      </c>
      <c r="I43" s="61" t="s">
        <v>1073</v>
      </c>
      <c r="J43" s="61" t="s">
        <v>1074</v>
      </c>
      <c r="K43" s="181"/>
      <c r="L43" s="182" t="s">
        <v>1092</v>
      </c>
    </row>
    <row r="44" spans="1:13" s="25" customFormat="1" ht="29.25" customHeight="1">
      <c r="A44" s="65">
        <f t="shared" si="0"/>
        <v>42</v>
      </c>
      <c r="B44" s="76" t="s">
        <v>813</v>
      </c>
      <c r="C44" s="61">
        <v>47</v>
      </c>
      <c r="D44" s="129">
        <v>47</v>
      </c>
      <c r="E44" s="61">
        <v>0</v>
      </c>
      <c r="F44" s="61">
        <v>255</v>
      </c>
      <c r="G44" s="76" t="s">
        <v>963</v>
      </c>
      <c r="H44" s="130" t="str">
        <f t="shared" si="1"/>
        <v>102B</v>
      </c>
      <c r="I44" s="61" t="s">
        <v>1073</v>
      </c>
      <c r="J44" s="61" t="s">
        <v>1074</v>
      </c>
      <c r="K44" s="181"/>
      <c r="L44" s="182" t="s">
        <v>1092</v>
      </c>
    </row>
    <row r="45" spans="1:13" s="25" customFormat="1" ht="29.25" customHeight="1">
      <c r="A45" s="65">
        <f t="shared" si="0"/>
        <v>43</v>
      </c>
      <c r="B45" s="76" t="s">
        <v>814</v>
      </c>
      <c r="C45" s="217">
        <v>137</v>
      </c>
      <c r="D45" s="218">
        <v>137</v>
      </c>
      <c r="E45" s="61">
        <v>0</v>
      </c>
      <c r="F45" s="61">
        <v>255</v>
      </c>
      <c r="G45" s="76" t="s">
        <v>964</v>
      </c>
      <c r="H45" s="130" t="str">
        <f t="shared" si="1"/>
        <v>102C</v>
      </c>
      <c r="I45" s="61" t="s">
        <v>1073</v>
      </c>
      <c r="J45" s="61" t="s">
        <v>1074</v>
      </c>
      <c r="K45" s="181"/>
      <c r="L45" s="182" t="s">
        <v>1092</v>
      </c>
    </row>
    <row r="46" spans="1:13" s="25" customFormat="1" ht="29.25" customHeight="1">
      <c r="A46" s="65">
        <f t="shared" si="0"/>
        <v>44</v>
      </c>
      <c r="B46" s="76" t="s">
        <v>815</v>
      </c>
      <c r="C46" s="219">
        <v>97</v>
      </c>
      <c r="D46" s="220">
        <v>97.000000000000014</v>
      </c>
      <c r="E46" s="61">
        <v>0</v>
      </c>
      <c r="F46" s="61">
        <v>255</v>
      </c>
      <c r="G46" s="76" t="s">
        <v>965</v>
      </c>
      <c r="H46" s="130" t="str">
        <f t="shared" si="1"/>
        <v>102D</v>
      </c>
      <c r="I46" s="61" t="s">
        <v>1073</v>
      </c>
      <c r="J46" s="61" t="s">
        <v>1074</v>
      </c>
      <c r="K46" s="181"/>
      <c r="L46" s="182" t="s">
        <v>1092</v>
      </c>
    </row>
    <row r="47" spans="1:13" s="25" customFormat="1" ht="29.25" customHeight="1">
      <c r="A47" s="65">
        <f t="shared" si="0"/>
        <v>45</v>
      </c>
      <c r="B47" s="76" t="s">
        <v>816</v>
      </c>
      <c r="C47" s="227">
        <v>31</v>
      </c>
      <c r="D47" s="228">
        <v>31.000000000000004</v>
      </c>
      <c r="E47" s="61">
        <v>0</v>
      </c>
      <c r="F47" s="61">
        <v>255</v>
      </c>
      <c r="G47" s="76" t="s">
        <v>966</v>
      </c>
      <c r="H47" s="130" t="str">
        <f t="shared" si="1"/>
        <v>102E</v>
      </c>
      <c r="I47" s="61" t="s">
        <v>1073</v>
      </c>
      <c r="J47" s="61" t="s">
        <v>1074</v>
      </c>
      <c r="K47" s="181"/>
      <c r="L47" s="182" t="s">
        <v>1092</v>
      </c>
    </row>
    <row r="48" spans="1:13" s="25" customFormat="1" ht="29.25" customHeight="1">
      <c r="A48" s="65">
        <f t="shared" si="0"/>
        <v>46</v>
      </c>
      <c r="B48" s="76" t="s">
        <v>817</v>
      </c>
      <c r="C48" s="215">
        <v>17</v>
      </c>
      <c r="D48" s="216">
        <v>17</v>
      </c>
      <c r="E48" s="61">
        <v>0</v>
      </c>
      <c r="F48" s="61">
        <v>255</v>
      </c>
      <c r="G48" s="76" t="s">
        <v>967</v>
      </c>
      <c r="H48" s="130" t="str">
        <f t="shared" si="1"/>
        <v>102F</v>
      </c>
      <c r="I48" s="61" t="s">
        <v>1073</v>
      </c>
      <c r="J48" s="61" t="s">
        <v>1074</v>
      </c>
      <c r="K48" s="181"/>
      <c r="L48" s="182" t="s">
        <v>1092</v>
      </c>
    </row>
    <row r="49" spans="1:12" s="25" customFormat="1" ht="29.25" customHeight="1">
      <c r="A49" s="65">
        <f t="shared" si="0"/>
        <v>47</v>
      </c>
      <c r="B49" s="76" t="s">
        <v>818</v>
      </c>
      <c r="C49" s="211">
        <v>8</v>
      </c>
      <c r="D49" s="212">
        <v>8</v>
      </c>
      <c r="E49" s="61">
        <v>0</v>
      </c>
      <c r="F49" s="61">
        <v>255</v>
      </c>
      <c r="G49" s="76" t="s">
        <v>968</v>
      </c>
      <c r="H49" s="130" t="str">
        <f t="shared" si="1"/>
        <v>1030</v>
      </c>
      <c r="I49" s="61" t="s">
        <v>1073</v>
      </c>
      <c r="J49" s="61" t="s">
        <v>1074</v>
      </c>
      <c r="K49" s="181"/>
      <c r="L49" s="182" t="s">
        <v>1092</v>
      </c>
    </row>
    <row r="50" spans="1:12" s="25" customFormat="1" ht="29.25" customHeight="1">
      <c r="A50" s="65">
        <f t="shared" si="0"/>
        <v>48</v>
      </c>
      <c r="B50" s="76" t="s">
        <v>819</v>
      </c>
      <c r="C50" s="61">
        <v>0</v>
      </c>
      <c r="D50" s="129">
        <v>0</v>
      </c>
      <c r="E50" s="61">
        <v>0</v>
      </c>
      <c r="F50" s="61">
        <v>255</v>
      </c>
      <c r="G50" s="76" t="s">
        <v>969</v>
      </c>
      <c r="H50" s="130" t="str">
        <f t="shared" si="1"/>
        <v>1031</v>
      </c>
      <c r="I50" s="61" t="s">
        <v>1073</v>
      </c>
      <c r="J50" s="61" t="s">
        <v>1074</v>
      </c>
      <c r="K50" s="181"/>
      <c r="L50" s="182" t="s">
        <v>1092</v>
      </c>
    </row>
    <row r="51" spans="1:12" s="25" customFormat="1" ht="29.25" customHeight="1">
      <c r="A51" s="65">
        <f t="shared" si="0"/>
        <v>49</v>
      </c>
      <c r="B51" s="76" t="s">
        <v>820</v>
      </c>
      <c r="C51" s="223">
        <v>72</v>
      </c>
      <c r="D51" s="224">
        <v>72.000000000000014</v>
      </c>
      <c r="E51" s="61">
        <v>0</v>
      </c>
      <c r="F51" s="61">
        <v>255</v>
      </c>
      <c r="G51" s="76" t="s">
        <v>970</v>
      </c>
      <c r="H51" s="130" t="str">
        <f t="shared" si="1"/>
        <v>1032</v>
      </c>
      <c r="I51" s="61" t="s">
        <v>1073</v>
      </c>
      <c r="J51" s="61" t="s">
        <v>1074</v>
      </c>
      <c r="K51" s="181"/>
      <c r="L51" s="182" t="s">
        <v>1092</v>
      </c>
    </row>
    <row r="52" spans="1:12" s="25" customFormat="1" ht="29.25" customHeight="1">
      <c r="A52" s="65">
        <f t="shared" si="0"/>
        <v>50</v>
      </c>
      <c r="B52" s="76" t="s">
        <v>821</v>
      </c>
      <c r="C52" s="225">
        <v>47</v>
      </c>
      <c r="D52" s="226">
        <v>47</v>
      </c>
      <c r="E52" s="61">
        <v>0</v>
      </c>
      <c r="F52" s="61">
        <v>255</v>
      </c>
      <c r="G52" s="76" t="s">
        <v>971</v>
      </c>
      <c r="H52" s="130" t="str">
        <f t="shared" si="1"/>
        <v>1033</v>
      </c>
      <c r="I52" s="61" t="s">
        <v>1073</v>
      </c>
      <c r="J52" s="61" t="s">
        <v>1074</v>
      </c>
      <c r="K52" s="181"/>
      <c r="L52" s="182" t="s">
        <v>1092</v>
      </c>
    </row>
    <row r="53" spans="1:12" s="25" customFormat="1" ht="29.25" customHeight="1">
      <c r="A53" s="65">
        <f t="shared" si="0"/>
        <v>51</v>
      </c>
      <c r="B53" s="76" t="s">
        <v>822</v>
      </c>
      <c r="C53" s="233">
        <v>137</v>
      </c>
      <c r="D53" s="234">
        <v>137</v>
      </c>
      <c r="E53" s="61">
        <v>0</v>
      </c>
      <c r="F53" s="61">
        <v>255</v>
      </c>
      <c r="G53" s="76" t="s">
        <v>972</v>
      </c>
      <c r="H53" s="130" t="str">
        <f t="shared" si="1"/>
        <v>1034</v>
      </c>
      <c r="I53" s="61" t="s">
        <v>1073</v>
      </c>
      <c r="J53" s="61" t="s">
        <v>1074</v>
      </c>
      <c r="K53" s="181"/>
      <c r="L53" s="182" t="s">
        <v>1092</v>
      </c>
    </row>
    <row r="54" spans="1:12" s="25" customFormat="1" ht="29.25" customHeight="1">
      <c r="A54" s="65">
        <f t="shared" si="0"/>
        <v>52</v>
      </c>
      <c r="B54" s="76" t="s">
        <v>823</v>
      </c>
      <c r="C54" s="235">
        <v>97</v>
      </c>
      <c r="D54" s="236">
        <v>97.000000000000014</v>
      </c>
      <c r="E54" s="61">
        <v>0</v>
      </c>
      <c r="F54" s="61">
        <v>255</v>
      </c>
      <c r="G54" s="76" t="s">
        <v>973</v>
      </c>
      <c r="H54" s="130" t="str">
        <f t="shared" si="1"/>
        <v>1035</v>
      </c>
      <c r="I54" s="61" t="s">
        <v>1073</v>
      </c>
      <c r="J54" s="61" t="s">
        <v>1074</v>
      </c>
      <c r="K54" s="181"/>
      <c r="L54" s="182" t="s">
        <v>1092</v>
      </c>
    </row>
    <row r="55" spans="1:12" s="25" customFormat="1" ht="29.25" customHeight="1">
      <c r="A55" s="65">
        <f t="shared" si="0"/>
        <v>53</v>
      </c>
      <c r="B55" s="76" t="s">
        <v>824</v>
      </c>
      <c r="C55" s="229">
        <v>31</v>
      </c>
      <c r="D55" s="230">
        <v>31.000000000000004</v>
      </c>
      <c r="E55" s="61">
        <v>0</v>
      </c>
      <c r="F55" s="61">
        <v>255</v>
      </c>
      <c r="G55" s="76" t="s">
        <v>974</v>
      </c>
      <c r="H55" s="130" t="str">
        <f t="shared" si="1"/>
        <v>1036</v>
      </c>
      <c r="I55" s="61" t="s">
        <v>1073</v>
      </c>
      <c r="J55" s="61" t="s">
        <v>1074</v>
      </c>
      <c r="K55" s="181"/>
      <c r="L55" s="182" t="s">
        <v>1092</v>
      </c>
    </row>
    <row r="56" spans="1:12" s="25" customFormat="1" ht="29.25" customHeight="1">
      <c r="A56" s="65">
        <f t="shared" si="0"/>
        <v>54</v>
      </c>
      <c r="B56" s="76" t="s">
        <v>825</v>
      </c>
      <c r="C56" s="231">
        <v>17</v>
      </c>
      <c r="D56" s="232">
        <v>17</v>
      </c>
      <c r="E56" s="61">
        <v>0</v>
      </c>
      <c r="F56" s="61">
        <v>255</v>
      </c>
      <c r="G56" s="76" t="s">
        <v>975</v>
      </c>
      <c r="H56" s="130" t="str">
        <f t="shared" si="1"/>
        <v>1037</v>
      </c>
      <c r="I56" s="61" t="s">
        <v>1073</v>
      </c>
      <c r="J56" s="61" t="s">
        <v>1074</v>
      </c>
      <c r="K56" s="181"/>
      <c r="L56" s="182" t="s">
        <v>1092</v>
      </c>
    </row>
    <row r="57" spans="1:12" s="25" customFormat="1" ht="29.25" customHeight="1">
      <c r="A57" s="65">
        <f t="shared" si="0"/>
        <v>55</v>
      </c>
      <c r="B57" s="76" t="s">
        <v>826</v>
      </c>
      <c r="C57" s="221">
        <v>8</v>
      </c>
      <c r="D57" s="222">
        <v>8</v>
      </c>
      <c r="E57" s="61">
        <v>0</v>
      </c>
      <c r="F57" s="61">
        <v>255</v>
      </c>
      <c r="G57" s="76" t="s">
        <v>976</v>
      </c>
      <c r="H57" s="130" t="str">
        <f t="shared" si="1"/>
        <v>1038</v>
      </c>
      <c r="I57" s="61" t="s">
        <v>1073</v>
      </c>
      <c r="J57" s="61" t="s">
        <v>1074</v>
      </c>
      <c r="K57" s="181"/>
      <c r="L57" s="182" t="s">
        <v>1092</v>
      </c>
    </row>
    <row r="58" spans="1:12" s="25" customFormat="1" ht="29.25" customHeight="1">
      <c r="A58" s="65">
        <f t="shared" si="0"/>
        <v>56</v>
      </c>
      <c r="B58" s="76" t="s">
        <v>827</v>
      </c>
      <c r="C58" s="61">
        <v>0</v>
      </c>
      <c r="D58" s="129">
        <v>0</v>
      </c>
      <c r="E58" s="61">
        <v>0</v>
      </c>
      <c r="F58" s="61">
        <v>255</v>
      </c>
      <c r="G58" s="76" t="s">
        <v>977</v>
      </c>
      <c r="H58" s="130" t="str">
        <f t="shared" si="1"/>
        <v>1039</v>
      </c>
      <c r="I58" s="61" t="s">
        <v>1073</v>
      </c>
      <c r="J58" s="61" t="s">
        <v>1074</v>
      </c>
      <c r="K58" s="181"/>
      <c r="L58" s="182" t="s">
        <v>1092</v>
      </c>
    </row>
    <row r="59" spans="1:12" s="25" customFormat="1" ht="29.25" customHeight="1">
      <c r="A59" s="65">
        <f t="shared" si="0"/>
        <v>57</v>
      </c>
      <c r="B59" s="76" t="s">
        <v>828</v>
      </c>
      <c r="C59" s="61">
        <v>72</v>
      </c>
      <c r="D59" s="129">
        <v>72</v>
      </c>
      <c r="E59" s="61">
        <v>0</v>
      </c>
      <c r="F59" s="61">
        <v>255</v>
      </c>
      <c r="G59" s="76" t="s">
        <v>978</v>
      </c>
      <c r="H59" s="130" t="str">
        <f t="shared" si="1"/>
        <v>103A</v>
      </c>
      <c r="I59" s="61" t="s">
        <v>1073</v>
      </c>
      <c r="J59" s="61" t="s">
        <v>1074</v>
      </c>
      <c r="K59" s="181"/>
      <c r="L59" s="182" t="s">
        <v>1092</v>
      </c>
    </row>
    <row r="60" spans="1:12" s="25" customFormat="1" ht="29.25" customHeight="1">
      <c r="A60" s="65">
        <f t="shared" si="0"/>
        <v>58</v>
      </c>
      <c r="B60" s="76" t="s">
        <v>829</v>
      </c>
      <c r="C60" s="61">
        <v>47</v>
      </c>
      <c r="D60" s="129">
        <v>47</v>
      </c>
      <c r="E60" s="61">
        <v>0</v>
      </c>
      <c r="F60" s="61">
        <v>255</v>
      </c>
      <c r="G60" s="76" t="s">
        <v>979</v>
      </c>
      <c r="H60" s="130" t="str">
        <f t="shared" si="1"/>
        <v>103B</v>
      </c>
      <c r="I60" s="61" t="s">
        <v>1073</v>
      </c>
      <c r="J60" s="61" t="s">
        <v>1074</v>
      </c>
      <c r="K60" s="181"/>
      <c r="L60" s="182" t="s">
        <v>1092</v>
      </c>
    </row>
    <row r="61" spans="1:12" s="25" customFormat="1" ht="29.25" customHeight="1">
      <c r="A61" s="65">
        <f t="shared" si="0"/>
        <v>59</v>
      </c>
      <c r="B61" s="76" t="s">
        <v>830</v>
      </c>
      <c r="C61" s="245">
        <v>137</v>
      </c>
      <c r="D61" s="246">
        <v>137</v>
      </c>
      <c r="E61" s="61">
        <v>0</v>
      </c>
      <c r="F61" s="61">
        <v>255</v>
      </c>
      <c r="G61" s="76" t="s">
        <v>980</v>
      </c>
      <c r="H61" s="130" t="str">
        <f t="shared" si="1"/>
        <v>103C</v>
      </c>
      <c r="I61" s="61" t="s">
        <v>1073</v>
      </c>
      <c r="J61" s="61" t="s">
        <v>1074</v>
      </c>
      <c r="K61" s="181"/>
      <c r="L61" s="182" t="s">
        <v>1092</v>
      </c>
    </row>
    <row r="62" spans="1:12" s="25" customFormat="1" ht="29.25" customHeight="1">
      <c r="A62" s="65">
        <f t="shared" si="0"/>
        <v>60</v>
      </c>
      <c r="B62" s="76" t="s">
        <v>831</v>
      </c>
      <c r="C62" s="245">
        <v>97</v>
      </c>
      <c r="D62" s="246">
        <v>97.000000000000014</v>
      </c>
      <c r="E62" s="61">
        <v>0</v>
      </c>
      <c r="F62" s="61">
        <v>255</v>
      </c>
      <c r="G62" s="76" t="s">
        <v>981</v>
      </c>
      <c r="H62" s="130" t="str">
        <f t="shared" si="1"/>
        <v>103D</v>
      </c>
      <c r="I62" s="61" t="s">
        <v>1073</v>
      </c>
      <c r="J62" s="61" t="s">
        <v>1074</v>
      </c>
      <c r="K62" s="181"/>
      <c r="L62" s="182" t="s">
        <v>1092</v>
      </c>
    </row>
    <row r="63" spans="1:12" s="25" customFormat="1" ht="29.25" customHeight="1">
      <c r="A63" s="65">
        <f t="shared" si="0"/>
        <v>61</v>
      </c>
      <c r="B63" s="76" t="s">
        <v>832</v>
      </c>
      <c r="C63" s="241">
        <v>31</v>
      </c>
      <c r="D63" s="242">
        <v>31.000000000000004</v>
      </c>
      <c r="E63" s="61">
        <v>0</v>
      </c>
      <c r="F63" s="61">
        <v>255</v>
      </c>
      <c r="G63" s="76" t="s">
        <v>982</v>
      </c>
      <c r="H63" s="130" t="str">
        <f t="shared" si="1"/>
        <v>103E</v>
      </c>
      <c r="I63" s="61" t="s">
        <v>1073</v>
      </c>
      <c r="J63" s="61" t="s">
        <v>1074</v>
      </c>
      <c r="K63" s="181"/>
      <c r="L63" s="182" t="s">
        <v>1092</v>
      </c>
    </row>
    <row r="64" spans="1:12" s="25" customFormat="1" ht="29.25" customHeight="1">
      <c r="A64" s="65">
        <f t="shared" si="0"/>
        <v>62</v>
      </c>
      <c r="B64" s="76" t="s">
        <v>833</v>
      </c>
      <c r="C64" s="243">
        <v>17</v>
      </c>
      <c r="D64" s="244">
        <v>17</v>
      </c>
      <c r="E64" s="61">
        <v>0</v>
      </c>
      <c r="F64" s="61">
        <v>255</v>
      </c>
      <c r="G64" s="76" t="s">
        <v>983</v>
      </c>
      <c r="H64" s="130" t="str">
        <f t="shared" si="1"/>
        <v>103F</v>
      </c>
      <c r="I64" s="61" t="s">
        <v>1073</v>
      </c>
      <c r="J64" s="61" t="s">
        <v>1074</v>
      </c>
      <c r="K64" s="181"/>
      <c r="L64" s="182" t="s">
        <v>1092</v>
      </c>
    </row>
    <row r="65" spans="1:12" s="25" customFormat="1" ht="29.25" customHeight="1">
      <c r="A65" s="65">
        <f t="shared" si="0"/>
        <v>63</v>
      </c>
      <c r="B65" s="76" t="s">
        <v>834</v>
      </c>
      <c r="C65" s="237">
        <v>8</v>
      </c>
      <c r="D65" s="238">
        <v>8</v>
      </c>
      <c r="E65" s="61">
        <v>0</v>
      </c>
      <c r="F65" s="61">
        <v>255</v>
      </c>
      <c r="G65" s="76" t="s">
        <v>984</v>
      </c>
      <c r="H65" s="130" t="str">
        <f t="shared" si="1"/>
        <v>1040</v>
      </c>
      <c r="I65" s="61" t="s">
        <v>1073</v>
      </c>
      <c r="J65" s="61" t="s">
        <v>1074</v>
      </c>
      <c r="K65" s="181"/>
      <c r="L65" s="182" t="s">
        <v>1092</v>
      </c>
    </row>
    <row r="66" spans="1:12" s="25" customFormat="1" ht="29.25" customHeight="1">
      <c r="A66" s="65">
        <f t="shared" si="0"/>
        <v>64</v>
      </c>
      <c r="B66" s="76" t="s">
        <v>835</v>
      </c>
      <c r="C66" s="61">
        <v>0</v>
      </c>
      <c r="D66" s="129">
        <v>0</v>
      </c>
      <c r="E66" s="61">
        <v>0</v>
      </c>
      <c r="F66" s="61">
        <v>255</v>
      </c>
      <c r="G66" s="76" t="s">
        <v>985</v>
      </c>
      <c r="H66" s="130" t="str">
        <f t="shared" si="1"/>
        <v>1041</v>
      </c>
      <c r="I66" s="61" t="s">
        <v>1073</v>
      </c>
      <c r="J66" s="61" t="s">
        <v>1074</v>
      </c>
      <c r="K66" s="181"/>
      <c r="L66" s="182" t="s">
        <v>1092</v>
      </c>
    </row>
    <row r="67" spans="1:12" s="25" customFormat="1" ht="29.25" customHeight="1">
      <c r="A67" s="65">
        <f t="shared" ref="A67:A130" si="2">A66+1</f>
        <v>65</v>
      </c>
      <c r="B67" s="76" t="s">
        <v>836</v>
      </c>
      <c r="C67" s="239">
        <v>72</v>
      </c>
      <c r="D67" s="240">
        <v>72.000000000000014</v>
      </c>
      <c r="E67" s="61">
        <v>0</v>
      </c>
      <c r="F67" s="61">
        <v>255</v>
      </c>
      <c r="G67" s="76" t="s">
        <v>986</v>
      </c>
      <c r="H67" s="130" t="str">
        <f t="shared" ref="H67:H130" si="3">DEC2HEX((HEX2DEC(H66)+1),4)</f>
        <v>1042</v>
      </c>
      <c r="I67" s="61" t="s">
        <v>1073</v>
      </c>
      <c r="J67" s="61" t="s">
        <v>1074</v>
      </c>
      <c r="K67" s="181"/>
      <c r="L67" s="182" t="s">
        <v>1092</v>
      </c>
    </row>
    <row r="68" spans="1:12" s="25" customFormat="1" ht="29.25" customHeight="1">
      <c r="A68" s="65">
        <f t="shared" si="2"/>
        <v>66</v>
      </c>
      <c r="B68" s="76" t="s">
        <v>837</v>
      </c>
      <c r="C68" s="61">
        <v>47</v>
      </c>
      <c r="D68" s="129">
        <v>47</v>
      </c>
      <c r="E68" s="61">
        <v>0</v>
      </c>
      <c r="F68" s="61">
        <v>255</v>
      </c>
      <c r="G68" s="76" t="s">
        <v>987</v>
      </c>
      <c r="H68" s="130" t="str">
        <f t="shared" si="3"/>
        <v>1043</v>
      </c>
      <c r="I68" s="61" t="s">
        <v>1073</v>
      </c>
      <c r="J68" s="61" t="s">
        <v>1074</v>
      </c>
      <c r="K68" s="181"/>
      <c r="L68" s="182" t="s">
        <v>1092</v>
      </c>
    </row>
    <row r="69" spans="1:12" s="25" customFormat="1" ht="29.25" customHeight="1">
      <c r="A69" s="65">
        <f t="shared" si="2"/>
        <v>67</v>
      </c>
      <c r="B69" s="76" t="s">
        <v>838</v>
      </c>
      <c r="C69" s="259">
        <v>137</v>
      </c>
      <c r="D69" s="260">
        <v>137</v>
      </c>
      <c r="E69" s="61">
        <v>0</v>
      </c>
      <c r="F69" s="61">
        <v>255</v>
      </c>
      <c r="G69" s="76" t="s">
        <v>988</v>
      </c>
      <c r="H69" s="130" t="str">
        <f t="shared" si="3"/>
        <v>1044</v>
      </c>
      <c r="I69" s="61" t="s">
        <v>1073</v>
      </c>
      <c r="J69" s="61" t="s">
        <v>1074</v>
      </c>
      <c r="K69" s="181"/>
      <c r="L69" s="182" t="s">
        <v>1092</v>
      </c>
    </row>
    <row r="70" spans="1:12" s="25" customFormat="1" ht="29.25" customHeight="1">
      <c r="A70" s="65">
        <f t="shared" si="2"/>
        <v>68</v>
      </c>
      <c r="B70" s="76" t="s">
        <v>839</v>
      </c>
      <c r="C70" s="259">
        <v>97</v>
      </c>
      <c r="D70" s="260">
        <v>97.000000000000014</v>
      </c>
      <c r="E70" s="61">
        <v>0</v>
      </c>
      <c r="F70" s="61">
        <v>255</v>
      </c>
      <c r="G70" s="76" t="s">
        <v>989</v>
      </c>
      <c r="H70" s="130" t="str">
        <f t="shared" si="3"/>
        <v>1045</v>
      </c>
      <c r="I70" s="61" t="s">
        <v>1073</v>
      </c>
      <c r="J70" s="61" t="s">
        <v>1074</v>
      </c>
      <c r="K70" s="181"/>
      <c r="L70" s="182" t="s">
        <v>1092</v>
      </c>
    </row>
    <row r="71" spans="1:12" s="25" customFormat="1" ht="29.25" customHeight="1">
      <c r="A71" s="65">
        <f t="shared" si="2"/>
        <v>69</v>
      </c>
      <c r="B71" s="76" t="s">
        <v>840</v>
      </c>
      <c r="C71" s="257">
        <v>31</v>
      </c>
      <c r="D71" s="258">
        <v>31.000000000000004</v>
      </c>
      <c r="E71" s="61">
        <v>0</v>
      </c>
      <c r="F71" s="61">
        <v>255</v>
      </c>
      <c r="G71" s="76" t="s">
        <v>990</v>
      </c>
      <c r="H71" s="130" t="str">
        <f t="shared" si="3"/>
        <v>1046</v>
      </c>
      <c r="I71" s="61" t="s">
        <v>1073</v>
      </c>
      <c r="J71" s="61" t="s">
        <v>1074</v>
      </c>
      <c r="K71" s="181"/>
      <c r="L71" s="182" t="s">
        <v>1092</v>
      </c>
    </row>
    <row r="72" spans="1:12" s="25" customFormat="1" ht="29.25" customHeight="1">
      <c r="A72" s="65">
        <f t="shared" si="2"/>
        <v>70</v>
      </c>
      <c r="B72" s="76" t="s">
        <v>841</v>
      </c>
      <c r="C72" s="257">
        <v>17</v>
      </c>
      <c r="D72" s="258">
        <v>17</v>
      </c>
      <c r="E72" s="61">
        <v>0</v>
      </c>
      <c r="F72" s="61">
        <v>255</v>
      </c>
      <c r="G72" s="76" t="s">
        <v>991</v>
      </c>
      <c r="H72" s="130" t="str">
        <f t="shared" si="3"/>
        <v>1047</v>
      </c>
      <c r="I72" s="61" t="s">
        <v>1073</v>
      </c>
      <c r="J72" s="61" t="s">
        <v>1074</v>
      </c>
      <c r="K72" s="181"/>
      <c r="L72" s="182" t="s">
        <v>1092</v>
      </c>
    </row>
    <row r="73" spans="1:12" s="25" customFormat="1" ht="29.25" customHeight="1">
      <c r="A73" s="65">
        <f t="shared" si="2"/>
        <v>71</v>
      </c>
      <c r="B73" s="76" t="s">
        <v>842</v>
      </c>
      <c r="C73" s="255">
        <v>8</v>
      </c>
      <c r="D73" s="256">
        <v>8</v>
      </c>
      <c r="E73" s="61">
        <v>0</v>
      </c>
      <c r="F73" s="61">
        <v>255</v>
      </c>
      <c r="G73" s="76" t="s">
        <v>992</v>
      </c>
      <c r="H73" s="130" t="str">
        <f t="shared" si="3"/>
        <v>1048</v>
      </c>
      <c r="I73" s="61" t="s">
        <v>1073</v>
      </c>
      <c r="J73" s="61" t="s">
        <v>1074</v>
      </c>
      <c r="K73" s="181"/>
      <c r="L73" s="182" t="s">
        <v>1092</v>
      </c>
    </row>
    <row r="74" spans="1:12" s="25" customFormat="1" ht="29.25" customHeight="1">
      <c r="A74" s="65">
        <f t="shared" si="2"/>
        <v>72</v>
      </c>
      <c r="B74" s="76" t="s">
        <v>843</v>
      </c>
      <c r="C74" s="61">
        <v>0</v>
      </c>
      <c r="D74" s="129">
        <v>0</v>
      </c>
      <c r="E74" s="61">
        <v>0</v>
      </c>
      <c r="F74" s="61">
        <v>255</v>
      </c>
      <c r="G74" s="76" t="s">
        <v>993</v>
      </c>
      <c r="H74" s="130" t="str">
        <f t="shared" si="3"/>
        <v>1049</v>
      </c>
      <c r="I74" s="61" t="s">
        <v>1073</v>
      </c>
      <c r="J74" s="61" t="s">
        <v>1074</v>
      </c>
      <c r="K74" s="181"/>
      <c r="L74" s="182" t="s">
        <v>1092</v>
      </c>
    </row>
    <row r="75" spans="1:12" s="25" customFormat="1" ht="29.25" customHeight="1">
      <c r="A75" s="65">
        <f t="shared" si="2"/>
        <v>73</v>
      </c>
      <c r="B75" s="76" t="s">
        <v>844</v>
      </c>
      <c r="C75" s="263">
        <v>78</v>
      </c>
      <c r="D75" s="264">
        <v>78</v>
      </c>
      <c r="E75" s="61">
        <v>0</v>
      </c>
      <c r="F75" s="61">
        <v>255</v>
      </c>
      <c r="G75" s="76" t="s">
        <v>994</v>
      </c>
      <c r="H75" s="130" t="str">
        <f t="shared" si="3"/>
        <v>104A</v>
      </c>
      <c r="I75" s="61" t="s">
        <v>1073</v>
      </c>
      <c r="J75" s="61" t="s">
        <v>1074</v>
      </c>
      <c r="K75" s="181"/>
      <c r="L75" s="182" t="s">
        <v>1092</v>
      </c>
    </row>
    <row r="76" spans="1:12" s="25" customFormat="1" ht="29.25" customHeight="1">
      <c r="A76" s="65">
        <f t="shared" si="2"/>
        <v>74</v>
      </c>
      <c r="B76" s="76" t="s">
        <v>845</v>
      </c>
      <c r="C76" s="263">
        <v>52</v>
      </c>
      <c r="D76" s="264">
        <v>52</v>
      </c>
      <c r="E76" s="61">
        <v>0</v>
      </c>
      <c r="F76" s="61">
        <v>255</v>
      </c>
      <c r="G76" s="76" t="s">
        <v>995</v>
      </c>
      <c r="H76" s="130" t="str">
        <f t="shared" si="3"/>
        <v>104B</v>
      </c>
      <c r="I76" s="61" t="s">
        <v>1073</v>
      </c>
      <c r="J76" s="61" t="s">
        <v>1074</v>
      </c>
      <c r="K76" s="181"/>
      <c r="L76" s="182" t="s">
        <v>1092</v>
      </c>
    </row>
    <row r="77" spans="1:12" s="25" customFormat="1" ht="29.25" customHeight="1">
      <c r="A77" s="65">
        <f t="shared" si="2"/>
        <v>75</v>
      </c>
      <c r="B77" s="76" t="s">
        <v>846</v>
      </c>
      <c r="C77" s="267">
        <v>147</v>
      </c>
      <c r="D77" s="268">
        <v>147</v>
      </c>
      <c r="E77" s="61">
        <v>0</v>
      </c>
      <c r="F77" s="61">
        <v>255</v>
      </c>
      <c r="G77" s="76" t="s">
        <v>996</v>
      </c>
      <c r="H77" s="130" t="str">
        <f t="shared" si="3"/>
        <v>104C</v>
      </c>
      <c r="I77" s="61" t="s">
        <v>1073</v>
      </c>
      <c r="J77" s="61" t="s">
        <v>1074</v>
      </c>
      <c r="K77" s="181"/>
      <c r="L77" s="182" t="s">
        <v>1092</v>
      </c>
    </row>
    <row r="78" spans="1:12" s="25" customFormat="1" ht="29.25" customHeight="1">
      <c r="A78" s="65">
        <f t="shared" si="2"/>
        <v>76</v>
      </c>
      <c r="B78" s="76" t="s">
        <v>847</v>
      </c>
      <c r="C78" s="267">
        <v>105</v>
      </c>
      <c r="D78" s="268">
        <v>105</v>
      </c>
      <c r="E78" s="61">
        <v>0</v>
      </c>
      <c r="F78" s="61">
        <v>255</v>
      </c>
      <c r="G78" s="76" t="s">
        <v>997</v>
      </c>
      <c r="H78" s="130" t="str">
        <f t="shared" si="3"/>
        <v>104D</v>
      </c>
      <c r="I78" s="61" t="s">
        <v>1073</v>
      </c>
      <c r="J78" s="61" t="s">
        <v>1074</v>
      </c>
      <c r="K78" s="181"/>
      <c r="L78" s="182" t="s">
        <v>1092</v>
      </c>
    </row>
    <row r="79" spans="1:12" s="25" customFormat="1" ht="29.25" customHeight="1">
      <c r="A79" s="65">
        <f t="shared" si="2"/>
        <v>77</v>
      </c>
      <c r="B79" s="76" t="s">
        <v>848</v>
      </c>
      <c r="C79" s="265">
        <v>33</v>
      </c>
      <c r="D79" s="266">
        <v>33</v>
      </c>
      <c r="E79" s="61">
        <v>0</v>
      </c>
      <c r="F79" s="61">
        <v>255</v>
      </c>
      <c r="G79" s="76" t="s">
        <v>998</v>
      </c>
      <c r="H79" s="130" t="str">
        <f t="shared" si="3"/>
        <v>104E</v>
      </c>
      <c r="I79" s="61" t="s">
        <v>1073</v>
      </c>
      <c r="J79" s="61" t="s">
        <v>1074</v>
      </c>
      <c r="K79" s="181"/>
      <c r="L79" s="182" t="s">
        <v>1092</v>
      </c>
    </row>
    <row r="80" spans="1:12" s="25" customFormat="1" ht="29.25" customHeight="1">
      <c r="A80" s="65">
        <f t="shared" si="2"/>
        <v>78</v>
      </c>
      <c r="B80" s="76" t="s">
        <v>849</v>
      </c>
      <c r="C80" s="265">
        <v>19</v>
      </c>
      <c r="D80" s="266">
        <v>19</v>
      </c>
      <c r="E80" s="61">
        <v>0</v>
      </c>
      <c r="F80" s="61">
        <v>255</v>
      </c>
      <c r="G80" s="76" t="s">
        <v>999</v>
      </c>
      <c r="H80" s="130" t="str">
        <f t="shared" si="3"/>
        <v>104F</v>
      </c>
      <c r="I80" s="61" t="s">
        <v>1073</v>
      </c>
      <c r="J80" s="61" t="s">
        <v>1074</v>
      </c>
      <c r="K80" s="181"/>
      <c r="L80" s="182" t="s">
        <v>1092</v>
      </c>
    </row>
    <row r="81" spans="1:13" s="25" customFormat="1" ht="29.25" customHeight="1">
      <c r="A81" s="65">
        <f t="shared" si="2"/>
        <v>79</v>
      </c>
      <c r="B81" s="76" t="s">
        <v>850</v>
      </c>
      <c r="C81" s="261">
        <v>8</v>
      </c>
      <c r="D81" s="262">
        <v>8</v>
      </c>
      <c r="E81" s="61">
        <v>0</v>
      </c>
      <c r="F81" s="61">
        <v>255</v>
      </c>
      <c r="G81" s="76" t="s">
        <v>1000</v>
      </c>
      <c r="H81" s="130" t="str">
        <f t="shared" si="3"/>
        <v>1050</v>
      </c>
      <c r="I81" s="61" t="s">
        <v>1073</v>
      </c>
      <c r="J81" s="61" t="s">
        <v>1074</v>
      </c>
      <c r="K81" s="181"/>
      <c r="L81" s="182" t="s">
        <v>1092</v>
      </c>
    </row>
    <row r="82" spans="1:13" s="25" customFormat="1" ht="29.25" customHeight="1">
      <c r="A82" s="65">
        <f t="shared" si="2"/>
        <v>80</v>
      </c>
      <c r="B82" s="76" t="s">
        <v>851</v>
      </c>
      <c r="C82" s="61">
        <v>0</v>
      </c>
      <c r="D82" s="129">
        <v>0</v>
      </c>
      <c r="E82" s="61">
        <v>0</v>
      </c>
      <c r="F82" s="61">
        <v>255</v>
      </c>
      <c r="G82" s="76" t="s">
        <v>1001</v>
      </c>
      <c r="H82" s="130" t="str">
        <f t="shared" si="3"/>
        <v>1051</v>
      </c>
      <c r="I82" s="61" t="s">
        <v>1073</v>
      </c>
      <c r="J82" s="61" t="s">
        <v>1074</v>
      </c>
      <c r="K82" s="181"/>
      <c r="L82" s="182" t="s">
        <v>1092</v>
      </c>
    </row>
    <row r="83" spans="1:13" s="25" customFormat="1" ht="29.25" customHeight="1">
      <c r="A83" s="65">
        <f t="shared" si="2"/>
        <v>81</v>
      </c>
      <c r="B83" s="76" t="s">
        <v>852</v>
      </c>
      <c r="C83" s="269">
        <v>78</v>
      </c>
      <c r="D83" s="270">
        <v>78</v>
      </c>
      <c r="E83" s="61">
        <v>0</v>
      </c>
      <c r="F83" s="61">
        <v>255</v>
      </c>
      <c r="G83" s="76" t="s">
        <v>1002</v>
      </c>
      <c r="H83" s="130" t="str">
        <f t="shared" si="3"/>
        <v>1052</v>
      </c>
      <c r="I83" s="61" t="s">
        <v>1073</v>
      </c>
      <c r="J83" s="61" t="s">
        <v>1074</v>
      </c>
      <c r="K83" s="181"/>
      <c r="L83" s="182" t="s">
        <v>1092</v>
      </c>
    </row>
    <row r="84" spans="1:13" s="25" customFormat="1" ht="29.25" customHeight="1">
      <c r="A84" s="65">
        <f t="shared" si="2"/>
        <v>82</v>
      </c>
      <c r="B84" s="76" t="s">
        <v>853</v>
      </c>
      <c r="C84" s="269">
        <v>52</v>
      </c>
      <c r="D84" s="270">
        <v>52</v>
      </c>
      <c r="E84" s="61">
        <v>0</v>
      </c>
      <c r="F84" s="61">
        <v>255</v>
      </c>
      <c r="G84" s="76" t="s">
        <v>1003</v>
      </c>
      <c r="H84" s="130" t="str">
        <f t="shared" si="3"/>
        <v>1053</v>
      </c>
      <c r="I84" s="61" t="s">
        <v>1073</v>
      </c>
      <c r="J84" s="61" t="s">
        <v>1074</v>
      </c>
      <c r="K84" s="181"/>
      <c r="L84" s="182" t="s">
        <v>1092</v>
      </c>
    </row>
    <row r="85" spans="1:13" s="25" customFormat="1" ht="29.25" customHeight="1">
      <c r="A85" s="65">
        <f t="shared" si="2"/>
        <v>83</v>
      </c>
      <c r="B85" s="76" t="s">
        <v>854</v>
      </c>
      <c r="C85" s="273">
        <v>147</v>
      </c>
      <c r="D85" s="274">
        <v>147</v>
      </c>
      <c r="E85" s="61">
        <v>0</v>
      </c>
      <c r="F85" s="61">
        <v>255</v>
      </c>
      <c r="G85" s="76" t="s">
        <v>1004</v>
      </c>
      <c r="H85" s="130" t="str">
        <f t="shared" si="3"/>
        <v>1054</v>
      </c>
      <c r="I85" s="61" t="s">
        <v>1073</v>
      </c>
      <c r="J85" s="61" t="s">
        <v>1074</v>
      </c>
      <c r="K85" s="181"/>
      <c r="L85" s="182" t="s">
        <v>1092</v>
      </c>
    </row>
    <row r="86" spans="1:13" s="25" customFormat="1" ht="29.25" customHeight="1">
      <c r="A86" s="65">
        <f t="shared" si="2"/>
        <v>84</v>
      </c>
      <c r="B86" s="76" t="s">
        <v>855</v>
      </c>
      <c r="C86" s="273">
        <v>105</v>
      </c>
      <c r="D86" s="274">
        <v>105</v>
      </c>
      <c r="E86" s="61">
        <v>0</v>
      </c>
      <c r="F86" s="61">
        <v>255</v>
      </c>
      <c r="G86" s="76" t="s">
        <v>1005</v>
      </c>
      <c r="H86" s="130" t="str">
        <f t="shared" si="3"/>
        <v>1055</v>
      </c>
      <c r="I86" s="61" t="s">
        <v>1073</v>
      </c>
      <c r="J86" s="61" t="s">
        <v>1074</v>
      </c>
      <c r="K86" s="181"/>
      <c r="L86" s="182" t="s">
        <v>1092</v>
      </c>
    </row>
    <row r="87" spans="1:13" s="25" customFormat="1" ht="29.25" customHeight="1">
      <c r="A87" s="65">
        <f t="shared" si="2"/>
        <v>85</v>
      </c>
      <c r="B87" s="76" t="s">
        <v>856</v>
      </c>
      <c r="C87" s="271">
        <v>33</v>
      </c>
      <c r="D87" s="272">
        <v>33</v>
      </c>
      <c r="E87" s="61">
        <v>0</v>
      </c>
      <c r="F87" s="61">
        <v>255</v>
      </c>
      <c r="G87" s="76" t="s">
        <v>1006</v>
      </c>
      <c r="H87" s="130" t="str">
        <f t="shared" si="3"/>
        <v>1056</v>
      </c>
      <c r="I87" s="61" t="s">
        <v>1073</v>
      </c>
      <c r="J87" s="61" t="s">
        <v>1074</v>
      </c>
      <c r="K87" s="181"/>
      <c r="L87" s="182" t="s">
        <v>1092</v>
      </c>
    </row>
    <row r="88" spans="1:13" s="25" customFormat="1" ht="29.25" customHeight="1">
      <c r="A88" s="65">
        <f t="shared" si="2"/>
        <v>86</v>
      </c>
      <c r="B88" s="76" t="s">
        <v>857</v>
      </c>
      <c r="C88" s="271">
        <v>19</v>
      </c>
      <c r="D88" s="272">
        <v>19</v>
      </c>
      <c r="E88" s="61">
        <v>0</v>
      </c>
      <c r="F88" s="61">
        <v>255</v>
      </c>
      <c r="G88" s="76" t="s">
        <v>1007</v>
      </c>
      <c r="H88" s="130" t="str">
        <f t="shared" si="3"/>
        <v>1057</v>
      </c>
      <c r="I88" s="61" t="s">
        <v>1073</v>
      </c>
      <c r="J88" s="61" t="s">
        <v>1074</v>
      </c>
      <c r="K88" s="181"/>
      <c r="L88" s="182" t="s">
        <v>1092</v>
      </c>
    </row>
    <row r="89" spans="1:13" s="25" customFormat="1" ht="29.25" customHeight="1">
      <c r="A89" s="65">
        <f t="shared" si="2"/>
        <v>87</v>
      </c>
      <c r="B89" s="76" t="s">
        <v>858</v>
      </c>
      <c r="C89" s="61">
        <v>8</v>
      </c>
      <c r="D89" s="129">
        <v>8</v>
      </c>
      <c r="E89" s="61">
        <v>0</v>
      </c>
      <c r="F89" s="61">
        <v>255</v>
      </c>
      <c r="G89" s="76" t="s">
        <v>1008</v>
      </c>
      <c r="H89" s="130" t="str">
        <f t="shared" si="3"/>
        <v>1058</v>
      </c>
      <c r="I89" s="61" t="s">
        <v>1073</v>
      </c>
      <c r="J89" s="61" t="s">
        <v>1074</v>
      </c>
      <c r="K89" s="181"/>
      <c r="L89" s="182" t="s">
        <v>1092</v>
      </c>
    </row>
    <row r="90" spans="1:13" s="25" customFormat="1" ht="29.25" customHeight="1">
      <c r="A90" s="65">
        <f t="shared" si="2"/>
        <v>88</v>
      </c>
      <c r="B90" s="76" t="s">
        <v>859</v>
      </c>
      <c r="C90" s="61">
        <v>0</v>
      </c>
      <c r="D90" s="129">
        <v>0</v>
      </c>
      <c r="E90" s="61">
        <v>0</v>
      </c>
      <c r="F90" s="61">
        <v>255</v>
      </c>
      <c r="G90" s="76" t="s">
        <v>1009</v>
      </c>
      <c r="H90" s="130" t="str">
        <f t="shared" si="3"/>
        <v>1059</v>
      </c>
      <c r="I90" s="61" t="s">
        <v>1073</v>
      </c>
      <c r="J90" s="61" t="s">
        <v>1074</v>
      </c>
      <c r="K90" s="181"/>
      <c r="L90" s="182" t="s">
        <v>1092</v>
      </c>
    </row>
    <row r="91" spans="1:13" s="25" customFormat="1" ht="29.25" customHeight="1">
      <c r="A91" s="65">
        <f t="shared" si="2"/>
        <v>89</v>
      </c>
      <c r="B91" s="76" t="s">
        <v>860</v>
      </c>
      <c r="C91" s="61">
        <v>13</v>
      </c>
      <c r="D91" s="129">
        <v>13</v>
      </c>
      <c r="E91" s="61">
        <v>0</v>
      </c>
      <c r="F91" s="61">
        <v>255</v>
      </c>
      <c r="G91" s="76" t="s">
        <v>1010</v>
      </c>
      <c r="H91" s="130" t="str">
        <f t="shared" si="3"/>
        <v>105A</v>
      </c>
      <c r="I91" s="61" t="s">
        <v>1073</v>
      </c>
      <c r="J91" s="61" t="s">
        <v>1074</v>
      </c>
      <c r="K91" s="181"/>
      <c r="L91" s="182" t="s">
        <v>1092</v>
      </c>
    </row>
    <row r="92" spans="1:13" s="25" customFormat="1" ht="29.25" customHeight="1">
      <c r="A92" s="65">
        <f t="shared" si="2"/>
        <v>90</v>
      </c>
      <c r="B92" s="76" t="s">
        <v>861</v>
      </c>
      <c r="C92" s="61">
        <v>0</v>
      </c>
      <c r="D92" s="129">
        <v>0</v>
      </c>
      <c r="E92" s="61">
        <v>0</v>
      </c>
      <c r="F92" s="61">
        <v>255</v>
      </c>
      <c r="G92" s="76" t="s">
        <v>1011</v>
      </c>
      <c r="H92" s="130" t="str">
        <f t="shared" si="3"/>
        <v>105B</v>
      </c>
      <c r="I92" s="61" t="s">
        <v>1073</v>
      </c>
      <c r="J92" s="61" t="s">
        <v>1074</v>
      </c>
      <c r="K92" s="181"/>
      <c r="L92" s="182" t="s">
        <v>1092</v>
      </c>
    </row>
    <row r="93" spans="1:13" s="25" customFormat="1" ht="29.25" customHeight="1">
      <c r="A93" s="65">
        <f t="shared" si="2"/>
        <v>91</v>
      </c>
      <c r="B93" s="76" t="s">
        <v>862</v>
      </c>
      <c r="C93" s="61">
        <v>120</v>
      </c>
      <c r="D93" s="61">
        <v>120</v>
      </c>
      <c r="E93" s="61">
        <v>0</v>
      </c>
      <c r="F93" s="61">
        <v>255</v>
      </c>
      <c r="G93" s="76" t="s">
        <v>1012</v>
      </c>
      <c r="H93" s="130" t="str">
        <f t="shared" si="3"/>
        <v>105C</v>
      </c>
      <c r="I93" s="61" t="s">
        <v>1073</v>
      </c>
      <c r="J93" s="61" t="s">
        <v>1074</v>
      </c>
      <c r="K93" s="181"/>
      <c r="L93" s="182" t="s">
        <v>1092</v>
      </c>
    </row>
    <row r="94" spans="1:13" s="25" customFormat="1" ht="29.25" customHeight="1">
      <c r="A94" s="65">
        <f t="shared" si="2"/>
        <v>92</v>
      </c>
      <c r="B94" s="76" t="s">
        <v>863</v>
      </c>
      <c r="C94" s="61">
        <v>74</v>
      </c>
      <c r="D94" s="129">
        <v>74</v>
      </c>
      <c r="E94" s="61">
        <v>0</v>
      </c>
      <c r="F94" s="61">
        <v>255</v>
      </c>
      <c r="G94" s="76" t="s">
        <v>1013</v>
      </c>
      <c r="H94" s="130" t="str">
        <f t="shared" si="3"/>
        <v>105D</v>
      </c>
      <c r="I94" s="61" t="s">
        <v>1073</v>
      </c>
      <c r="J94" s="61" t="s">
        <v>1074</v>
      </c>
      <c r="K94" s="181"/>
      <c r="L94" s="182" t="s">
        <v>1092</v>
      </c>
      <c r="M94" s="181"/>
    </row>
    <row r="95" spans="1:13" s="25" customFormat="1" ht="29.25" customHeight="1">
      <c r="A95" s="65">
        <f t="shared" si="2"/>
        <v>93</v>
      </c>
      <c r="B95" s="76" t="s">
        <v>3097</v>
      </c>
      <c r="C95" s="353">
        <v>200</v>
      </c>
      <c r="D95" s="353">
        <v>200</v>
      </c>
      <c r="E95" s="61">
        <v>0</v>
      </c>
      <c r="F95" s="61">
        <v>255</v>
      </c>
      <c r="G95" s="76" t="s">
        <v>3099</v>
      </c>
      <c r="H95" s="130" t="str">
        <f t="shared" si="3"/>
        <v>105E</v>
      </c>
      <c r="I95" s="61">
        <v>4</v>
      </c>
      <c r="J95" s="61" t="s">
        <v>108</v>
      </c>
      <c r="K95" s="181"/>
      <c r="L95" s="182" t="s">
        <v>1091</v>
      </c>
    </row>
    <row r="96" spans="1:13" s="25" customFormat="1" ht="29.25" customHeight="1">
      <c r="A96" s="65">
        <f t="shared" si="2"/>
        <v>94</v>
      </c>
      <c r="B96" s="76" t="s">
        <v>3098</v>
      </c>
      <c r="C96" s="353">
        <v>100</v>
      </c>
      <c r="D96" s="353">
        <v>100</v>
      </c>
      <c r="E96" s="61">
        <v>0</v>
      </c>
      <c r="F96" s="61">
        <v>255</v>
      </c>
      <c r="G96" s="76" t="s">
        <v>3100</v>
      </c>
      <c r="H96" s="130" t="str">
        <f t="shared" si="3"/>
        <v>105F</v>
      </c>
      <c r="I96" s="61">
        <v>4</v>
      </c>
      <c r="J96" s="61" t="s">
        <v>108</v>
      </c>
      <c r="K96" s="181"/>
      <c r="L96" s="182" t="s">
        <v>1091</v>
      </c>
    </row>
    <row r="97" spans="1:12" s="25" customFormat="1" ht="29.25" customHeight="1">
      <c r="A97" s="65">
        <f t="shared" si="2"/>
        <v>95</v>
      </c>
      <c r="B97" s="76" t="s">
        <v>869</v>
      </c>
      <c r="C97" s="61">
        <v>162</v>
      </c>
      <c r="D97" s="129">
        <v>162</v>
      </c>
      <c r="E97" s="61">
        <v>0</v>
      </c>
      <c r="F97" s="61">
        <v>255</v>
      </c>
      <c r="G97" s="76" t="s">
        <v>1019</v>
      </c>
      <c r="H97" s="130" t="str">
        <f t="shared" si="3"/>
        <v>1060</v>
      </c>
      <c r="I97" s="61" t="s">
        <v>1072</v>
      </c>
      <c r="J97" s="61" t="s">
        <v>108</v>
      </c>
      <c r="K97" s="181"/>
      <c r="L97" s="182" t="s">
        <v>1091</v>
      </c>
    </row>
    <row r="98" spans="1:12" s="25" customFormat="1" ht="29.25" customHeight="1">
      <c r="A98" s="65">
        <f t="shared" si="2"/>
        <v>96</v>
      </c>
      <c r="B98" s="76" t="s">
        <v>870</v>
      </c>
      <c r="C98" s="61">
        <v>114</v>
      </c>
      <c r="D98" s="129">
        <v>114</v>
      </c>
      <c r="E98" s="61">
        <v>0</v>
      </c>
      <c r="F98" s="61">
        <v>255</v>
      </c>
      <c r="G98" s="76" t="s">
        <v>1020</v>
      </c>
      <c r="H98" s="130" t="str">
        <f t="shared" si="3"/>
        <v>1061</v>
      </c>
      <c r="I98" s="61" t="s">
        <v>1072</v>
      </c>
      <c r="J98" s="61" t="s">
        <v>108</v>
      </c>
      <c r="K98" s="181"/>
      <c r="L98" s="182" t="s">
        <v>1091</v>
      </c>
    </row>
    <row r="99" spans="1:12" s="25" customFormat="1" ht="29.25" customHeight="1">
      <c r="A99" s="65">
        <f t="shared" si="2"/>
        <v>97</v>
      </c>
      <c r="B99" s="76" t="s">
        <v>876</v>
      </c>
      <c r="C99" s="61">
        <v>200</v>
      </c>
      <c r="D99" s="129">
        <v>200</v>
      </c>
      <c r="E99" s="61">
        <v>0</v>
      </c>
      <c r="F99" s="61">
        <v>255</v>
      </c>
      <c r="G99" s="76" t="s">
        <v>1026</v>
      </c>
      <c r="H99" s="130" t="str">
        <f t="shared" si="3"/>
        <v>1062</v>
      </c>
      <c r="I99" s="61" t="s">
        <v>1072</v>
      </c>
      <c r="J99" s="61" t="s">
        <v>108</v>
      </c>
      <c r="K99" s="181"/>
      <c r="L99" s="182" t="s">
        <v>1091</v>
      </c>
    </row>
    <row r="100" spans="1:12" s="25" customFormat="1" ht="29.25" customHeight="1">
      <c r="A100" s="65">
        <f t="shared" si="2"/>
        <v>98</v>
      </c>
      <c r="B100" s="76" t="s">
        <v>877</v>
      </c>
      <c r="C100" s="61">
        <v>100</v>
      </c>
      <c r="D100" s="129">
        <v>100</v>
      </c>
      <c r="E100" s="61">
        <v>0</v>
      </c>
      <c r="F100" s="61">
        <v>255</v>
      </c>
      <c r="G100" s="76" t="s">
        <v>1027</v>
      </c>
      <c r="H100" s="130" t="str">
        <f t="shared" si="3"/>
        <v>1063</v>
      </c>
      <c r="I100" s="61" t="s">
        <v>1072</v>
      </c>
      <c r="J100" s="61" t="s">
        <v>108</v>
      </c>
      <c r="K100" s="181"/>
      <c r="L100" s="182" t="s">
        <v>1091</v>
      </c>
    </row>
    <row r="101" spans="1:12" s="25" customFormat="1" ht="29.25" customHeight="1">
      <c r="A101" s="65">
        <f t="shared" si="2"/>
        <v>99</v>
      </c>
      <c r="B101" s="76" t="s">
        <v>878</v>
      </c>
      <c r="C101" s="61">
        <v>250</v>
      </c>
      <c r="D101" s="61">
        <v>250</v>
      </c>
      <c r="E101" s="61">
        <v>0</v>
      </c>
      <c r="F101" s="61">
        <v>255</v>
      </c>
      <c r="G101" s="76" t="s">
        <v>1028</v>
      </c>
      <c r="H101" s="130" t="str">
        <f t="shared" si="3"/>
        <v>1064</v>
      </c>
      <c r="I101" s="61" t="s">
        <v>1072</v>
      </c>
      <c r="J101" s="61" t="s">
        <v>108</v>
      </c>
      <c r="K101" s="181"/>
      <c r="L101" s="182" t="s">
        <v>1091</v>
      </c>
    </row>
    <row r="102" spans="1:12" s="25" customFormat="1" ht="29.25" customHeight="1">
      <c r="A102" s="65">
        <f t="shared" si="2"/>
        <v>100</v>
      </c>
      <c r="B102" s="76" t="s">
        <v>879</v>
      </c>
      <c r="C102" s="61">
        <v>165</v>
      </c>
      <c r="D102" s="61">
        <v>165</v>
      </c>
      <c r="E102" s="61">
        <v>0</v>
      </c>
      <c r="F102" s="61">
        <v>255</v>
      </c>
      <c r="G102" s="76" t="s">
        <v>1029</v>
      </c>
      <c r="H102" s="130" t="str">
        <f t="shared" si="3"/>
        <v>1065</v>
      </c>
      <c r="I102" s="61" t="s">
        <v>1072</v>
      </c>
      <c r="J102" s="61" t="s">
        <v>108</v>
      </c>
      <c r="K102" s="181"/>
      <c r="L102" s="182" t="s">
        <v>1091</v>
      </c>
    </row>
    <row r="103" spans="1:12" s="25" customFormat="1" ht="29.25" customHeight="1">
      <c r="A103" s="65">
        <f t="shared" si="2"/>
        <v>101</v>
      </c>
      <c r="B103" s="76" t="s">
        <v>880</v>
      </c>
      <c r="C103" s="61">
        <v>5</v>
      </c>
      <c r="D103" s="61">
        <v>5</v>
      </c>
      <c r="E103" s="61">
        <v>0</v>
      </c>
      <c r="F103" s="61">
        <v>255</v>
      </c>
      <c r="G103" s="76" t="s">
        <v>1030</v>
      </c>
      <c r="H103" s="130" t="str">
        <f t="shared" si="3"/>
        <v>1066</v>
      </c>
      <c r="I103" s="61" t="s">
        <v>1072</v>
      </c>
      <c r="J103" s="61" t="s">
        <v>108</v>
      </c>
      <c r="K103" s="181"/>
      <c r="L103" s="182" t="s">
        <v>1091</v>
      </c>
    </row>
    <row r="104" spans="1:12" s="25" customFormat="1" ht="29.25" customHeight="1">
      <c r="A104" s="65">
        <f t="shared" si="2"/>
        <v>102</v>
      </c>
      <c r="B104" s="76" t="s">
        <v>881</v>
      </c>
      <c r="C104" s="61">
        <v>30</v>
      </c>
      <c r="D104" s="61">
        <v>30</v>
      </c>
      <c r="E104" s="61">
        <v>0</v>
      </c>
      <c r="F104" s="61">
        <v>255</v>
      </c>
      <c r="G104" s="76" t="s">
        <v>1031</v>
      </c>
      <c r="H104" s="130" t="str">
        <f t="shared" si="3"/>
        <v>1067</v>
      </c>
      <c r="I104" s="61" t="s">
        <v>1072</v>
      </c>
      <c r="J104" s="61" t="s">
        <v>108</v>
      </c>
      <c r="K104" s="181"/>
      <c r="L104" s="182" t="s">
        <v>1091</v>
      </c>
    </row>
    <row r="105" spans="1:12" s="25" customFormat="1" ht="29.25" customHeight="1">
      <c r="A105" s="65">
        <f t="shared" si="2"/>
        <v>103</v>
      </c>
      <c r="B105" s="76" t="s">
        <v>882</v>
      </c>
      <c r="C105" s="61">
        <v>200</v>
      </c>
      <c r="D105" s="129">
        <v>200</v>
      </c>
      <c r="E105" s="61">
        <v>0</v>
      </c>
      <c r="F105" s="61">
        <v>255</v>
      </c>
      <c r="G105" s="76" t="s">
        <v>1032</v>
      </c>
      <c r="H105" s="130" t="str">
        <f t="shared" si="3"/>
        <v>1068</v>
      </c>
      <c r="I105" s="61" t="s">
        <v>1072</v>
      </c>
      <c r="J105" s="61" t="s">
        <v>108</v>
      </c>
      <c r="K105" s="181"/>
      <c r="L105" s="182" t="s">
        <v>1091</v>
      </c>
    </row>
    <row r="106" spans="1:12" s="25" customFormat="1" ht="29.25" customHeight="1">
      <c r="A106" s="65">
        <f t="shared" si="2"/>
        <v>104</v>
      </c>
      <c r="B106" s="76" t="s">
        <v>883</v>
      </c>
      <c r="C106" s="61">
        <v>100</v>
      </c>
      <c r="D106" s="129">
        <v>100</v>
      </c>
      <c r="E106" s="61">
        <v>0</v>
      </c>
      <c r="F106" s="61">
        <v>255</v>
      </c>
      <c r="G106" s="76" t="s">
        <v>1033</v>
      </c>
      <c r="H106" s="130" t="str">
        <f t="shared" si="3"/>
        <v>1069</v>
      </c>
      <c r="I106" s="61" t="s">
        <v>1072</v>
      </c>
      <c r="J106" s="61" t="s">
        <v>108</v>
      </c>
      <c r="K106" s="181"/>
      <c r="L106" s="182" t="s">
        <v>1091</v>
      </c>
    </row>
    <row r="107" spans="1:12" s="25" customFormat="1" ht="29.25" customHeight="1">
      <c r="A107" s="65">
        <f t="shared" si="2"/>
        <v>105</v>
      </c>
      <c r="B107" s="76" t="s">
        <v>884</v>
      </c>
      <c r="C107" s="61">
        <v>242</v>
      </c>
      <c r="D107" s="61">
        <v>242</v>
      </c>
      <c r="E107" s="61">
        <v>0</v>
      </c>
      <c r="F107" s="61">
        <v>255</v>
      </c>
      <c r="G107" s="76" t="s">
        <v>1034</v>
      </c>
      <c r="H107" s="130" t="str">
        <f t="shared" si="3"/>
        <v>106A</v>
      </c>
      <c r="I107" s="61" t="s">
        <v>1072</v>
      </c>
      <c r="J107" s="61" t="s">
        <v>108</v>
      </c>
      <c r="K107" s="181"/>
      <c r="L107" s="182" t="s">
        <v>1091</v>
      </c>
    </row>
    <row r="108" spans="1:12" s="25" customFormat="1" ht="29.25" customHeight="1">
      <c r="A108" s="65">
        <f t="shared" si="2"/>
        <v>106</v>
      </c>
      <c r="B108" s="76" t="s">
        <v>885</v>
      </c>
      <c r="C108" s="61">
        <v>152</v>
      </c>
      <c r="D108" s="61">
        <v>152</v>
      </c>
      <c r="E108" s="61">
        <v>0</v>
      </c>
      <c r="F108" s="61">
        <v>255</v>
      </c>
      <c r="G108" s="76" t="s">
        <v>1035</v>
      </c>
      <c r="H108" s="130" t="str">
        <f t="shared" si="3"/>
        <v>106B</v>
      </c>
      <c r="I108" s="61" t="s">
        <v>1072</v>
      </c>
      <c r="J108" s="61" t="s">
        <v>108</v>
      </c>
      <c r="K108" s="181"/>
      <c r="L108" s="182" t="s">
        <v>1091</v>
      </c>
    </row>
    <row r="109" spans="1:12" s="25" customFormat="1" ht="29.25" customHeight="1">
      <c r="A109" s="65">
        <f t="shared" si="2"/>
        <v>107</v>
      </c>
      <c r="B109" s="76" t="s">
        <v>886</v>
      </c>
      <c r="C109" s="61">
        <v>200</v>
      </c>
      <c r="D109" s="129">
        <v>200</v>
      </c>
      <c r="E109" s="61">
        <v>0</v>
      </c>
      <c r="F109" s="61">
        <v>255</v>
      </c>
      <c r="G109" s="76" t="s">
        <v>1036</v>
      </c>
      <c r="H109" s="130" t="str">
        <f t="shared" si="3"/>
        <v>106C</v>
      </c>
      <c r="I109" s="61" t="s">
        <v>1072</v>
      </c>
      <c r="J109" s="61" t="s">
        <v>108</v>
      </c>
      <c r="K109" s="181"/>
      <c r="L109" s="182" t="s">
        <v>1091</v>
      </c>
    </row>
    <row r="110" spans="1:12" s="25" customFormat="1" ht="29.25" customHeight="1">
      <c r="A110" s="65">
        <f t="shared" si="2"/>
        <v>108</v>
      </c>
      <c r="B110" s="76" t="s">
        <v>887</v>
      </c>
      <c r="C110" s="61">
        <v>100</v>
      </c>
      <c r="D110" s="129">
        <v>100</v>
      </c>
      <c r="E110" s="61">
        <v>0</v>
      </c>
      <c r="F110" s="61">
        <v>255</v>
      </c>
      <c r="G110" s="76" t="s">
        <v>1037</v>
      </c>
      <c r="H110" s="130" t="str">
        <f t="shared" si="3"/>
        <v>106D</v>
      </c>
      <c r="I110" s="61" t="s">
        <v>1072</v>
      </c>
      <c r="J110" s="61" t="s">
        <v>108</v>
      </c>
      <c r="K110" s="181"/>
      <c r="L110" s="182" t="s">
        <v>1091</v>
      </c>
    </row>
    <row r="111" spans="1:12" s="25" customFormat="1" ht="29.25" customHeight="1">
      <c r="A111" s="65">
        <f t="shared" si="2"/>
        <v>109</v>
      </c>
      <c r="B111" s="76" t="s">
        <v>888</v>
      </c>
      <c r="C111" s="61">
        <v>242</v>
      </c>
      <c r="D111" s="61">
        <v>242</v>
      </c>
      <c r="E111" s="61">
        <v>0</v>
      </c>
      <c r="F111" s="61">
        <v>255</v>
      </c>
      <c r="G111" s="76" t="s">
        <v>1038</v>
      </c>
      <c r="H111" s="130" t="str">
        <f t="shared" si="3"/>
        <v>106E</v>
      </c>
      <c r="I111" s="61" t="s">
        <v>1072</v>
      </c>
      <c r="J111" s="61" t="s">
        <v>108</v>
      </c>
      <c r="K111" s="181"/>
      <c r="L111" s="182" t="s">
        <v>1091</v>
      </c>
    </row>
    <row r="112" spans="1:12" s="25" customFormat="1" ht="29.25" customHeight="1">
      <c r="A112" s="65">
        <f t="shared" si="2"/>
        <v>110</v>
      </c>
      <c r="B112" s="76" t="s">
        <v>889</v>
      </c>
      <c r="C112" s="61">
        <v>152</v>
      </c>
      <c r="D112" s="61">
        <v>152</v>
      </c>
      <c r="E112" s="61">
        <v>0</v>
      </c>
      <c r="F112" s="61">
        <v>255</v>
      </c>
      <c r="G112" s="76" t="s">
        <v>1039</v>
      </c>
      <c r="H112" s="130" t="str">
        <f t="shared" si="3"/>
        <v>106F</v>
      </c>
      <c r="I112" s="61" t="s">
        <v>1072</v>
      </c>
      <c r="J112" s="61" t="s">
        <v>108</v>
      </c>
      <c r="K112" s="181"/>
      <c r="L112" s="182" t="s">
        <v>1091</v>
      </c>
    </row>
    <row r="113" spans="1:12" s="25" customFormat="1" ht="29.25" customHeight="1">
      <c r="A113" s="65">
        <f t="shared" si="2"/>
        <v>111</v>
      </c>
      <c r="B113" s="76" t="s">
        <v>890</v>
      </c>
      <c r="C113" s="61">
        <v>200</v>
      </c>
      <c r="D113" s="129">
        <v>200</v>
      </c>
      <c r="E113" s="61">
        <v>0</v>
      </c>
      <c r="F113" s="61">
        <v>255</v>
      </c>
      <c r="G113" s="76" t="s">
        <v>1040</v>
      </c>
      <c r="H113" s="130" t="str">
        <f t="shared" si="3"/>
        <v>1070</v>
      </c>
      <c r="I113" s="61" t="s">
        <v>1072</v>
      </c>
      <c r="J113" s="61" t="s">
        <v>108</v>
      </c>
      <c r="K113" s="181"/>
      <c r="L113" s="182" t="s">
        <v>1091</v>
      </c>
    </row>
    <row r="114" spans="1:12" s="25" customFormat="1" ht="29.25" customHeight="1">
      <c r="A114" s="65">
        <f t="shared" si="2"/>
        <v>112</v>
      </c>
      <c r="B114" s="76" t="s">
        <v>891</v>
      </c>
      <c r="C114" s="61">
        <v>100</v>
      </c>
      <c r="D114" s="129">
        <v>100</v>
      </c>
      <c r="E114" s="61">
        <v>0</v>
      </c>
      <c r="F114" s="61">
        <v>255</v>
      </c>
      <c r="G114" s="76" t="s">
        <v>1041</v>
      </c>
      <c r="H114" s="130" t="str">
        <f t="shared" si="3"/>
        <v>1071</v>
      </c>
      <c r="I114" s="61" t="s">
        <v>1072</v>
      </c>
      <c r="J114" s="61" t="s">
        <v>108</v>
      </c>
      <c r="K114" s="181"/>
      <c r="L114" s="182" t="s">
        <v>1091</v>
      </c>
    </row>
    <row r="115" spans="1:12" s="25" customFormat="1" ht="29.25" customHeight="1">
      <c r="A115" s="65">
        <f t="shared" si="2"/>
        <v>113</v>
      </c>
      <c r="B115" s="76" t="s">
        <v>892</v>
      </c>
      <c r="C115" s="61">
        <v>250</v>
      </c>
      <c r="D115" s="61">
        <v>250</v>
      </c>
      <c r="E115" s="61">
        <v>0</v>
      </c>
      <c r="F115" s="61">
        <v>255</v>
      </c>
      <c r="G115" s="76" t="s">
        <v>1042</v>
      </c>
      <c r="H115" s="130" t="str">
        <f t="shared" si="3"/>
        <v>1072</v>
      </c>
      <c r="I115" s="61" t="s">
        <v>1072</v>
      </c>
      <c r="J115" s="61" t="s">
        <v>108</v>
      </c>
      <c r="K115" s="181"/>
      <c r="L115" s="182" t="s">
        <v>1091</v>
      </c>
    </row>
    <row r="116" spans="1:12" s="25" customFormat="1" ht="29.25" customHeight="1">
      <c r="A116" s="65">
        <f t="shared" si="2"/>
        <v>114</v>
      </c>
      <c r="B116" s="76" t="s">
        <v>896</v>
      </c>
      <c r="C116" s="61">
        <v>200</v>
      </c>
      <c r="D116" s="129">
        <v>200</v>
      </c>
      <c r="E116" s="61">
        <v>0</v>
      </c>
      <c r="F116" s="61">
        <v>255</v>
      </c>
      <c r="G116" s="76" t="s">
        <v>1046</v>
      </c>
      <c r="H116" s="130" t="str">
        <f t="shared" si="3"/>
        <v>1073</v>
      </c>
      <c r="I116" s="61" t="s">
        <v>1072</v>
      </c>
      <c r="J116" s="61" t="s">
        <v>108</v>
      </c>
      <c r="K116" s="181"/>
      <c r="L116" s="182" t="s">
        <v>1091</v>
      </c>
    </row>
    <row r="117" spans="1:12" s="25" customFormat="1" ht="29.25" customHeight="1">
      <c r="A117" s="65">
        <f t="shared" si="2"/>
        <v>115</v>
      </c>
      <c r="B117" s="76" t="s">
        <v>897</v>
      </c>
      <c r="C117" s="61">
        <v>100</v>
      </c>
      <c r="D117" s="129">
        <v>100</v>
      </c>
      <c r="E117" s="61">
        <v>0</v>
      </c>
      <c r="F117" s="61">
        <v>255</v>
      </c>
      <c r="G117" s="76" t="s">
        <v>1047</v>
      </c>
      <c r="H117" s="130" t="str">
        <f t="shared" si="3"/>
        <v>1074</v>
      </c>
      <c r="I117" s="61" t="s">
        <v>1072</v>
      </c>
      <c r="J117" s="61" t="s">
        <v>108</v>
      </c>
      <c r="K117" s="181"/>
      <c r="L117" s="182" t="s">
        <v>1091</v>
      </c>
    </row>
    <row r="118" spans="1:12" s="25" customFormat="1" ht="29.25" customHeight="1">
      <c r="A118" s="65">
        <f t="shared" si="2"/>
        <v>116</v>
      </c>
      <c r="B118" s="76" t="s">
        <v>898</v>
      </c>
      <c r="C118" s="61">
        <v>193</v>
      </c>
      <c r="D118" s="61">
        <v>193</v>
      </c>
      <c r="E118" s="61">
        <v>0</v>
      </c>
      <c r="F118" s="61">
        <v>255</v>
      </c>
      <c r="G118" s="76" t="s">
        <v>1048</v>
      </c>
      <c r="H118" s="130" t="str">
        <f t="shared" si="3"/>
        <v>1075</v>
      </c>
      <c r="I118" s="61" t="s">
        <v>1072</v>
      </c>
      <c r="J118" s="61" t="s">
        <v>108</v>
      </c>
      <c r="K118" s="181"/>
      <c r="L118" s="182" t="s">
        <v>1091</v>
      </c>
    </row>
    <row r="119" spans="1:12" s="25" customFormat="1" ht="29.25" customHeight="1">
      <c r="A119" s="65">
        <f t="shared" si="2"/>
        <v>117</v>
      </c>
      <c r="B119" s="76" t="s">
        <v>899</v>
      </c>
      <c r="C119" s="61">
        <v>123</v>
      </c>
      <c r="D119" s="61">
        <v>123</v>
      </c>
      <c r="E119" s="61">
        <v>0</v>
      </c>
      <c r="F119" s="61">
        <v>255</v>
      </c>
      <c r="G119" s="76" t="s">
        <v>1049</v>
      </c>
      <c r="H119" s="130" t="str">
        <f t="shared" si="3"/>
        <v>1076</v>
      </c>
      <c r="I119" s="61" t="s">
        <v>1072</v>
      </c>
      <c r="J119" s="61" t="s">
        <v>108</v>
      </c>
      <c r="K119" s="181"/>
      <c r="L119" s="182" t="s">
        <v>1091</v>
      </c>
    </row>
    <row r="120" spans="1:12" s="25" customFormat="1" ht="29.25" customHeight="1">
      <c r="A120" s="65">
        <f t="shared" si="2"/>
        <v>118</v>
      </c>
      <c r="B120" s="76" t="s">
        <v>900</v>
      </c>
      <c r="C120" s="61">
        <v>10</v>
      </c>
      <c r="D120" s="61">
        <v>10</v>
      </c>
      <c r="E120" s="61">
        <v>0</v>
      </c>
      <c r="F120" s="61">
        <v>255</v>
      </c>
      <c r="G120" s="76" t="s">
        <v>1050</v>
      </c>
      <c r="H120" s="130" t="str">
        <f t="shared" si="3"/>
        <v>1077</v>
      </c>
      <c r="I120" s="61" t="s">
        <v>1072</v>
      </c>
      <c r="J120" s="61" t="s">
        <v>108</v>
      </c>
      <c r="K120" s="181"/>
      <c r="L120" s="182" t="s">
        <v>1091</v>
      </c>
    </row>
    <row r="121" spans="1:12" s="25" customFormat="1" ht="29.25" customHeight="1">
      <c r="A121" s="65">
        <f t="shared" si="2"/>
        <v>119</v>
      </c>
      <c r="B121" s="76" t="s">
        <v>901</v>
      </c>
      <c r="C121" s="61">
        <v>48</v>
      </c>
      <c r="D121" s="61">
        <v>48</v>
      </c>
      <c r="E121" s="61">
        <v>0</v>
      </c>
      <c r="F121" s="61">
        <v>255</v>
      </c>
      <c r="G121" s="76" t="s">
        <v>1051</v>
      </c>
      <c r="H121" s="130" t="str">
        <f t="shared" si="3"/>
        <v>1078</v>
      </c>
      <c r="I121" s="61" t="s">
        <v>1072</v>
      </c>
      <c r="J121" s="61" t="s">
        <v>108</v>
      </c>
      <c r="K121" s="181"/>
      <c r="L121" s="182" t="s">
        <v>1091</v>
      </c>
    </row>
    <row r="122" spans="1:12" s="25" customFormat="1" ht="29.25" customHeight="1">
      <c r="A122" s="65">
        <f t="shared" si="2"/>
        <v>120</v>
      </c>
      <c r="B122" s="76" t="s">
        <v>902</v>
      </c>
      <c r="C122" s="61">
        <v>200</v>
      </c>
      <c r="D122" s="129">
        <v>200</v>
      </c>
      <c r="E122" s="61">
        <v>0</v>
      </c>
      <c r="F122" s="61">
        <v>255</v>
      </c>
      <c r="G122" s="76" t="s">
        <v>1052</v>
      </c>
      <c r="H122" s="130" t="str">
        <f t="shared" si="3"/>
        <v>1079</v>
      </c>
      <c r="I122" s="61" t="s">
        <v>1072</v>
      </c>
      <c r="J122" s="61" t="s">
        <v>108</v>
      </c>
      <c r="K122" s="181"/>
      <c r="L122" s="182" t="s">
        <v>1091</v>
      </c>
    </row>
    <row r="123" spans="1:12" s="25" customFormat="1" ht="29.25" customHeight="1">
      <c r="A123" s="65">
        <f t="shared" si="2"/>
        <v>121</v>
      </c>
      <c r="B123" s="76" t="s">
        <v>903</v>
      </c>
      <c r="C123" s="61">
        <v>100</v>
      </c>
      <c r="D123" s="129">
        <v>100</v>
      </c>
      <c r="E123" s="61">
        <v>0</v>
      </c>
      <c r="F123" s="61">
        <v>255</v>
      </c>
      <c r="G123" s="76" t="s">
        <v>1053</v>
      </c>
      <c r="H123" s="130" t="str">
        <f t="shared" si="3"/>
        <v>107A</v>
      </c>
      <c r="I123" s="61" t="s">
        <v>1072</v>
      </c>
      <c r="J123" s="61" t="s">
        <v>108</v>
      </c>
      <c r="K123" s="181"/>
      <c r="L123" s="182" t="s">
        <v>1091</v>
      </c>
    </row>
    <row r="124" spans="1:12" s="25" customFormat="1" ht="29.25" customHeight="1">
      <c r="A124" s="65">
        <f t="shared" si="2"/>
        <v>122</v>
      </c>
      <c r="B124" s="76" t="s">
        <v>904</v>
      </c>
      <c r="C124" s="61">
        <v>240</v>
      </c>
      <c r="D124" s="61">
        <v>240</v>
      </c>
      <c r="E124" s="61">
        <v>0</v>
      </c>
      <c r="F124" s="61">
        <v>255</v>
      </c>
      <c r="G124" s="76" t="s">
        <v>1054</v>
      </c>
      <c r="H124" s="130" t="str">
        <f t="shared" si="3"/>
        <v>107B</v>
      </c>
      <c r="I124" s="61" t="s">
        <v>1072</v>
      </c>
      <c r="J124" s="61" t="s">
        <v>108</v>
      </c>
      <c r="K124" s="181"/>
      <c r="L124" s="182" t="s">
        <v>1091</v>
      </c>
    </row>
    <row r="125" spans="1:12" s="25" customFormat="1" ht="29.25" customHeight="1">
      <c r="A125" s="65">
        <f t="shared" si="2"/>
        <v>123</v>
      </c>
      <c r="B125" s="76" t="s">
        <v>905</v>
      </c>
      <c r="C125" s="61">
        <v>145</v>
      </c>
      <c r="D125" s="61">
        <v>145</v>
      </c>
      <c r="E125" s="61">
        <v>0</v>
      </c>
      <c r="F125" s="61">
        <v>255</v>
      </c>
      <c r="G125" s="76" t="s">
        <v>1055</v>
      </c>
      <c r="H125" s="130" t="str">
        <f t="shared" si="3"/>
        <v>107C</v>
      </c>
      <c r="I125" s="61" t="s">
        <v>1072</v>
      </c>
      <c r="J125" s="61" t="s">
        <v>108</v>
      </c>
      <c r="K125" s="181"/>
      <c r="L125" s="182" t="s">
        <v>1091</v>
      </c>
    </row>
    <row r="126" spans="1:12" s="25" customFormat="1" ht="29.25" customHeight="1">
      <c r="A126" s="65">
        <f t="shared" si="2"/>
        <v>124</v>
      </c>
      <c r="B126" s="76" t="s">
        <v>906</v>
      </c>
      <c r="C126" s="61">
        <v>55</v>
      </c>
      <c r="D126" s="61">
        <v>55</v>
      </c>
      <c r="E126" s="61">
        <v>0</v>
      </c>
      <c r="F126" s="61">
        <v>255</v>
      </c>
      <c r="G126" s="76" t="s">
        <v>1056</v>
      </c>
      <c r="H126" s="130" t="str">
        <f t="shared" si="3"/>
        <v>107D</v>
      </c>
      <c r="I126" s="61" t="s">
        <v>1072</v>
      </c>
      <c r="J126" s="61" t="s">
        <v>108</v>
      </c>
      <c r="K126" s="181"/>
      <c r="L126" s="182" t="s">
        <v>1091</v>
      </c>
    </row>
    <row r="127" spans="1:12" s="25" customFormat="1" ht="29.25" customHeight="1">
      <c r="A127" s="65">
        <f t="shared" si="2"/>
        <v>125</v>
      </c>
      <c r="B127" s="76" t="s">
        <v>907</v>
      </c>
      <c r="C127" s="61">
        <v>19</v>
      </c>
      <c r="D127" s="61">
        <v>19</v>
      </c>
      <c r="E127" s="61">
        <v>0</v>
      </c>
      <c r="F127" s="61">
        <v>255</v>
      </c>
      <c r="G127" s="76" t="s">
        <v>1057</v>
      </c>
      <c r="H127" s="130" t="str">
        <f t="shared" si="3"/>
        <v>107E</v>
      </c>
      <c r="I127" s="61" t="s">
        <v>1072</v>
      </c>
      <c r="J127" s="61" t="s">
        <v>108</v>
      </c>
      <c r="K127" s="181"/>
      <c r="L127" s="182" t="s">
        <v>1091</v>
      </c>
    </row>
    <row r="128" spans="1:12" s="25" customFormat="1" ht="29.25" customHeight="1">
      <c r="A128" s="65">
        <f t="shared" si="2"/>
        <v>126</v>
      </c>
      <c r="B128" s="76" t="s">
        <v>908</v>
      </c>
      <c r="C128" s="61">
        <v>162</v>
      </c>
      <c r="D128" s="129">
        <v>162</v>
      </c>
      <c r="E128" s="61">
        <v>0</v>
      </c>
      <c r="F128" s="61">
        <v>255</v>
      </c>
      <c r="G128" s="76" t="s">
        <v>1058</v>
      </c>
      <c r="H128" s="130" t="str">
        <f t="shared" si="3"/>
        <v>107F</v>
      </c>
      <c r="I128" s="61" t="s">
        <v>1072</v>
      </c>
      <c r="J128" s="61" t="s">
        <v>108</v>
      </c>
      <c r="K128" s="181"/>
      <c r="L128" s="182" t="s">
        <v>1091</v>
      </c>
    </row>
    <row r="129" spans="1:12" s="25" customFormat="1" ht="29.25" customHeight="1">
      <c r="A129" s="65">
        <f t="shared" si="2"/>
        <v>127</v>
      </c>
      <c r="B129" s="76" t="s">
        <v>909</v>
      </c>
      <c r="C129" s="61">
        <v>114</v>
      </c>
      <c r="D129" s="129">
        <v>114</v>
      </c>
      <c r="E129" s="61">
        <v>0</v>
      </c>
      <c r="F129" s="61">
        <v>255</v>
      </c>
      <c r="G129" s="76" t="s">
        <v>1059</v>
      </c>
      <c r="H129" s="130" t="str">
        <f t="shared" si="3"/>
        <v>1080</v>
      </c>
      <c r="I129" s="61" t="s">
        <v>1072</v>
      </c>
      <c r="J129" s="61" t="s">
        <v>108</v>
      </c>
      <c r="K129" s="181"/>
      <c r="L129" s="182" t="s">
        <v>1091</v>
      </c>
    </row>
    <row r="130" spans="1:12" s="25" customFormat="1" ht="29.25" customHeight="1">
      <c r="A130" s="65">
        <f t="shared" si="2"/>
        <v>128</v>
      </c>
      <c r="B130" s="76" t="s">
        <v>910</v>
      </c>
      <c r="C130" s="183">
        <v>200</v>
      </c>
      <c r="D130" s="184">
        <v>200</v>
      </c>
      <c r="E130" s="61">
        <v>0</v>
      </c>
      <c r="F130" s="61">
        <v>255</v>
      </c>
      <c r="G130" s="76" t="s">
        <v>1060</v>
      </c>
      <c r="H130" s="130" t="str">
        <f t="shared" si="3"/>
        <v>1081</v>
      </c>
      <c r="I130" s="61" t="s">
        <v>1072</v>
      </c>
      <c r="J130" s="61" t="s">
        <v>108</v>
      </c>
      <c r="K130" s="181"/>
      <c r="L130" s="182" t="s">
        <v>1091</v>
      </c>
    </row>
    <row r="131" spans="1:12" s="25" customFormat="1" ht="29.25" customHeight="1">
      <c r="A131" s="65">
        <f t="shared" ref="A131:A165" si="4">A130+1</f>
        <v>129</v>
      </c>
      <c r="B131" s="76" t="s">
        <v>911</v>
      </c>
      <c r="C131" s="183">
        <v>100</v>
      </c>
      <c r="D131" s="184">
        <v>100</v>
      </c>
      <c r="E131" s="61">
        <v>0</v>
      </c>
      <c r="F131" s="61">
        <v>255</v>
      </c>
      <c r="G131" s="76" t="s">
        <v>1061</v>
      </c>
      <c r="H131" s="130" t="str">
        <f t="shared" ref="H131:H165" si="5">DEC2HEX((HEX2DEC(H130)+1),4)</f>
        <v>1082</v>
      </c>
      <c r="I131" s="61" t="s">
        <v>1072</v>
      </c>
      <c r="J131" s="61" t="s">
        <v>108</v>
      </c>
      <c r="K131" s="181"/>
      <c r="L131" s="182" t="s">
        <v>1091</v>
      </c>
    </row>
    <row r="132" spans="1:12" s="25" customFormat="1" ht="29.25" customHeight="1">
      <c r="A132" s="65">
        <f t="shared" si="4"/>
        <v>130</v>
      </c>
      <c r="B132" s="76" t="s">
        <v>912</v>
      </c>
      <c r="C132" s="61">
        <v>14</v>
      </c>
      <c r="D132" s="129">
        <v>14</v>
      </c>
      <c r="E132" s="61">
        <v>0</v>
      </c>
      <c r="F132" s="61">
        <v>255</v>
      </c>
      <c r="G132" s="76" t="s">
        <v>1062</v>
      </c>
      <c r="H132" s="130" t="str">
        <f t="shared" si="5"/>
        <v>1083</v>
      </c>
      <c r="I132" s="61" t="s">
        <v>1072</v>
      </c>
      <c r="J132" s="61" t="s">
        <v>108</v>
      </c>
      <c r="K132" s="181"/>
      <c r="L132" s="182" t="s">
        <v>1091</v>
      </c>
    </row>
    <row r="133" spans="1:12" s="25" customFormat="1" ht="29.25" customHeight="1">
      <c r="A133" s="65">
        <f t="shared" si="4"/>
        <v>131</v>
      </c>
      <c r="B133" s="76" t="s">
        <v>913</v>
      </c>
      <c r="C133" s="61">
        <v>21</v>
      </c>
      <c r="D133" s="129">
        <v>21</v>
      </c>
      <c r="E133" s="61">
        <v>0</v>
      </c>
      <c r="F133" s="61">
        <v>255</v>
      </c>
      <c r="G133" s="76" t="s">
        <v>1063</v>
      </c>
      <c r="H133" s="130" t="str">
        <f t="shared" si="5"/>
        <v>1084</v>
      </c>
      <c r="I133" s="61" t="s">
        <v>1072</v>
      </c>
      <c r="J133" s="61" t="s">
        <v>108</v>
      </c>
      <c r="K133" s="181"/>
      <c r="L133" s="182" t="s">
        <v>1091</v>
      </c>
    </row>
    <row r="134" spans="1:12" s="25" customFormat="1" ht="29.25" customHeight="1">
      <c r="A134" s="65">
        <f t="shared" si="4"/>
        <v>132</v>
      </c>
      <c r="B134" s="76" t="s">
        <v>914</v>
      </c>
      <c r="C134" s="61">
        <v>55</v>
      </c>
      <c r="D134" s="61">
        <v>55</v>
      </c>
      <c r="E134" s="61">
        <v>0</v>
      </c>
      <c r="F134" s="61">
        <v>255</v>
      </c>
      <c r="G134" s="76" t="s">
        <v>1064</v>
      </c>
      <c r="H134" s="130" t="str">
        <f t="shared" si="5"/>
        <v>1085</v>
      </c>
      <c r="I134" s="61" t="s">
        <v>1072</v>
      </c>
      <c r="J134" s="61" t="s">
        <v>108</v>
      </c>
      <c r="K134" s="181"/>
      <c r="L134" s="182" t="s">
        <v>1091</v>
      </c>
    </row>
    <row r="135" spans="1:12" s="25" customFormat="1" ht="29.25" customHeight="1">
      <c r="A135" s="65">
        <f t="shared" si="4"/>
        <v>133</v>
      </c>
      <c r="B135" s="76" t="s">
        <v>915</v>
      </c>
      <c r="C135" s="61">
        <v>19</v>
      </c>
      <c r="D135" s="61">
        <v>19</v>
      </c>
      <c r="E135" s="61">
        <v>0</v>
      </c>
      <c r="F135" s="61">
        <v>255</v>
      </c>
      <c r="G135" s="76" t="s">
        <v>1065</v>
      </c>
      <c r="H135" s="130" t="str">
        <f t="shared" si="5"/>
        <v>1086</v>
      </c>
      <c r="I135" s="61" t="s">
        <v>1072</v>
      </c>
      <c r="J135" s="61" t="s">
        <v>108</v>
      </c>
      <c r="K135" s="181"/>
      <c r="L135" s="182" t="s">
        <v>1091</v>
      </c>
    </row>
    <row r="136" spans="1:12" s="25" customFormat="1" ht="29.25" customHeight="1">
      <c r="A136" s="65">
        <f t="shared" si="4"/>
        <v>134</v>
      </c>
      <c r="B136" s="76" t="s">
        <v>3101</v>
      </c>
      <c r="C136" s="353">
        <v>200</v>
      </c>
      <c r="D136" s="353">
        <v>200</v>
      </c>
      <c r="E136" s="61">
        <v>0</v>
      </c>
      <c r="F136" s="61">
        <v>255</v>
      </c>
      <c r="G136" s="76" t="s">
        <v>3103</v>
      </c>
      <c r="H136" s="130" t="str">
        <f t="shared" si="5"/>
        <v>1087</v>
      </c>
      <c r="I136" s="61">
        <v>4</v>
      </c>
      <c r="J136" s="61" t="s">
        <v>108</v>
      </c>
      <c r="K136" s="181"/>
      <c r="L136" s="182" t="s">
        <v>1091</v>
      </c>
    </row>
    <row r="137" spans="1:12" s="25" customFormat="1" ht="29.25" customHeight="1">
      <c r="A137" s="65">
        <f t="shared" si="4"/>
        <v>135</v>
      </c>
      <c r="B137" s="76" t="s">
        <v>3102</v>
      </c>
      <c r="C137" s="353">
        <v>100</v>
      </c>
      <c r="D137" s="353">
        <v>100</v>
      </c>
      <c r="E137" s="61">
        <v>0</v>
      </c>
      <c r="F137" s="61">
        <v>255</v>
      </c>
      <c r="G137" s="76" t="s">
        <v>3104</v>
      </c>
      <c r="H137" s="130" t="str">
        <f t="shared" si="5"/>
        <v>1088</v>
      </c>
      <c r="I137" s="61">
        <v>4</v>
      </c>
      <c r="J137" s="61" t="s">
        <v>108</v>
      </c>
      <c r="K137" s="181"/>
      <c r="L137" s="182" t="s">
        <v>1091</v>
      </c>
    </row>
    <row r="138" spans="1:12" s="25" customFormat="1" ht="29.25" customHeight="1">
      <c r="A138" s="65">
        <f t="shared" si="4"/>
        <v>136</v>
      </c>
      <c r="B138" s="76" t="s">
        <v>916</v>
      </c>
      <c r="C138" s="61">
        <v>55</v>
      </c>
      <c r="D138" s="61">
        <v>55</v>
      </c>
      <c r="E138" s="61">
        <v>0</v>
      </c>
      <c r="F138" s="61">
        <v>255</v>
      </c>
      <c r="G138" s="76" t="s">
        <v>1066</v>
      </c>
      <c r="H138" s="130" t="str">
        <f t="shared" si="5"/>
        <v>1089</v>
      </c>
      <c r="I138" s="61" t="s">
        <v>1072</v>
      </c>
      <c r="J138" s="61" t="s">
        <v>108</v>
      </c>
      <c r="K138" s="181"/>
      <c r="L138" s="182" t="s">
        <v>1091</v>
      </c>
    </row>
    <row r="139" spans="1:12" s="25" customFormat="1" ht="29.25" customHeight="1">
      <c r="A139" s="65">
        <f t="shared" si="4"/>
        <v>137</v>
      </c>
      <c r="B139" s="76" t="s">
        <v>1081</v>
      </c>
      <c r="C139" s="61">
        <v>19</v>
      </c>
      <c r="D139" s="61">
        <v>19</v>
      </c>
      <c r="E139" s="61">
        <v>0</v>
      </c>
      <c r="F139" s="61">
        <v>255</v>
      </c>
      <c r="G139" s="76" t="s">
        <v>1067</v>
      </c>
      <c r="H139" s="130" t="str">
        <f t="shared" si="5"/>
        <v>108A</v>
      </c>
      <c r="I139" s="61" t="s">
        <v>1072</v>
      </c>
      <c r="J139" s="61" t="s">
        <v>108</v>
      </c>
      <c r="K139" s="181"/>
      <c r="L139" s="182" t="s">
        <v>1091</v>
      </c>
    </row>
    <row r="140" spans="1:12" s="25" customFormat="1" ht="29.25" customHeight="1">
      <c r="A140" s="65">
        <f t="shared" si="4"/>
        <v>138</v>
      </c>
      <c r="B140" s="76" t="s">
        <v>3031</v>
      </c>
      <c r="C140" s="61">
        <v>73</v>
      </c>
      <c r="D140" s="61">
        <v>73</v>
      </c>
      <c r="E140" s="61">
        <v>0</v>
      </c>
      <c r="F140" s="61">
        <v>255</v>
      </c>
      <c r="G140" s="76" t="s">
        <v>3033</v>
      </c>
      <c r="H140" s="130" t="str">
        <f t="shared" si="5"/>
        <v>108B</v>
      </c>
      <c r="I140" s="61" t="s">
        <v>1072</v>
      </c>
      <c r="J140" s="61" t="s">
        <v>108</v>
      </c>
      <c r="K140" s="181"/>
      <c r="L140" s="182" t="s">
        <v>1091</v>
      </c>
    </row>
    <row r="141" spans="1:12" s="25" customFormat="1" ht="29.25" customHeight="1">
      <c r="A141" s="65">
        <f t="shared" si="4"/>
        <v>139</v>
      </c>
      <c r="B141" s="76" t="s">
        <v>3032</v>
      </c>
      <c r="C141" s="61">
        <v>19</v>
      </c>
      <c r="D141" s="61">
        <v>19</v>
      </c>
      <c r="E141" s="61">
        <v>0</v>
      </c>
      <c r="F141" s="61">
        <v>255</v>
      </c>
      <c r="G141" s="76" t="s">
        <v>3034</v>
      </c>
      <c r="H141" s="130" t="str">
        <f t="shared" si="5"/>
        <v>108C</v>
      </c>
      <c r="I141" s="61" t="s">
        <v>1072</v>
      </c>
      <c r="J141" s="61" t="s">
        <v>108</v>
      </c>
      <c r="K141" s="181"/>
      <c r="L141" s="182" t="s">
        <v>1091</v>
      </c>
    </row>
    <row r="142" spans="1:12" s="25" customFormat="1" ht="29.25" customHeight="1">
      <c r="A142" s="65">
        <f t="shared" si="4"/>
        <v>140</v>
      </c>
      <c r="B142" s="76" t="s">
        <v>917</v>
      </c>
      <c r="C142" s="61">
        <v>200</v>
      </c>
      <c r="D142" s="129">
        <v>200</v>
      </c>
      <c r="E142" s="61">
        <v>0</v>
      </c>
      <c r="F142" s="61">
        <v>255</v>
      </c>
      <c r="G142" s="76" t="s">
        <v>1068</v>
      </c>
      <c r="H142" s="130" t="str">
        <f t="shared" si="5"/>
        <v>108D</v>
      </c>
      <c r="I142" s="61" t="s">
        <v>1072</v>
      </c>
      <c r="J142" s="61" t="s">
        <v>108</v>
      </c>
      <c r="K142" s="181"/>
      <c r="L142" s="182" t="s">
        <v>1091</v>
      </c>
    </row>
    <row r="143" spans="1:12" s="25" customFormat="1" ht="29.25" customHeight="1">
      <c r="A143" s="65">
        <f t="shared" si="4"/>
        <v>141</v>
      </c>
      <c r="B143" s="76" t="s">
        <v>918</v>
      </c>
      <c r="C143" s="61">
        <v>100</v>
      </c>
      <c r="D143" s="129">
        <v>100</v>
      </c>
      <c r="E143" s="61">
        <v>0</v>
      </c>
      <c r="F143" s="61">
        <v>255</v>
      </c>
      <c r="G143" s="76" t="s">
        <v>1069</v>
      </c>
      <c r="H143" s="130" t="str">
        <f t="shared" si="5"/>
        <v>108E</v>
      </c>
      <c r="I143" s="61" t="s">
        <v>1072</v>
      </c>
      <c r="J143" s="61" t="s">
        <v>108</v>
      </c>
      <c r="K143" s="181"/>
      <c r="L143" s="182" t="s">
        <v>1091</v>
      </c>
    </row>
    <row r="144" spans="1:12" s="25" customFormat="1" ht="29.25" customHeight="1">
      <c r="A144" s="65">
        <f t="shared" si="4"/>
        <v>142</v>
      </c>
      <c r="B144" s="76" t="s">
        <v>2009</v>
      </c>
      <c r="C144" s="61">
        <v>162</v>
      </c>
      <c r="D144" s="129">
        <v>162</v>
      </c>
      <c r="E144" s="61">
        <v>0</v>
      </c>
      <c r="F144" s="61">
        <v>255</v>
      </c>
      <c r="G144" s="76" t="s">
        <v>2013</v>
      </c>
      <c r="H144" s="130" t="str">
        <f t="shared" si="5"/>
        <v>108F</v>
      </c>
      <c r="I144" s="61">
        <v>4</v>
      </c>
      <c r="J144" s="61" t="s">
        <v>108</v>
      </c>
      <c r="K144" s="181"/>
      <c r="L144" s="182" t="s">
        <v>1091</v>
      </c>
    </row>
    <row r="145" spans="1:12" s="25" customFormat="1" ht="29.25" customHeight="1">
      <c r="A145" s="65">
        <f t="shared" si="4"/>
        <v>143</v>
      </c>
      <c r="B145" s="76" t="s">
        <v>2010</v>
      </c>
      <c r="C145" s="61">
        <v>114</v>
      </c>
      <c r="D145" s="129">
        <v>114</v>
      </c>
      <c r="E145" s="61">
        <v>0</v>
      </c>
      <c r="F145" s="61">
        <v>255</v>
      </c>
      <c r="G145" s="76" t="s">
        <v>2014</v>
      </c>
      <c r="H145" s="130" t="str">
        <f t="shared" si="5"/>
        <v>1090</v>
      </c>
      <c r="I145" s="61">
        <v>4</v>
      </c>
      <c r="J145" s="61" t="s">
        <v>108</v>
      </c>
      <c r="K145" s="181"/>
      <c r="L145" s="182" t="s">
        <v>1091</v>
      </c>
    </row>
    <row r="146" spans="1:12" s="25" customFormat="1" ht="29.25" customHeight="1">
      <c r="A146" s="65">
        <f t="shared" si="4"/>
        <v>144</v>
      </c>
      <c r="B146" s="76" t="s">
        <v>2011</v>
      </c>
      <c r="C146" s="61">
        <v>250</v>
      </c>
      <c r="D146" s="61">
        <v>250</v>
      </c>
      <c r="E146" s="61">
        <v>0</v>
      </c>
      <c r="F146" s="61">
        <v>255</v>
      </c>
      <c r="G146" s="76" t="s">
        <v>2015</v>
      </c>
      <c r="H146" s="130" t="str">
        <f t="shared" si="5"/>
        <v>1091</v>
      </c>
      <c r="I146" s="61">
        <v>4</v>
      </c>
      <c r="J146" s="61" t="s">
        <v>108</v>
      </c>
      <c r="K146" s="181"/>
      <c r="L146" s="182" t="s">
        <v>1091</v>
      </c>
    </row>
    <row r="147" spans="1:12" s="25" customFormat="1" ht="29.25" customHeight="1">
      <c r="A147" s="65">
        <f t="shared" si="4"/>
        <v>145</v>
      </c>
      <c r="B147" s="76" t="s">
        <v>2012</v>
      </c>
      <c r="C147" s="61">
        <v>148</v>
      </c>
      <c r="D147" s="61">
        <v>148</v>
      </c>
      <c r="E147" s="61">
        <v>0</v>
      </c>
      <c r="F147" s="61">
        <v>255</v>
      </c>
      <c r="G147" s="76" t="s">
        <v>2016</v>
      </c>
      <c r="H147" s="130" t="str">
        <f t="shared" si="5"/>
        <v>1092</v>
      </c>
      <c r="I147" s="61">
        <v>4</v>
      </c>
      <c r="J147" s="61" t="s">
        <v>108</v>
      </c>
      <c r="K147" s="181"/>
      <c r="L147" s="182" t="s">
        <v>1091</v>
      </c>
    </row>
    <row r="148" spans="1:12" s="25" customFormat="1" ht="29.25" customHeight="1">
      <c r="A148" s="65">
        <f t="shared" si="4"/>
        <v>146</v>
      </c>
      <c r="B148" s="76" t="s">
        <v>2408</v>
      </c>
      <c r="C148" s="61">
        <v>0</v>
      </c>
      <c r="D148" s="129">
        <v>0</v>
      </c>
      <c r="E148" s="61">
        <v>0</v>
      </c>
      <c r="F148" s="61">
        <v>255</v>
      </c>
      <c r="G148" s="76" t="s">
        <v>2409</v>
      </c>
      <c r="H148" s="130" t="str">
        <f t="shared" si="5"/>
        <v>1093</v>
      </c>
      <c r="I148" s="61">
        <v>4</v>
      </c>
      <c r="J148" s="61" t="s">
        <v>108</v>
      </c>
      <c r="K148" s="181"/>
      <c r="L148" s="182" t="s">
        <v>1091</v>
      </c>
    </row>
    <row r="149" spans="1:12" s="25" customFormat="1" ht="29.25" customHeight="1">
      <c r="A149" s="65">
        <f t="shared" si="4"/>
        <v>147</v>
      </c>
      <c r="B149" s="76" t="s">
        <v>2410</v>
      </c>
      <c r="C149" s="61">
        <v>0</v>
      </c>
      <c r="D149" s="129">
        <v>0</v>
      </c>
      <c r="E149" s="61">
        <v>0</v>
      </c>
      <c r="F149" s="61">
        <v>255</v>
      </c>
      <c r="G149" s="76" t="s">
        <v>2411</v>
      </c>
      <c r="H149" s="130" t="str">
        <f t="shared" si="5"/>
        <v>1094</v>
      </c>
      <c r="I149" s="61">
        <v>4</v>
      </c>
      <c r="J149" s="61" t="s">
        <v>108</v>
      </c>
      <c r="K149" s="181"/>
      <c r="L149" s="182" t="s">
        <v>1091</v>
      </c>
    </row>
    <row r="150" spans="1:12" s="25" customFormat="1" ht="29.25" customHeight="1">
      <c r="A150" s="65">
        <f t="shared" si="4"/>
        <v>148</v>
      </c>
      <c r="B150" s="76" t="s">
        <v>2412</v>
      </c>
      <c r="C150" s="61">
        <v>0</v>
      </c>
      <c r="D150" s="129">
        <v>0</v>
      </c>
      <c r="E150" s="61">
        <v>0</v>
      </c>
      <c r="F150" s="61">
        <v>255</v>
      </c>
      <c r="G150" s="76" t="s">
        <v>2413</v>
      </c>
      <c r="H150" s="130" t="str">
        <f t="shared" si="5"/>
        <v>1095</v>
      </c>
      <c r="I150" s="61">
        <v>4</v>
      </c>
      <c r="J150" s="61" t="s">
        <v>108</v>
      </c>
      <c r="K150" s="181"/>
      <c r="L150" s="182" t="s">
        <v>1091</v>
      </c>
    </row>
    <row r="151" spans="1:12" s="25" customFormat="1" ht="29.25" customHeight="1">
      <c r="A151" s="65">
        <f t="shared" si="4"/>
        <v>149</v>
      </c>
      <c r="B151" s="76" t="s">
        <v>2414</v>
      </c>
      <c r="C151" s="61">
        <v>0</v>
      </c>
      <c r="D151" s="129">
        <v>0</v>
      </c>
      <c r="E151" s="61">
        <v>0</v>
      </c>
      <c r="F151" s="61">
        <v>255</v>
      </c>
      <c r="G151" s="76" t="s">
        <v>2415</v>
      </c>
      <c r="H151" s="130" t="str">
        <f t="shared" si="5"/>
        <v>1096</v>
      </c>
      <c r="I151" s="61">
        <v>4</v>
      </c>
      <c r="J151" s="61" t="s">
        <v>108</v>
      </c>
      <c r="K151" s="181"/>
      <c r="L151" s="182" t="s">
        <v>1091</v>
      </c>
    </row>
    <row r="152" spans="1:12" s="25" customFormat="1" ht="29.25" customHeight="1">
      <c r="A152" s="65">
        <f t="shared" si="4"/>
        <v>150</v>
      </c>
      <c r="B152" s="76" t="s">
        <v>2416</v>
      </c>
      <c r="C152" s="61">
        <v>0</v>
      </c>
      <c r="D152" s="129">
        <v>0</v>
      </c>
      <c r="E152" s="61">
        <v>0</v>
      </c>
      <c r="F152" s="61">
        <v>255</v>
      </c>
      <c r="G152" s="76" t="s">
        <v>2417</v>
      </c>
      <c r="H152" s="130" t="str">
        <f t="shared" si="5"/>
        <v>1097</v>
      </c>
      <c r="I152" s="61">
        <v>4</v>
      </c>
      <c r="J152" s="61" t="s">
        <v>108</v>
      </c>
      <c r="K152" s="181"/>
      <c r="L152" s="182" t="s">
        <v>1091</v>
      </c>
    </row>
    <row r="153" spans="1:12" s="25" customFormat="1" ht="29.25" customHeight="1">
      <c r="A153" s="65">
        <f t="shared" si="4"/>
        <v>151</v>
      </c>
      <c r="B153" s="76" t="s">
        <v>2454</v>
      </c>
      <c r="C153" s="61">
        <v>0</v>
      </c>
      <c r="D153" s="129">
        <v>0</v>
      </c>
      <c r="E153" s="61">
        <v>0</v>
      </c>
      <c r="F153" s="61">
        <v>255</v>
      </c>
      <c r="G153" s="76" t="s">
        <v>2455</v>
      </c>
      <c r="H153" s="130" t="str">
        <f t="shared" si="5"/>
        <v>1098</v>
      </c>
      <c r="I153" s="61">
        <v>4</v>
      </c>
      <c r="J153" s="61" t="s">
        <v>108</v>
      </c>
      <c r="K153" s="181"/>
      <c r="L153" s="182" t="s">
        <v>1091</v>
      </c>
    </row>
    <row r="154" spans="1:12" s="25" customFormat="1" ht="29.25" customHeight="1">
      <c r="A154" s="65">
        <f t="shared" si="4"/>
        <v>152</v>
      </c>
      <c r="B154" s="76" t="s">
        <v>2422</v>
      </c>
      <c r="C154" s="61">
        <v>184</v>
      </c>
      <c r="D154" s="129">
        <v>184</v>
      </c>
      <c r="E154" s="61">
        <v>0</v>
      </c>
      <c r="F154" s="61">
        <v>255</v>
      </c>
      <c r="G154" s="76" t="s">
        <v>2423</v>
      </c>
      <c r="H154" s="130" t="str">
        <f t="shared" si="5"/>
        <v>1099</v>
      </c>
      <c r="I154" s="61">
        <v>0.6</v>
      </c>
      <c r="J154" s="61" t="s">
        <v>108</v>
      </c>
      <c r="K154" s="181"/>
      <c r="L154" s="182" t="s">
        <v>1091</v>
      </c>
    </row>
    <row r="155" spans="1:12" s="25" customFormat="1" ht="29.25" customHeight="1">
      <c r="A155" s="65">
        <f t="shared" si="4"/>
        <v>153</v>
      </c>
      <c r="B155" s="76" t="s">
        <v>2424</v>
      </c>
      <c r="C155" s="61">
        <v>180</v>
      </c>
      <c r="D155" s="129">
        <v>180</v>
      </c>
      <c r="E155" s="61">
        <v>0</v>
      </c>
      <c r="F155" s="61">
        <v>255</v>
      </c>
      <c r="G155" s="76" t="s">
        <v>2425</v>
      </c>
      <c r="H155" s="130" t="str">
        <f t="shared" si="5"/>
        <v>109A</v>
      </c>
      <c r="I155" s="61">
        <v>0.6</v>
      </c>
      <c r="J155" s="61" t="s">
        <v>108</v>
      </c>
      <c r="K155" s="181"/>
      <c r="L155" s="182" t="s">
        <v>1091</v>
      </c>
    </row>
    <row r="156" spans="1:12" s="25" customFormat="1" ht="29.25" customHeight="1">
      <c r="A156" s="65">
        <f t="shared" si="4"/>
        <v>154</v>
      </c>
      <c r="B156" s="76" t="s">
        <v>2426</v>
      </c>
      <c r="C156" s="61">
        <v>171</v>
      </c>
      <c r="D156" s="129">
        <v>171</v>
      </c>
      <c r="E156" s="61">
        <v>0</v>
      </c>
      <c r="F156" s="61">
        <v>255</v>
      </c>
      <c r="G156" s="76" t="s">
        <v>2427</v>
      </c>
      <c r="H156" s="130" t="str">
        <f t="shared" si="5"/>
        <v>109B</v>
      </c>
      <c r="I156" s="61">
        <v>0.6</v>
      </c>
      <c r="J156" s="61" t="s">
        <v>108</v>
      </c>
      <c r="K156" s="181"/>
      <c r="L156" s="182" t="s">
        <v>1091</v>
      </c>
    </row>
    <row r="157" spans="1:12" s="25" customFormat="1" ht="29.25" customHeight="1">
      <c r="A157" s="65">
        <f t="shared" si="4"/>
        <v>155</v>
      </c>
      <c r="B157" s="76" t="s">
        <v>2428</v>
      </c>
      <c r="C157" s="61">
        <v>171</v>
      </c>
      <c r="D157" s="129">
        <v>171</v>
      </c>
      <c r="E157" s="61">
        <v>0</v>
      </c>
      <c r="F157" s="61">
        <v>255</v>
      </c>
      <c r="G157" s="76" t="s">
        <v>2429</v>
      </c>
      <c r="H157" s="130" t="str">
        <f t="shared" si="5"/>
        <v>109C</v>
      </c>
      <c r="I157" s="61">
        <v>0.6</v>
      </c>
      <c r="J157" s="61" t="s">
        <v>108</v>
      </c>
      <c r="K157" s="181"/>
      <c r="L157" s="182" t="s">
        <v>1091</v>
      </c>
    </row>
    <row r="158" spans="1:12" s="25" customFormat="1" ht="29.25" customHeight="1">
      <c r="A158" s="65">
        <f t="shared" si="4"/>
        <v>156</v>
      </c>
      <c r="B158" s="76" t="s">
        <v>2430</v>
      </c>
      <c r="C158" s="61">
        <v>171</v>
      </c>
      <c r="D158" s="129">
        <v>171</v>
      </c>
      <c r="E158" s="61">
        <v>0</v>
      </c>
      <c r="F158" s="61">
        <v>255</v>
      </c>
      <c r="G158" s="76" t="s">
        <v>2431</v>
      </c>
      <c r="H158" s="130" t="str">
        <f t="shared" si="5"/>
        <v>109D</v>
      </c>
      <c r="I158" s="61">
        <v>0.6</v>
      </c>
      <c r="J158" s="61" t="s">
        <v>108</v>
      </c>
      <c r="K158" s="181"/>
      <c r="L158" s="182" t="s">
        <v>1091</v>
      </c>
    </row>
    <row r="159" spans="1:12" s="25" customFormat="1" ht="29.25" customHeight="1">
      <c r="A159" s="65">
        <f t="shared" si="4"/>
        <v>157</v>
      </c>
      <c r="B159" s="76" t="s">
        <v>2432</v>
      </c>
      <c r="C159" s="61">
        <v>171</v>
      </c>
      <c r="D159" s="129">
        <v>171</v>
      </c>
      <c r="E159" s="61">
        <v>0</v>
      </c>
      <c r="F159" s="61">
        <v>255</v>
      </c>
      <c r="G159" s="76" t="s">
        <v>2433</v>
      </c>
      <c r="H159" s="130" t="str">
        <f t="shared" si="5"/>
        <v>109E</v>
      </c>
      <c r="I159" s="61">
        <v>0.6</v>
      </c>
      <c r="J159" s="61" t="s">
        <v>108</v>
      </c>
      <c r="K159" s="181"/>
      <c r="L159" s="181"/>
    </row>
    <row r="160" spans="1:12" s="25" customFormat="1" ht="29.25" customHeight="1">
      <c r="A160" s="65">
        <f t="shared" si="4"/>
        <v>158</v>
      </c>
      <c r="B160" s="76" t="s">
        <v>2434</v>
      </c>
      <c r="C160" s="61">
        <v>184</v>
      </c>
      <c r="D160" s="129">
        <v>184</v>
      </c>
      <c r="E160" s="61">
        <v>0</v>
      </c>
      <c r="F160" s="61">
        <v>255</v>
      </c>
      <c r="G160" s="76" t="s">
        <v>2435</v>
      </c>
      <c r="H160" s="130" t="str">
        <f t="shared" si="5"/>
        <v>109F</v>
      </c>
      <c r="I160" s="61">
        <v>0.6</v>
      </c>
      <c r="J160" s="61" t="s">
        <v>108</v>
      </c>
      <c r="K160" s="181"/>
      <c r="L160" s="181"/>
    </row>
    <row r="161" spans="1:12" s="25" customFormat="1" ht="29.25" customHeight="1">
      <c r="A161" s="65">
        <f t="shared" si="4"/>
        <v>159</v>
      </c>
      <c r="B161" s="354" t="s">
        <v>2436</v>
      </c>
      <c r="C161" s="61">
        <v>184</v>
      </c>
      <c r="D161" s="129">
        <v>184</v>
      </c>
      <c r="E161" s="61">
        <v>0</v>
      </c>
      <c r="F161" s="61">
        <v>255</v>
      </c>
      <c r="G161" s="76" t="s">
        <v>2437</v>
      </c>
      <c r="H161" s="130" t="str">
        <f t="shared" si="5"/>
        <v>10A0</v>
      </c>
      <c r="I161" s="61">
        <v>0.6</v>
      </c>
      <c r="J161" s="61" t="s">
        <v>108</v>
      </c>
      <c r="K161" s="181"/>
      <c r="L161" s="181"/>
    </row>
    <row r="162" spans="1:12" ht="29.25" customHeight="1">
      <c r="A162" s="65">
        <f t="shared" si="4"/>
        <v>160</v>
      </c>
      <c r="B162" s="76" t="s">
        <v>3035</v>
      </c>
      <c r="C162" s="353">
        <v>250</v>
      </c>
      <c r="D162" s="353">
        <v>250</v>
      </c>
      <c r="E162" s="61">
        <v>0</v>
      </c>
      <c r="F162" s="61">
        <v>255</v>
      </c>
      <c r="G162" s="76" t="s">
        <v>3041</v>
      </c>
      <c r="H162" s="130" t="str">
        <f t="shared" si="5"/>
        <v>10A1</v>
      </c>
      <c r="I162" s="61">
        <v>4</v>
      </c>
      <c r="J162" s="61" t="s">
        <v>108</v>
      </c>
    </row>
    <row r="163" spans="1:12" ht="29.25" customHeight="1">
      <c r="A163" s="65">
        <f t="shared" si="4"/>
        <v>161</v>
      </c>
      <c r="B163" s="76" t="s">
        <v>3036</v>
      </c>
      <c r="C163" s="353">
        <v>144</v>
      </c>
      <c r="D163" s="353">
        <v>144</v>
      </c>
      <c r="E163" s="61">
        <v>0</v>
      </c>
      <c r="F163" s="61">
        <v>255</v>
      </c>
      <c r="G163" s="76" t="s">
        <v>3044</v>
      </c>
      <c r="H163" s="130" t="str">
        <f t="shared" si="5"/>
        <v>10A2</v>
      </c>
      <c r="I163" s="61">
        <v>4</v>
      </c>
      <c r="J163" s="61" t="s">
        <v>108</v>
      </c>
    </row>
    <row r="164" spans="1:12" ht="29.25" customHeight="1">
      <c r="A164" s="65">
        <f t="shared" si="4"/>
        <v>162</v>
      </c>
      <c r="B164" s="76" t="s">
        <v>3037</v>
      </c>
      <c r="C164" s="353">
        <v>53</v>
      </c>
      <c r="D164" s="353">
        <v>53</v>
      </c>
      <c r="E164" s="61">
        <v>0</v>
      </c>
      <c r="F164" s="61">
        <v>255</v>
      </c>
      <c r="G164" s="76" t="s">
        <v>3045</v>
      </c>
      <c r="H164" s="130" t="str">
        <f t="shared" si="5"/>
        <v>10A3</v>
      </c>
      <c r="I164" s="61">
        <v>5</v>
      </c>
      <c r="J164" s="61" t="s">
        <v>108</v>
      </c>
    </row>
    <row r="165" spans="1:12" ht="29.25" customHeight="1">
      <c r="A165" s="65">
        <f t="shared" si="4"/>
        <v>163</v>
      </c>
      <c r="B165" s="76" t="s">
        <v>3038</v>
      </c>
      <c r="C165" s="353">
        <v>250</v>
      </c>
      <c r="D165" s="353">
        <v>250</v>
      </c>
      <c r="E165" s="61">
        <v>0</v>
      </c>
      <c r="F165" s="61">
        <v>255</v>
      </c>
      <c r="G165" s="76" t="s">
        <v>3042</v>
      </c>
      <c r="H165" s="130" t="str">
        <f t="shared" si="5"/>
        <v>10A4</v>
      </c>
      <c r="I165" s="61">
        <v>5</v>
      </c>
      <c r="J165" s="61" t="s">
        <v>108</v>
      </c>
    </row>
    <row r="166" spans="1:12" s="25" customFormat="1" ht="27" customHeight="1">
      <c r="A166" s="65">
        <f t="shared" ref="A166:A189" si="6">A165+1</f>
        <v>164</v>
      </c>
      <c r="B166" s="76" t="s">
        <v>3039</v>
      </c>
      <c r="C166" s="353">
        <v>144</v>
      </c>
      <c r="D166" s="353">
        <v>144</v>
      </c>
      <c r="E166" s="59">
        <v>0</v>
      </c>
      <c r="F166" s="59">
        <v>255</v>
      </c>
      <c r="G166" s="76" t="s">
        <v>3043</v>
      </c>
      <c r="H166" s="64" t="str">
        <f t="shared" ref="H166:H189" si="7">DEC2HEX((HEX2DEC(H165)+1),4)</f>
        <v>10A5</v>
      </c>
      <c r="I166" s="59">
        <v>4</v>
      </c>
      <c r="J166" s="61" t="s">
        <v>108</v>
      </c>
    </row>
    <row r="167" spans="1:12" s="25" customFormat="1" ht="27" customHeight="1">
      <c r="A167" s="65">
        <f t="shared" si="6"/>
        <v>165</v>
      </c>
      <c r="B167" s="76" t="s">
        <v>3040</v>
      </c>
      <c r="C167" s="353">
        <v>53</v>
      </c>
      <c r="D167" s="353">
        <v>53</v>
      </c>
      <c r="E167" s="59">
        <v>0</v>
      </c>
      <c r="F167" s="59">
        <v>255</v>
      </c>
      <c r="G167" s="76" t="s">
        <v>3046</v>
      </c>
      <c r="H167" s="64" t="str">
        <f t="shared" si="7"/>
        <v>10A6</v>
      </c>
      <c r="I167" s="59">
        <v>4</v>
      </c>
      <c r="J167" s="61" t="s">
        <v>108</v>
      </c>
    </row>
    <row r="168" spans="1:12" s="25" customFormat="1" ht="27" customHeight="1">
      <c r="A168" s="65">
        <f t="shared" si="6"/>
        <v>166</v>
      </c>
      <c r="B168" s="76" t="s">
        <v>3056</v>
      </c>
      <c r="C168" s="59">
        <v>60</v>
      </c>
      <c r="D168" s="59">
        <v>60</v>
      </c>
      <c r="E168" s="59">
        <v>0</v>
      </c>
      <c r="F168" s="59">
        <v>255</v>
      </c>
      <c r="G168" s="76" t="s">
        <v>3074</v>
      </c>
      <c r="H168" s="64" t="str">
        <f t="shared" si="7"/>
        <v>10A7</v>
      </c>
      <c r="I168" s="59">
        <v>4</v>
      </c>
      <c r="J168" s="61" t="s">
        <v>108</v>
      </c>
    </row>
    <row r="169" spans="1:12" s="25" customFormat="1" ht="27" customHeight="1">
      <c r="A169" s="65">
        <f t="shared" si="6"/>
        <v>167</v>
      </c>
      <c r="B169" s="76" t="s">
        <v>3057</v>
      </c>
      <c r="C169" s="59">
        <v>150</v>
      </c>
      <c r="D169" s="59">
        <v>150</v>
      </c>
      <c r="E169" s="59">
        <v>0</v>
      </c>
      <c r="F169" s="59">
        <v>255</v>
      </c>
      <c r="G169" s="76" t="s">
        <v>3075</v>
      </c>
      <c r="H169" s="64" t="str">
        <f t="shared" si="7"/>
        <v>10A8</v>
      </c>
      <c r="I169" s="59">
        <v>4</v>
      </c>
      <c r="J169" s="61" t="s">
        <v>108</v>
      </c>
    </row>
    <row r="170" spans="1:12" s="25" customFormat="1" ht="27" customHeight="1">
      <c r="A170" s="65">
        <f t="shared" si="6"/>
        <v>168</v>
      </c>
      <c r="B170" s="324" t="s">
        <v>3058</v>
      </c>
      <c r="C170" s="360">
        <v>60</v>
      </c>
      <c r="D170" s="360">
        <v>60</v>
      </c>
      <c r="E170" s="59">
        <v>0</v>
      </c>
      <c r="F170" s="59">
        <v>255</v>
      </c>
      <c r="G170" s="76" t="s">
        <v>3076</v>
      </c>
      <c r="H170" s="64" t="str">
        <f t="shared" si="7"/>
        <v>10A9</v>
      </c>
      <c r="I170" s="59">
        <v>4</v>
      </c>
      <c r="J170" s="61" t="s">
        <v>108</v>
      </c>
    </row>
    <row r="171" spans="1:12" s="25" customFormat="1" ht="27" customHeight="1">
      <c r="A171" s="65">
        <f t="shared" si="6"/>
        <v>169</v>
      </c>
      <c r="B171" s="76" t="s">
        <v>3059</v>
      </c>
      <c r="C171" s="59">
        <v>150</v>
      </c>
      <c r="D171" s="59">
        <v>150</v>
      </c>
      <c r="E171" s="59">
        <v>0</v>
      </c>
      <c r="F171" s="59">
        <v>255</v>
      </c>
      <c r="G171" s="76" t="s">
        <v>3077</v>
      </c>
      <c r="H171" s="64" t="str">
        <f t="shared" si="7"/>
        <v>10AA</v>
      </c>
      <c r="I171" s="59">
        <v>4</v>
      </c>
      <c r="J171" s="61" t="s">
        <v>108</v>
      </c>
    </row>
    <row r="172" spans="1:12" s="25" customFormat="1" ht="27" customHeight="1">
      <c r="A172" s="65">
        <f t="shared" si="6"/>
        <v>170</v>
      </c>
      <c r="B172" s="324" t="s">
        <v>3060</v>
      </c>
      <c r="C172" s="360">
        <v>60</v>
      </c>
      <c r="D172" s="360">
        <v>60</v>
      </c>
      <c r="E172" s="59">
        <v>0</v>
      </c>
      <c r="F172" s="59">
        <v>255</v>
      </c>
      <c r="G172" s="76" t="s">
        <v>3078</v>
      </c>
      <c r="H172" s="64" t="str">
        <f t="shared" si="7"/>
        <v>10AB</v>
      </c>
      <c r="I172" s="59">
        <v>4</v>
      </c>
      <c r="J172" s="61" t="s">
        <v>108</v>
      </c>
    </row>
    <row r="173" spans="1:12" s="25" customFormat="1" ht="27" customHeight="1">
      <c r="A173" s="65">
        <f t="shared" si="6"/>
        <v>171</v>
      </c>
      <c r="B173" s="76" t="s">
        <v>3061</v>
      </c>
      <c r="C173" s="59">
        <v>150</v>
      </c>
      <c r="D173" s="59">
        <v>150</v>
      </c>
      <c r="E173" s="59">
        <v>0</v>
      </c>
      <c r="F173" s="59">
        <v>255</v>
      </c>
      <c r="G173" s="76" t="s">
        <v>3079</v>
      </c>
      <c r="H173" s="64" t="str">
        <f t="shared" si="7"/>
        <v>10AC</v>
      </c>
      <c r="I173" s="59">
        <v>4</v>
      </c>
      <c r="J173" s="61" t="s">
        <v>108</v>
      </c>
    </row>
    <row r="174" spans="1:12" s="25" customFormat="1" ht="27" customHeight="1">
      <c r="A174" s="65">
        <f t="shared" si="6"/>
        <v>172</v>
      </c>
      <c r="B174" s="76" t="s">
        <v>3062</v>
      </c>
      <c r="C174" s="59">
        <v>60</v>
      </c>
      <c r="D174" s="59">
        <v>60</v>
      </c>
      <c r="E174" s="59">
        <v>0</v>
      </c>
      <c r="F174" s="59">
        <v>255</v>
      </c>
      <c r="G174" s="76" t="s">
        <v>3080</v>
      </c>
      <c r="H174" s="64" t="str">
        <f t="shared" si="7"/>
        <v>10AD</v>
      </c>
      <c r="I174" s="59">
        <v>4</v>
      </c>
      <c r="J174" s="61" t="s">
        <v>108</v>
      </c>
    </row>
    <row r="175" spans="1:12" s="25" customFormat="1" ht="27" customHeight="1">
      <c r="A175" s="65">
        <f t="shared" si="6"/>
        <v>173</v>
      </c>
      <c r="B175" s="76" t="s">
        <v>3063</v>
      </c>
      <c r="C175" s="59">
        <v>150</v>
      </c>
      <c r="D175" s="59">
        <v>150</v>
      </c>
      <c r="E175" s="59">
        <v>0</v>
      </c>
      <c r="F175" s="59">
        <v>255</v>
      </c>
      <c r="G175" s="76" t="s">
        <v>3081</v>
      </c>
      <c r="H175" s="64" t="str">
        <f t="shared" si="7"/>
        <v>10AE</v>
      </c>
      <c r="I175" s="59">
        <v>4</v>
      </c>
      <c r="J175" s="61" t="s">
        <v>108</v>
      </c>
    </row>
    <row r="176" spans="1:12" s="25" customFormat="1" ht="27" customHeight="1">
      <c r="A176" s="65">
        <f t="shared" si="6"/>
        <v>174</v>
      </c>
      <c r="B176" s="76" t="s">
        <v>3064</v>
      </c>
      <c r="C176" s="59">
        <v>60</v>
      </c>
      <c r="D176" s="59">
        <v>60</v>
      </c>
      <c r="E176" s="59">
        <v>0</v>
      </c>
      <c r="F176" s="59">
        <v>255</v>
      </c>
      <c r="G176" s="76" t="s">
        <v>3082</v>
      </c>
      <c r="H176" s="64" t="str">
        <f t="shared" si="7"/>
        <v>10AF</v>
      </c>
      <c r="I176" s="59">
        <v>4</v>
      </c>
      <c r="J176" s="61" t="s">
        <v>108</v>
      </c>
    </row>
    <row r="177" spans="1:10" s="25" customFormat="1" ht="27" customHeight="1">
      <c r="A177" s="65">
        <f t="shared" si="6"/>
        <v>175</v>
      </c>
      <c r="B177" s="76" t="s">
        <v>3065</v>
      </c>
      <c r="C177" s="59">
        <v>150</v>
      </c>
      <c r="D177" s="59">
        <v>150</v>
      </c>
      <c r="E177" s="59">
        <v>0</v>
      </c>
      <c r="F177" s="59">
        <v>255</v>
      </c>
      <c r="G177" s="76" t="s">
        <v>3083</v>
      </c>
      <c r="H177" s="64" t="str">
        <f t="shared" si="7"/>
        <v>10B0</v>
      </c>
      <c r="I177" s="59">
        <v>4</v>
      </c>
      <c r="J177" s="61" t="s">
        <v>108</v>
      </c>
    </row>
    <row r="178" spans="1:10" s="25" customFormat="1" ht="27" customHeight="1">
      <c r="A178" s="65">
        <f t="shared" si="6"/>
        <v>176</v>
      </c>
      <c r="B178" s="76" t="s">
        <v>3066</v>
      </c>
      <c r="C178" s="59">
        <v>60</v>
      </c>
      <c r="D178" s="59">
        <v>60</v>
      </c>
      <c r="E178" s="59">
        <v>0</v>
      </c>
      <c r="F178" s="59">
        <v>255</v>
      </c>
      <c r="G178" s="76" t="s">
        <v>3084</v>
      </c>
      <c r="H178" s="64" t="str">
        <f t="shared" si="7"/>
        <v>10B1</v>
      </c>
      <c r="I178" s="59">
        <v>4</v>
      </c>
      <c r="J178" s="61" t="s">
        <v>108</v>
      </c>
    </row>
    <row r="179" spans="1:10" s="25" customFormat="1" ht="27" customHeight="1">
      <c r="A179" s="65">
        <f t="shared" si="6"/>
        <v>177</v>
      </c>
      <c r="B179" s="76" t="s">
        <v>3067</v>
      </c>
      <c r="C179" s="59">
        <v>150</v>
      </c>
      <c r="D179" s="59">
        <v>150</v>
      </c>
      <c r="E179" s="59">
        <v>0</v>
      </c>
      <c r="F179" s="59">
        <v>255</v>
      </c>
      <c r="G179" s="76" t="s">
        <v>3085</v>
      </c>
      <c r="H179" s="64" t="str">
        <f t="shared" si="7"/>
        <v>10B2</v>
      </c>
      <c r="I179" s="59">
        <v>4</v>
      </c>
      <c r="J179" s="61" t="s">
        <v>108</v>
      </c>
    </row>
    <row r="180" spans="1:10" s="25" customFormat="1" ht="27" customHeight="1">
      <c r="A180" s="65">
        <f t="shared" si="6"/>
        <v>178</v>
      </c>
      <c r="B180" s="76" t="s">
        <v>3068</v>
      </c>
      <c r="C180" s="59">
        <v>60</v>
      </c>
      <c r="D180" s="59">
        <v>60</v>
      </c>
      <c r="E180" s="59">
        <v>0</v>
      </c>
      <c r="F180" s="59">
        <v>255</v>
      </c>
      <c r="G180" s="76" t="s">
        <v>3086</v>
      </c>
      <c r="H180" s="64" t="str">
        <f t="shared" si="7"/>
        <v>10B3</v>
      </c>
      <c r="I180" s="59">
        <v>4</v>
      </c>
      <c r="J180" s="61" t="s">
        <v>108</v>
      </c>
    </row>
    <row r="181" spans="1:10" s="25" customFormat="1" ht="27" customHeight="1">
      <c r="A181" s="65">
        <f t="shared" si="6"/>
        <v>179</v>
      </c>
      <c r="B181" s="76" t="s">
        <v>3069</v>
      </c>
      <c r="C181" s="59">
        <v>150</v>
      </c>
      <c r="D181" s="59">
        <v>150</v>
      </c>
      <c r="E181" s="59">
        <v>0</v>
      </c>
      <c r="F181" s="59">
        <v>255</v>
      </c>
      <c r="G181" s="76" t="s">
        <v>3087</v>
      </c>
      <c r="H181" s="64" t="str">
        <f t="shared" si="7"/>
        <v>10B4</v>
      </c>
      <c r="I181" s="59">
        <v>4</v>
      </c>
      <c r="J181" s="61" t="s">
        <v>108</v>
      </c>
    </row>
    <row r="182" spans="1:10" s="25" customFormat="1" ht="27" customHeight="1">
      <c r="A182" s="65">
        <f t="shared" si="6"/>
        <v>180</v>
      </c>
      <c r="B182" s="76" t="s">
        <v>3070</v>
      </c>
      <c r="C182" s="59">
        <v>60</v>
      </c>
      <c r="D182" s="59">
        <v>60</v>
      </c>
      <c r="E182" s="59">
        <v>0</v>
      </c>
      <c r="F182" s="59">
        <v>255</v>
      </c>
      <c r="G182" s="76" t="s">
        <v>3088</v>
      </c>
      <c r="H182" s="64" t="str">
        <f t="shared" si="7"/>
        <v>10B5</v>
      </c>
      <c r="I182" s="59">
        <v>4</v>
      </c>
      <c r="J182" s="61" t="s">
        <v>108</v>
      </c>
    </row>
    <row r="183" spans="1:10" s="25" customFormat="1" ht="27" customHeight="1">
      <c r="A183" s="65">
        <f t="shared" si="6"/>
        <v>181</v>
      </c>
      <c r="B183" s="76" t="s">
        <v>3071</v>
      </c>
      <c r="C183" s="59">
        <v>150</v>
      </c>
      <c r="D183" s="59">
        <v>150</v>
      </c>
      <c r="E183" s="59">
        <v>0</v>
      </c>
      <c r="F183" s="59">
        <v>255</v>
      </c>
      <c r="G183" s="76" t="s">
        <v>3089</v>
      </c>
      <c r="H183" s="64" t="str">
        <f t="shared" si="7"/>
        <v>10B6</v>
      </c>
      <c r="I183" s="59">
        <v>4</v>
      </c>
      <c r="J183" s="61" t="s">
        <v>108</v>
      </c>
    </row>
    <row r="184" spans="1:10" s="25" customFormat="1" ht="27" customHeight="1">
      <c r="A184" s="65">
        <f t="shared" si="6"/>
        <v>182</v>
      </c>
      <c r="B184" s="324" t="s">
        <v>3072</v>
      </c>
      <c r="C184" s="360">
        <v>60</v>
      </c>
      <c r="D184" s="360">
        <v>60</v>
      </c>
      <c r="E184" s="59">
        <v>0</v>
      </c>
      <c r="F184" s="59">
        <v>255</v>
      </c>
      <c r="G184" s="76" t="s">
        <v>3090</v>
      </c>
      <c r="H184" s="64" t="str">
        <f t="shared" si="7"/>
        <v>10B7</v>
      </c>
      <c r="I184" s="59">
        <v>4</v>
      </c>
      <c r="J184" s="61" t="s">
        <v>108</v>
      </c>
    </row>
    <row r="185" spans="1:10" s="25" customFormat="1" ht="27" customHeight="1">
      <c r="A185" s="65">
        <f t="shared" si="6"/>
        <v>183</v>
      </c>
      <c r="B185" s="76" t="s">
        <v>3073</v>
      </c>
      <c r="C185" s="59">
        <v>150</v>
      </c>
      <c r="D185" s="59">
        <v>150</v>
      </c>
      <c r="E185" s="59">
        <v>0</v>
      </c>
      <c r="F185" s="59">
        <v>255</v>
      </c>
      <c r="G185" s="76" t="s">
        <v>3091</v>
      </c>
      <c r="H185" s="64" t="str">
        <f t="shared" si="7"/>
        <v>10B8</v>
      </c>
      <c r="I185" s="59">
        <v>4</v>
      </c>
      <c r="J185" s="61" t="s">
        <v>108</v>
      </c>
    </row>
    <row r="186" spans="1:10" s="25" customFormat="1" ht="27" customHeight="1">
      <c r="A186" s="65">
        <f t="shared" si="6"/>
        <v>184</v>
      </c>
      <c r="B186" s="324" t="s">
        <v>3288</v>
      </c>
      <c r="C186" s="360">
        <v>60</v>
      </c>
      <c r="D186" s="360">
        <v>60</v>
      </c>
      <c r="E186" s="59">
        <v>0</v>
      </c>
      <c r="F186" s="59">
        <v>255</v>
      </c>
      <c r="G186" s="76" t="s">
        <v>3290</v>
      </c>
      <c r="H186" s="64" t="str">
        <f t="shared" si="7"/>
        <v>10B9</v>
      </c>
      <c r="I186" s="59">
        <v>4</v>
      </c>
      <c r="J186" s="61" t="s">
        <v>108</v>
      </c>
    </row>
    <row r="187" spans="1:10" s="25" customFormat="1" ht="27" customHeight="1">
      <c r="A187" s="65">
        <f t="shared" si="6"/>
        <v>185</v>
      </c>
      <c r="B187" s="76" t="s">
        <v>3289</v>
      </c>
      <c r="C187" s="59">
        <v>150</v>
      </c>
      <c r="D187" s="59">
        <v>150</v>
      </c>
      <c r="E187" s="59">
        <v>0</v>
      </c>
      <c r="F187" s="59">
        <v>255</v>
      </c>
      <c r="G187" s="76" t="s">
        <v>3291</v>
      </c>
      <c r="H187" s="64" t="str">
        <f t="shared" si="7"/>
        <v>10BA</v>
      </c>
      <c r="I187" s="59">
        <v>4</v>
      </c>
      <c r="J187" s="61" t="s">
        <v>108</v>
      </c>
    </row>
    <row r="188" spans="1:10" s="25" customFormat="1" ht="27" customHeight="1">
      <c r="A188" s="65">
        <f t="shared" si="6"/>
        <v>186</v>
      </c>
      <c r="B188" s="76" t="str">
        <f>"reserved_byte" &amp;TEXT(A188,0)</f>
        <v>reserved_byte186</v>
      </c>
      <c r="C188" s="59">
        <v>255</v>
      </c>
      <c r="D188" s="60">
        <v>255</v>
      </c>
      <c r="E188" s="59">
        <v>0</v>
      </c>
      <c r="F188" s="59">
        <v>255</v>
      </c>
      <c r="G188" s="76" t="s">
        <v>59</v>
      </c>
      <c r="H188" s="64" t="str">
        <f t="shared" si="7"/>
        <v>10BB</v>
      </c>
      <c r="I188" s="59">
        <v>1</v>
      </c>
      <c r="J188" s="61" t="s">
        <v>108</v>
      </c>
    </row>
    <row r="189" spans="1:10" s="25" customFormat="1" ht="27" customHeight="1">
      <c r="A189" s="65">
        <f t="shared" si="6"/>
        <v>187</v>
      </c>
      <c r="B189" s="76" t="str">
        <f>"reserved_byte" &amp;TEXT(A189,0)</f>
        <v>reserved_byte187</v>
      </c>
      <c r="C189" s="59">
        <v>255</v>
      </c>
      <c r="D189" s="60">
        <v>255</v>
      </c>
      <c r="E189" s="59">
        <v>0</v>
      </c>
      <c r="F189" s="59">
        <v>255</v>
      </c>
      <c r="G189" s="76" t="s">
        <v>59</v>
      </c>
      <c r="H189" s="64" t="str">
        <f t="shared" si="7"/>
        <v>10BC</v>
      </c>
      <c r="I189" s="59">
        <v>1</v>
      </c>
      <c r="J189" s="61" t="s">
        <v>108</v>
      </c>
    </row>
  </sheetData>
  <dataValidations count="4">
    <dataValidation type="decimal" allowBlank="1" showInputMessage="1" showErrorMessage="1" sqref="D116:D117 D128:D129 D2:D92 D148:D161 D113:D114 D122:D123 D132:D133 D142:D145 D188:D189 D105:D106 D109:D110 D97:D100 D94">
      <formula1>E2</formula1>
      <formula2>F2</formula2>
    </dataValidation>
    <dataValidation type="decimal" allowBlank="1" showInputMessage="1" showErrorMessage="1" sqref="D115 C126:C129 D93 D118:D121 C97:C123 D146:D147 D138:D141 C138:C161 D101:D104 D107:D108 D111:D112 D126:D127 D187 D134:D135 C2:C94 C132:C135 C168:D169 C171:D171 C173:D183 C185:D185 C187:C1048576">
      <formula1>E2</formula1>
      <formula2>F2</formula2>
    </dataValidation>
    <dataValidation type="decimal" allowBlank="1" showInputMessage="1" showErrorMessage="1" sqref="C124:D125">
      <formula1>E130</formula1>
      <formula2>F130</formula2>
    </dataValidation>
    <dataValidation type="decimal" operator="lessThanOrEqual" allowBlank="1" showInputMessage="1" showErrorMessage="1" sqref="F2:F189">
      <formula1>255</formula1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>
    <tabColor rgb="FFFF0000"/>
    <pageSetUpPr fitToPage="1"/>
  </sheetPr>
  <dimension ref="A1:J253"/>
  <sheetViews>
    <sheetView topLeftCell="A238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 t="shared" ref="B2:B65" si="0"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6" t="s">
        <v>59</v>
      </c>
      <c r="H2" s="63">
        <v>2001</v>
      </c>
      <c r="I2" s="59">
        <v>1</v>
      </c>
      <c r="J2" s="61"/>
    </row>
    <row r="3" spans="1:10" s="25" customFormat="1" ht="27" customHeight="1">
      <c r="A3" s="65">
        <f t="shared" ref="A3:A66" si="1">A2+1</f>
        <v>1</v>
      </c>
      <c r="B3" s="76" t="str">
        <f t="shared" si="0"/>
        <v>reserved_byte1</v>
      </c>
      <c r="C3" s="59">
        <v>255</v>
      </c>
      <c r="D3" s="60">
        <v>255</v>
      </c>
      <c r="E3" s="59">
        <v>0</v>
      </c>
      <c r="F3" s="59">
        <v>255</v>
      </c>
      <c r="G3" s="76" t="s">
        <v>59</v>
      </c>
      <c r="H3" s="64" t="str">
        <f t="shared" ref="H3:H66" si="2">DEC2HEX((HEX2DEC(H2)+1),4)</f>
        <v>2002</v>
      </c>
      <c r="I3" s="59">
        <v>1</v>
      </c>
      <c r="J3" s="61"/>
    </row>
    <row r="4" spans="1:10" s="25" customFormat="1" ht="27" customHeight="1">
      <c r="A4" s="65">
        <f t="shared" si="1"/>
        <v>2</v>
      </c>
      <c r="B4" s="76" t="str">
        <f t="shared" si="0"/>
        <v>reserved_byte2</v>
      </c>
      <c r="C4" s="59">
        <v>255</v>
      </c>
      <c r="D4" s="60">
        <v>255</v>
      </c>
      <c r="E4" s="59">
        <v>0</v>
      </c>
      <c r="F4" s="59">
        <v>255</v>
      </c>
      <c r="G4" s="76" t="s">
        <v>59</v>
      </c>
      <c r="H4" s="64" t="str">
        <f t="shared" si="2"/>
        <v>2003</v>
      </c>
      <c r="I4" s="59">
        <v>1</v>
      </c>
      <c r="J4" s="61"/>
    </row>
    <row r="5" spans="1:10" s="25" customFormat="1" ht="27" customHeight="1">
      <c r="A5" s="65">
        <f t="shared" si="1"/>
        <v>3</v>
      </c>
      <c r="B5" s="76" t="str">
        <f t="shared" si="0"/>
        <v>reserved_byte3</v>
      </c>
      <c r="C5" s="59">
        <v>255</v>
      </c>
      <c r="D5" s="60">
        <v>255</v>
      </c>
      <c r="E5" s="59">
        <v>0</v>
      </c>
      <c r="F5" s="59">
        <v>255</v>
      </c>
      <c r="G5" s="76" t="s">
        <v>59</v>
      </c>
      <c r="H5" s="64" t="str">
        <f t="shared" si="2"/>
        <v>2004</v>
      </c>
      <c r="I5" s="59">
        <v>1</v>
      </c>
      <c r="J5" s="61"/>
    </row>
    <row r="6" spans="1:10" s="25" customFormat="1" ht="27" customHeight="1">
      <c r="A6" s="65">
        <f t="shared" si="1"/>
        <v>4</v>
      </c>
      <c r="B6" s="76" t="str">
        <f t="shared" si="0"/>
        <v>reserved_byte4</v>
      </c>
      <c r="C6" s="59">
        <v>255</v>
      </c>
      <c r="D6" s="60">
        <v>255</v>
      </c>
      <c r="E6" s="59">
        <v>0</v>
      </c>
      <c r="F6" s="59">
        <v>255</v>
      </c>
      <c r="G6" s="76" t="s">
        <v>59</v>
      </c>
      <c r="H6" s="64" t="str">
        <f t="shared" si="2"/>
        <v>2005</v>
      </c>
      <c r="I6" s="59">
        <v>1</v>
      </c>
      <c r="J6" s="61"/>
    </row>
    <row r="7" spans="1:10" s="25" customFormat="1" ht="27" customHeight="1">
      <c r="A7" s="65">
        <f t="shared" si="1"/>
        <v>5</v>
      </c>
      <c r="B7" s="76" t="str">
        <f t="shared" si="0"/>
        <v>reserved_byte5</v>
      </c>
      <c r="C7" s="59">
        <v>255</v>
      </c>
      <c r="D7" s="60">
        <v>255</v>
      </c>
      <c r="E7" s="59">
        <v>0</v>
      </c>
      <c r="F7" s="59">
        <v>255</v>
      </c>
      <c r="G7" s="76" t="s">
        <v>59</v>
      </c>
      <c r="H7" s="64" t="str">
        <f t="shared" si="2"/>
        <v>2006</v>
      </c>
      <c r="I7" s="59">
        <v>1</v>
      </c>
      <c r="J7" s="61"/>
    </row>
    <row r="8" spans="1:10" s="25" customFormat="1" ht="27" customHeight="1">
      <c r="A8" s="65">
        <f t="shared" si="1"/>
        <v>6</v>
      </c>
      <c r="B8" s="76" t="str">
        <f t="shared" si="0"/>
        <v>reserved_byte6</v>
      </c>
      <c r="C8" s="59">
        <v>255</v>
      </c>
      <c r="D8" s="60">
        <v>255</v>
      </c>
      <c r="E8" s="59">
        <v>0</v>
      </c>
      <c r="F8" s="59">
        <v>255</v>
      </c>
      <c r="G8" s="76" t="s">
        <v>59</v>
      </c>
      <c r="H8" s="64" t="str">
        <f t="shared" si="2"/>
        <v>2007</v>
      </c>
      <c r="I8" s="59">
        <v>1</v>
      </c>
      <c r="J8" s="61"/>
    </row>
    <row r="9" spans="1:10" s="25" customFormat="1" ht="27" customHeight="1">
      <c r="A9" s="65">
        <f t="shared" si="1"/>
        <v>7</v>
      </c>
      <c r="B9" s="76" t="str">
        <f t="shared" si="0"/>
        <v>reserved_byte7</v>
      </c>
      <c r="C9" s="59">
        <v>255</v>
      </c>
      <c r="D9" s="60">
        <v>255</v>
      </c>
      <c r="E9" s="59">
        <v>0</v>
      </c>
      <c r="F9" s="59">
        <v>255</v>
      </c>
      <c r="G9" s="76" t="s">
        <v>59</v>
      </c>
      <c r="H9" s="64" t="str">
        <f t="shared" si="2"/>
        <v>2008</v>
      </c>
      <c r="I9" s="59">
        <v>1</v>
      </c>
      <c r="J9" s="61"/>
    </row>
    <row r="10" spans="1:10" s="25" customFormat="1" ht="27" customHeight="1">
      <c r="A10" s="65">
        <f t="shared" si="1"/>
        <v>8</v>
      </c>
      <c r="B10" s="76" t="str">
        <f t="shared" si="0"/>
        <v>reserved_byte8</v>
      </c>
      <c r="C10" s="59">
        <v>255</v>
      </c>
      <c r="D10" s="60">
        <v>255</v>
      </c>
      <c r="E10" s="59">
        <v>0</v>
      </c>
      <c r="F10" s="59">
        <v>255</v>
      </c>
      <c r="G10" s="76" t="s">
        <v>59</v>
      </c>
      <c r="H10" s="64" t="str">
        <f t="shared" si="2"/>
        <v>2009</v>
      </c>
      <c r="I10" s="59">
        <v>1</v>
      </c>
      <c r="J10" s="61"/>
    </row>
    <row r="11" spans="1:10" s="25" customFormat="1" ht="27" customHeight="1">
      <c r="A11" s="65">
        <f t="shared" si="1"/>
        <v>9</v>
      </c>
      <c r="B11" s="76" t="str">
        <f t="shared" si="0"/>
        <v>reserved_byte9</v>
      </c>
      <c r="C11" s="59">
        <v>255</v>
      </c>
      <c r="D11" s="60">
        <v>255</v>
      </c>
      <c r="E11" s="59">
        <v>0</v>
      </c>
      <c r="F11" s="59">
        <v>255</v>
      </c>
      <c r="G11" s="76" t="s">
        <v>59</v>
      </c>
      <c r="H11" s="64" t="str">
        <f t="shared" si="2"/>
        <v>200A</v>
      </c>
      <c r="I11" s="59">
        <v>1</v>
      </c>
      <c r="J11" s="61"/>
    </row>
    <row r="12" spans="1:10" s="25" customFormat="1" ht="27" customHeight="1">
      <c r="A12" s="65">
        <f t="shared" si="1"/>
        <v>10</v>
      </c>
      <c r="B12" s="76" t="str">
        <f t="shared" si="0"/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6" t="s">
        <v>59</v>
      </c>
      <c r="H12" s="64" t="str">
        <f t="shared" si="2"/>
        <v>200B</v>
      </c>
      <c r="I12" s="59">
        <v>1</v>
      </c>
      <c r="J12" s="61"/>
    </row>
    <row r="13" spans="1:10" s="25" customFormat="1" ht="27" customHeight="1">
      <c r="A13" s="65">
        <f t="shared" si="1"/>
        <v>11</v>
      </c>
      <c r="B13" s="76" t="str">
        <f t="shared" si="0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6" t="s">
        <v>59</v>
      </c>
      <c r="H13" s="64" t="str">
        <f t="shared" si="2"/>
        <v>200C</v>
      </c>
      <c r="I13" s="59">
        <v>1</v>
      </c>
      <c r="J13" s="61"/>
    </row>
    <row r="14" spans="1:10" s="25" customFormat="1" ht="27" customHeight="1">
      <c r="A14" s="65">
        <f t="shared" si="1"/>
        <v>12</v>
      </c>
      <c r="B14" s="76" t="str">
        <f t="shared" si="0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6" t="s">
        <v>59</v>
      </c>
      <c r="H14" s="64" t="str">
        <f t="shared" si="2"/>
        <v>200D</v>
      </c>
      <c r="I14" s="59">
        <v>1</v>
      </c>
      <c r="J14" s="61"/>
    </row>
    <row r="15" spans="1:10" s="25" customFormat="1" ht="27" customHeight="1">
      <c r="A15" s="65">
        <f t="shared" si="1"/>
        <v>13</v>
      </c>
      <c r="B15" s="76" t="str">
        <f t="shared" si="0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6" t="s">
        <v>59</v>
      </c>
      <c r="H15" s="64" t="str">
        <f t="shared" si="2"/>
        <v>200E</v>
      </c>
      <c r="I15" s="59">
        <v>1</v>
      </c>
      <c r="J15" s="61"/>
    </row>
    <row r="16" spans="1:10" s="25" customFormat="1" ht="27" customHeight="1">
      <c r="A16" s="65">
        <f t="shared" si="1"/>
        <v>14</v>
      </c>
      <c r="B16" s="76" t="str">
        <f t="shared" si="0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6" t="s">
        <v>59</v>
      </c>
      <c r="H16" s="64" t="str">
        <f t="shared" si="2"/>
        <v>200F</v>
      </c>
      <c r="I16" s="59">
        <v>1</v>
      </c>
      <c r="J16" s="61"/>
    </row>
    <row r="17" spans="1:10" s="25" customFormat="1" ht="27" customHeight="1">
      <c r="A17" s="65">
        <f t="shared" si="1"/>
        <v>15</v>
      </c>
      <c r="B17" s="76" t="str">
        <f t="shared" si="0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6" t="s">
        <v>59</v>
      </c>
      <c r="H17" s="64" t="str">
        <f t="shared" si="2"/>
        <v>2010</v>
      </c>
      <c r="I17" s="59">
        <v>1</v>
      </c>
      <c r="J17" s="61"/>
    </row>
    <row r="18" spans="1:10" s="25" customFormat="1" ht="27" customHeight="1">
      <c r="A18" s="65">
        <f t="shared" si="1"/>
        <v>16</v>
      </c>
      <c r="B18" s="76" t="str">
        <f t="shared" si="0"/>
        <v>reserved_byte16</v>
      </c>
      <c r="C18" s="59">
        <v>255</v>
      </c>
      <c r="D18" s="60">
        <v>255</v>
      </c>
      <c r="E18" s="59">
        <v>0</v>
      </c>
      <c r="F18" s="59">
        <v>255</v>
      </c>
      <c r="G18" s="76" t="s">
        <v>59</v>
      </c>
      <c r="H18" s="64" t="str">
        <f t="shared" si="2"/>
        <v>2011</v>
      </c>
      <c r="I18" s="59">
        <v>1</v>
      </c>
      <c r="J18" s="61"/>
    </row>
    <row r="19" spans="1:10" s="25" customFormat="1" ht="27" customHeight="1">
      <c r="A19" s="65">
        <f t="shared" si="1"/>
        <v>17</v>
      </c>
      <c r="B19" s="76" t="str">
        <f t="shared" si="0"/>
        <v>reserved_byte17</v>
      </c>
      <c r="C19" s="59">
        <v>255</v>
      </c>
      <c r="D19" s="60">
        <v>255</v>
      </c>
      <c r="E19" s="59">
        <v>0</v>
      </c>
      <c r="F19" s="59">
        <v>255</v>
      </c>
      <c r="G19" s="76" t="s">
        <v>59</v>
      </c>
      <c r="H19" s="64" t="str">
        <f t="shared" si="2"/>
        <v>2012</v>
      </c>
      <c r="I19" s="59">
        <v>1</v>
      </c>
      <c r="J19" s="61"/>
    </row>
    <row r="20" spans="1:10" s="25" customFormat="1" ht="27" customHeight="1">
      <c r="A20" s="65">
        <f t="shared" si="1"/>
        <v>18</v>
      </c>
      <c r="B20" s="76" t="str">
        <f t="shared" si="0"/>
        <v>reserved_byte18</v>
      </c>
      <c r="C20" s="59">
        <v>255</v>
      </c>
      <c r="D20" s="60">
        <v>255</v>
      </c>
      <c r="E20" s="59">
        <v>0</v>
      </c>
      <c r="F20" s="59">
        <v>255</v>
      </c>
      <c r="G20" s="76" t="s">
        <v>59</v>
      </c>
      <c r="H20" s="64" t="str">
        <f t="shared" si="2"/>
        <v>2013</v>
      </c>
      <c r="I20" s="59">
        <v>1</v>
      </c>
      <c r="J20" s="61"/>
    </row>
    <row r="21" spans="1:10" s="25" customFormat="1" ht="27" customHeight="1">
      <c r="A21" s="65">
        <f t="shared" si="1"/>
        <v>19</v>
      </c>
      <c r="B21" s="76" t="str">
        <f t="shared" si="0"/>
        <v>reserved_byte19</v>
      </c>
      <c r="C21" s="59">
        <v>255</v>
      </c>
      <c r="D21" s="60">
        <v>255</v>
      </c>
      <c r="E21" s="59">
        <v>0</v>
      </c>
      <c r="F21" s="59">
        <v>255</v>
      </c>
      <c r="G21" s="76" t="s">
        <v>59</v>
      </c>
      <c r="H21" s="64" t="str">
        <f t="shared" si="2"/>
        <v>2014</v>
      </c>
      <c r="I21" s="59">
        <v>1</v>
      </c>
      <c r="J21" s="61"/>
    </row>
    <row r="22" spans="1:10" s="25" customFormat="1" ht="27" customHeight="1">
      <c r="A22" s="65">
        <f t="shared" si="1"/>
        <v>20</v>
      </c>
      <c r="B22" s="76" t="str">
        <f t="shared" si="0"/>
        <v>reserved_byte20</v>
      </c>
      <c r="C22" s="59">
        <v>255</v>
      </c>
      <c r="D22" s="60">
        <v>255</v>
      </c>
      <c r="E22" s="59">
        <v>0</v>
      </c>
      <c r="F22" s="59">
        <v>255</v>
      </c>
      <c r="G22" s="76" t="s">
        <v>59</v>
      </c>
      <c r="H22" s="64" t="str">
        <f t="shared" si="2"/>
        <v>2015</v>
      </c>
      <c r="I22" s="59">
        <v>1</v>
      </c>
      <c r="J22" s="61"/>
    </row>
    <row r="23" spans="1:10" s="25" customFormat="1" ht="27" customHeight="1">
      <c r="A23" s="65">
        <f t="shared" si="1"/>
        <v>21</v>
      </c>
      <c r="B23" s="76" t="str">
        <f t="shared" si="0"/>
        <v>reserved_byte21</v>
      </c>
      <c r="C23" s="59">
        <v>255</v>
      </c>
      <c r="D23" s="60">
        <v>255</v>
      </c>
      <c r="E23" s="59">
        <v>0</v>
      </c>
      <c r="F23" s="59">
        <v>255</v>
      </c>
      <c r="G23" s="76" t="s">
        <v>59</v>
      </c>
      <c r="H23" s="64" t="str">
        <f t="shared" si="2"/>
        <v>2016</v>
      </c>
      <c r="I23" s="59">
        <v>1</v>
      </c>
      <c r="J23" s="61"/>
    </row>
    <row r="24" spans="1:10" s="25" customFormat="1" ht="27" customHeight="1">
      <c r="A24" s="65">
        <f t="shared" si="1"/>
        <v>22</v>
      </c>
      <c r="B24" s="76" t="str">
        <f t="shared" si="0"/>
        <v>reserved_byte22</v>
      </c>
      <c r="C24" s="59">
        <v>255</v>
      </c>
      <c r="D24" s="60">
        <v>255</v>
      </c>
      <c r="E24" s="59">
        <v>0</v>
      </c>
      <c r="F24" s="59">
        <v>255</v>
      </c>
      <c r="G24" s="76" t="s">
        <v>59</v>
      </c>
      <c r="H24" s="64" t="str">
        <f t="shared" si="2"/>
        <v>2017</v>
      </c>
      <c r="I24" s="59">
        <v>1</v>
      </c>
      <c r="J24" s="61"/>
    </row>
    <row r="25" spans="1:10" s="25" customFormat="1" ht="27" customHeight="1">
      <c r="A25" s="65">
        <f t="shared" si="1"/>
        <v>23</v>
      </c>
      <c r="B25" s="76" t="str">
        <f t="shared" si="0"/>
        <v>reserved_byte23</v>
      </c>
      <c r="C25" s="59">
        <v>255</v>
      </c>
      <c r="D25" s="60">
        <v>255</v>
      </c>
      <c r="E25" s="59">
        <v>0</v>
      </c>
      <c r="F25" s="59">
        <v>255</v>
      </c>
      <c r="G25" s="76" t="s">
        <v>59</v>
      </c>
      <c r="H25" s="64" t="str">
        <f t="shared" si="2"/>
        <v>2018</v>
      </c>
      <c r="I25" s="59">
        <v>1</v>
      </c>
      <c r="J25" s="61"/>
    </row>
    <row r="26" spans="1:10" s="25" customFormat="1" ht="27" customHeight="1">
      <c r="A26" s="65">
        <f t="shared" si="1"/>
        <v>24</v>
      </c>
      <c r="B26" s="76" t="str">
        <f t="shared" si="0"/>
        <v>reserved_byte24</v>
      </c>
      <c r="C26" s="59">
        <v>255</v>
      </c>
      <c r="D26" s="60">
        <v>255</v>
      </c>
      <c r="E26" s="59">
        <v>0</v>
      </c>
      <c r="F26" s="59">
        <v>255</v>
      </c>
      <c r="G26" s="76" t="s">
        <v>59</v>
      </c>
      <c r="H26" s="64" t="str">
        <f t="shared" si="2"/>
        <v>2019</v>
      </c>
      <c r="I26" s="59">
        <v>1</v>
      </c>
      <c r="J26" s="61"/>
    </row>
    <row r="27" spans="1:10" s="25" customFormat="1" ht="27" customHeight="1">
      <c r="A27" s="65">
        <f t="shared" si="1"/>
        <v>25</v>
      </c>
      <c r="B27" s="76" t="str">
        <f t="shared" si="0"/>
        <v>reserved_byte25</v>
      </c>
      <c r="C27" s="59">
        <v>255</v>
      </c>
      <c r="D27" s="60">
        <v>255</v>
      </c>
      <c r="E27" s="59">
        <v>0</v>
      </c>
      <c r="F27" s="59">
        <v>255</v>
      </c>
      <c r="G27" s="76" t="s">
        <v>59</v>
      </c>
      <c r="H27" s="64" t="str">
        <f t="shared" si="2"/>
        <v>201A</v>
      </c>
      <c r="I27" s="59">
        <v>1</v>
      </c>
      <c r="J27" s="61"/>
    </row>
    <row r="28" spans="1:10" s="25" customFormat="1" ht="27" customHeight="1">
      <c r="A28" s="65">
        <f t="shared" si="1"/>
        <v>26</v>
      </c>
      <c r="B28" s="76" t="str">
        <f t="shared" si="0"/>
        <v>reserved_byte26</v>
      </c>
      <c r="C28" s="59">
        <v>255</v>
      </c>
      <c r="D28" s="60">
        <v>255</v>
      </c>
      <c r="E28" s="59">
        <v>0</v>
      </c>
      <c r="F28" s="59">
        <v>255</v>
      </c>
      <c r="G28" s="76" t="s">
        <v>59</v>
      </c>
      <c r="H28" s="64" t="str">
        <f t="shared" si="2"/>
        <v>201B</v>
      </c>
      <c r="I28" s="59">
        <v>1</v>
      </c>
      <c r="J28" s="61"/>
    </row>
    <row r="29" spans="1:10" s="25" customFormat="1" ht="27" customHeight="1">
      <c r="A29" s="65">
        <f t="shared" si="1"/>
        <v>27</v>
      </c>
      <c r="B29" s="76" t="str">
        <f t="shared" si="0"/>
        <v>reserved_byte27</v>
      </c>
      <c r="C29" s="59">
        <v>255</v>
      </c>
      <c r="D29" s="60">
        <v>255</v>
      </c>
      <c r="E29" s="59">
        <v>0</v>
      </c>
      <c r="F29" s="59">
        <v>255</v>
      </c>
      <c r="G29" s="76" t="s">
        <v>59</v>
      </c>
      <c r="H29" s="64" t="str">
        <f t="shared" si="2"/>
        <v>201C</v>
      </c>
      <c r="I29" s="59">
        <v>1</v>
      </c>
      <c r="J29" s="61"/>
    </row>
    <row r="30" spans="1:10" s="25" customFormat="1" ht="27" customHeight="1">
      <c r="A30" s="65">
        <f t="shared" si="1"/>
        <v>28</v>
      </c>
      <c r="B30" s="76" t="str">
        <f t="shared" si="0"/>
        <v>reserved_byte28</v>
      </c>
      <c r="C30" s="59">
        <v>255</v>
      </c>
      <c r="D30" s="60">
        <v>255</v>
      </c>
      <c r="E30" s="59">
        <v>0</v>
      </c>
      <c r="F30" s="59">
        <v>255</v>
      </c>
      <c r="G30" s="76" t="s">
        <v>59</v>
      </c>
      <c r="H30" s="64" t="str">
        <f t="shared" si="2"/>
        <v>201D</v>
      </c>
      <c r="I30" s="59">
        <v>1</v>
      </c>
      <c r="J30" s="61"/>
    </row>
    <row r="31" spans="1:10" s="25" customFormat="1" ht="27" customHeight="1">
      <c r="A31" s="65">
        <f t="shared" si="1"/>
        <v>29</v>
      </c>
      <c r="B31" s="76" t="str">
        <f t="shared" si="0"/>
        <v>reserved_byte29</v>
      </c>
      <c r="C31" s="59">
        <v>255</v>
      </c>
      <c r="D31" s="60">
        <v>255</v>
      </c>
      <c r="E31" s="59">
        <v>0</v>
      </c>
      <c r="F31" s="59">
        <v>255</v>
      </c>
      <c r="G31" s="76" t="s">
        <v>59</v>
      </c>
      <c r="H31" s="64" t="str">
        <f t="shared" si="2"/>
        <v>201E</v>
      </c>
      <c r="I31" s="59">
        <v>1</v>
      </c>
      <c r="J31" s="61"/>
    </row>
    <row r="32" spans="1:10" s="25" customFormat="1" ht="27" customHeight="1">
      <c r="A32" s="65">
        <f t="shared" si="1"/>
        <v>30</v>
      </c>
      <c r="B32" s="76" t="str">
        <f t="shared" si="0"/>
        <v>reserved_byte30</v>
      </c>
      <c r="C32" s="59">
        <v>255</v>
      </c>
      <c r="D32" s="60">
        <v>255</v>
      </c>
      <c r="E32" s="59">
        <v>0</v>
      </c>
      <c r="F32" s="59">
        <v>255</v>
      </c>
      <c r="G32" s="76" t="s">
        <v>59</v>
      </c>
      <c r="H32" s="64" t="str">
        <f t="shared" si="2"/>
        <v>201F</v>
      </c>
      <c r="I32" s="59">
        <v>1</v>
      </c>
      <c r="J32" s="61"/>
    </row>
    <row r="33" spans="1:10" s="25" customFormat="1" ht="27" customHeight="1">
      <c r="A33" s="65">
        <f t="shared" si="1"/>
        <v>31</v>
      </c>
      <c r="B33" s="76" t="str">
        <f t="shared" si="0"/>
        <v>reserved_byte31</v>
      </c>
      <c r="C33" s="59">
        <v>255</v>
      </c>
      <c r="D33" s="60">
        <v>255</v>
      </c>
      <c r="E33" s="59">
        <v>0</v>
      </c>
      <c r="F33" s="59">
        <v>255</v>
      </c>
      <c r="G33" s="76" t="s">
        <v>59</v>
      </c>
      <c r="H33" s="64" t="str">
        <f t="shared" si="2"/>
        <v>2020</v>
      </c>
      <c r="I33" s="59">
        <v>1</v>
      </c>
      <c r="J33" s="61"/>
    </row>
    <row r="34" spans="1:10" s="25" customFormat="1" ht="27" customHeight="1">
      <c r="A34" s="65">
        <f t="shared" si="1"/>
        <v>32</v>
      </c>
      <c r="B34" s="76" t="str">
        <f t="shared" si="0"/>
        <v>reserved_byte32</v>
      </c>
      <c r="C34" s="59">
        <v>255</v>
      </c>
      <c r="D34" s="60">
        <v>255</v>
      </c>
      <c r="E34" s="59">
        <v>0</v>
      </c>
      <c r="F34" s="59">
        <v>255</v>
      </c>
      <c r="G34" s="76" t="s">
        <v>59</v>
      </c>
      <c r="H34" s="64" t="str">
        <f t="shared" si="2"/>
        <v>2021</v>
      </c>
      <c r="I34" s="59">
        <v>1</v>
      </c>
      <c r="J34" s="61"/>
    </row>
    <row r="35" spans="1:10" s="25" customFormat="1" ht="27" customHeight="1">
      <c r="A35" s="65">
        <f t="shared" si="1"/>
        <v>33</v>
      </c>
      <c r="B35" s="76" t="str">
        <f t="shared" si="0"/>
        <v>reserved_byte33</v>
      </c>
      <c r="C35" s="59">
        <v>255</v>
      </c>
      <c r="D35" s="60">
        <v>255</v>
      </c>
      <c r="E35" s="59">
        <v>0</v>
      </c>
      <c r="F35" s="59">
        <v>255</v>
      </c>
      <c r="G35" s="76" t="s">
        <v>59</v>
      </c>
      <c r="H35" s="64" t="str">
        <f t="shared" si="2"/>
        <v>2022</v>
      </c>
      <c r="I35" s="59">
        <v>1</v>
      </c>
      <c r="J35" s="61"/>
    </row>
    <row r="36" spans="1:10" s="25" customFormat="1" ht="27" customHeight="1">
      <c r="A36" s="65">
        <f t="shared" si="1"/>
        <v>34</v>
      </c>
      <c r="B36" s="76" t="str">
        <f t="shared" si="0"/>
        <v>reserved_byte34</v>
      </c>
      <c r="C36" s="59">
        <v>255</v>
      </c>
      <c r="D36" s="60">
        <v>255</v>
      </c>
      <c r="E36" s="59">
        <v>0</v>
      </c>
      <c r="F36" s="59">
        <v>255</v>
      </c>
      <c r="G36" s="76" t="s">
        <v>59</v>
      </c>
      <c r="H36" s="64" t="str">
        <f t="shared" si="2"/>
        <v>2023</v>
      </c>
      <c r="I36" s="59">
        <v>1</v>
      </c>
      <c r="J36" s="61"/>
    </row>
    <row r="37" spans="1:10" s="25" customFormat="1" ht="27" customHeight="1">
      <c r="A37" s="65">
        <f t="shared" si="1"/>
        <v>35</v>
      </c>
      <c r="B37" s="76" t="str">
        <f t="shared" si="0"/>
        <v>reserved_byte35</v>
      </c>
      <c r="C37" s="59">
        <v>255</v>
      </c>
      <c r="D37" s="60">
        <v>255</v>
      </c>
      <c r="E37" s="59">
        <v>0</v>
      </c>
      <c r="F37" s="59">
        <v>255</v>
      </c>
      <c r="G37" s="76" t="s">
        <v>59</v>
      </c>
      <c r="H37" s="64" t="str">
        <f t="shared" si="2"/>
        <v>2024</v>
      </c>
      <c r="I37" s="59">
        <v>1</v>
      </c>
      <c r="J37" s="61"/>
    </row>
    <row r="38" spans="1:10" s="25" customFormat="1" ht="27" customHeight="1">
      <c r="A38" s="65">
        <f t="shared" si="1"/>
        <v>36</v>
      </c>
      <c r="B38" s="76" t="str">
        <f t="shared" si="0"/>
        <v>reserved_byte36</v>
      </c>
      <c r="C38" s="59">
        <v>255</v>
      </c>
      <c r="D38" s="60">
        <v>255</v>
      </c>
      <c r="E38" s="59">
        <v>0</v>
      </c>
      <c r="F38" s="59">
        <v>255</v>
      </c>
      <c r="G38" s="76" t="s">
        <v>59</v>
      </c>
      <c r="H38" s="64" t="str">
        <f t="shared" si="2"/>
        <v>2025</v>
      </c>
      <c r="I38" s="59">
        <v>1</v>
      </c>
      <c r="J38" s="61"/>
    </row>
    <row r="39" spans="1:10" s="25" customFormat="1" ht="27" customHeight="1">
      <c r="A39" s="65">
        <f t="shared" si="1"/>
        <v>37</v>
      </c>
      <c r="B39" s="76" t="str">
        <f t="shared" si="0"/>
        <v>reserved_byte37</v>
      </c>
      <c r="C39" s="59">
        <v>255</v>
      </c>
      <c r="D39" s="60">
        <v>255</v>
      </c>
      <c r="E39" s="59">
        <v>0</v>
      </c>
      <c r="F39" s="59">
        <v>255</v>
      </c>
      <c r="G39" s="76" t="s">
        <v>59</v>
      </c>
      <c r="H39" s="64" t="str">
        <f t="shared" si="2"/>
        <v>2026</v>
      </c>
      <c r="I39" s="59">
        <v>1</v>
      </c>
      <c r="J39" s="61"/>
    </row>
    <row r="40" spans="1:10" s="25" customFormat="1" ht="27" customHeight="1">
      <c r="A40" s="65">
        <f t="shared" si="1"/>
        <v>38</v>
      </c>
      <c r="B40" s="76" t="str">
        <f t="shared" si="0"/>
        <v>reserved_byte38</v>
      </c>
      <c r="C40" s="59">
        <v>255</v>
      </c>
      <c r="D40" s="60">
        <v>255</v>
      </c>
      <c r="E40" s="59">
        <v>0</v>
      </c>
      <c r="F40" s="59">
        <v>255</v>
      </c>
      <c r="G40" s="76" t="s">
        <v>59</v>
      </c>
      <c r="H40" s="64" t="str">
        <f t="shared" si="2"/>
        <v>2027</v>
      </c>
      <c r="I40" s="59">
        <v>1</v>
      </c>
      <c r="J40" s="61"/>
    </row>
    <row r="41" spans="1:10" s="25" customFormat="1" ht="27" customHeight="1">
      <c r="A41" s="65">
        <f t="shared" si="1"/>
        <v>39</v>
      </c>
      <c r="B41" s="76" t="str">
        <f t="shared" si="0"/>
        <v>reserved_byte39</v>
      </c>
      <c r="C41" s="59">
        <v>255</v>
      </c>
      <c r="D41" s="60">
        <v>255</v>
      </c>
      <c r="E41" s="59">
        <v>0</v>
      </c>
      <c r="F41" s="59">
        <v>255</v>
      </c>
      <c r="G41" s="76" t="s">
        <v>59</v>
      </c>
      <c r="H41" s="64" t="str">
        <f t="shared" si="2"/>
        <v>2028</v>
      </c>
      <c r="I41" s="59">
        <v>1</v>
      </c>
      <c r="J41" s="61"/>
    </row>
    <row r="42" spans="1:10" s="25" customFormat="1" ht="27" customHeight="1">
      <c r="A42" s="65">
        <f t="shared" si="1"/>
        <v>40</v>
      </c>
      <c r="B42" s="76" t="str">
        <f t="shared" si="0"/>
        <v>reserved_byte40</v>
      </c>
      <c r="C42" s="59">
        <v>255</v>
      </c>
      <c r="D42" s="60">
        <v>255</v>
      </c>
      <c r="E42" s="59">
        <v>0</v>
      </c>
      <c r="F42" s="59">
        <v>255</v>
      </c>
      <c r="G42" s="76" t="s">
        <v>59</v>
      </c>
      <c r="H42" s="64" t="str">
        <f t="shared" si="2"/>
        <v>2029</v>
      </c>
      <c r="I42" s="59">
        <v>1</v>
      </c>
      <c r="J42" s="61"/>
    </row>
    <row r="43" spans="1:10" s="25" customFormat="1" ht="27" customHeight="1">
      <c r="A43" s="65">
        <f t="shared" si="1"/>
        <v>41</v>
      </c>
      <c r="B43" s="76" t="str">
        <f t="shared" si="0"/>
        <v>reserved_byte41</v>
      </c>
      <c r="C43" s="59">
        <v>255</v>
      </c>
      <c r="D43" s="60">
        <v>255</v>
      </c>
      <c r="E43" s="59">
        <v>0</v>
      </c>
      <c r="F43" s="59">
        <v>255</v>
      </c>
      <c r="G43" s="76" t="s">
        <v>59</v>
      </c>
      <c r="H43" s="64" t="str">
        <f t="shared" si="2"/>
        <v>202A</v>
      </c>
      <c r="I43" s="59">
        <v>1</v>
      </c>
      <c r="J43" s="61"/>
    </row>
    <row r="44" spans="1:10" s="25" customFormat="1" ht="27" customHeight="1">
      <c r="A44" s="65">
        <f t="shared" si="1"/>
        <v>42</v>
      </c>
      <c r="B44" s="76" t="str">
        <f t="shared" si="0"/>
        <v>reserved_byte42</v>
      </c>
      <c r="C44" s="59">
        <v>255</v>
      </c>
      <c r="D44" s="60">
        <v>255</v>
      </c>
      <c r="E44" s="59">
        <v>0</v>
      </c>
      <c r="F44" s="59">
        <v>255</v>
      </c>
      <c r="G44" s="76" t="s">
        <v>59</v>
      </c>
      <c r="H44" s="64" t="str">
        <f t="shared" si="2"/>
        <v>202B</v>
      </c>
      <c r="I44" s="59">
        <v>1</v>
      </c>
      <c r="J44" s="61"/>
    </row>
    <row r="45" spans="1:10" s="25" customFormat="1" ht="27" customHeight="1">
      <c r="A45" s="65">
        <f t="shared" si="1"/>
        <v>43</v>
      </c>
      <c r="B45" s="76" t="str">
        <f t="shared" si="0"/>
        <v>reserved_byte43</v>
      </c>
      <c r="C45" s="59">
        <v>255</v>
      </c>
      <c r="D45" s="60">
        <v>255</v>
      </c>
      <c r="E45" s="59">
        <v>0</v>
      </c>
      <c r="F45" s="59">
        <v>255</v>
      </c>
      <c r="G45" s="76" t="s">
        <v>59</v>
      </c>
      <c r="H45" s="64" t="str">
        <f t="shared" si="2"/>
        <v>202C</v>
      </c>
      <c r="I45" s="59">
        <v>1</v>
      </c>
      <c r="J45" s="61"/>
    </row>
    <row r="46" spans="1:10" s="25" customFormat="1" ht="27" customHeight="1">
      <c r="A46" s="65">
        <f t="shared" si="1"/>
        <v>44</v>
      </c>
      <c r="B46" s="76" t="str">
        <f t="shared" si="0"/>
        <v>reserved_byte44</v>
      </c>
      <c r="C46" s="59">
        <v>255</v>
      </c>
      <c r="D46" s="60">
        <v>255</v>
      </c>
      <c r="E46" s="59">
        <v>0</v>
      </c>
      <c r="F46" s="59">
        <v>255</v>
      </c>
      <c r="G46" s="76" t="s">
        <v>59</v>
      </c>
      <c r="H46" s="64" t="str">
        <f t="shared" si="2"/>
        <v>202D</v>
      </c>
      <c r="I46" s="59">
        <v>1</v>
      </c>
      <c r="J46" s="61"/>
    </row>
    <row r="47" spans="1:10" s="25" customFormat="1" ht="27" customHeight="1">
      <c r="A47" s="65">
        <f t="shared" si="1"/>
        <v>45</v>
      </c>
      <c r="B47" s="76" t="str">
        <f t="shared" si="0"/>
        <v>reserved_byte45</v>
      </c>
      <c r="C47" s="59">
        <v>255</v>
      </c>
      <c r="D47" s="60">
        <v>255</v>
      </c>
      <c r="E47" s="59">
        <v>0</v>
      </c>
      <c r="F47" s="59">
        <v>255</v>
      </c>
      <c r="G47" s="76" t="s">
        <v>59</v>
      </c>
      <c r="H47" s="64" t="str">
        <f t="shared" si="2"/>
        <v>202E</v>
      </c>
      <c r="I47" s="59">
        <v>1</v>
      </c>
      <c r="J47" s="61"/>
    </row>
    <row r="48" spans="1:10" s="25" customFormat="1" ht="27" customHeight="1">
      <c r="A48" s="65">
        <f t="shared" si="1"/>
        <v>46</v>
      </c>
      <c r="B48" s="76" t="str">
        <f t="shared" si="0"/>
        <v>reserved_byte46</v>
      </c>
      <c r="C48" s="59">
        <v>255</v>
      </c>
      <c r="D48" s="60">
        <v>255</v>
      </c>
      <c r="E48" s="59">
        <v>0</v>
      </c>
      <c r="F48" s="59">
        <v>255</v>
      </c>
      <c r="G48" s="76" t="s">
        <v>59</v>
      </c>
      <c r="H48" s="64" t="str">
        <f t="shared" si="2"/>
        <v>202F</v>
      </c>
      <c r="I48" s="59">
        <v>1</v>
      </c>
      <c r="J48" s="61"/>
    </row>
    <row r="49" spans="1:10" s="25" customFormat="1" ht="27" customHeight="1">
      <c r="A49" s="65">
        <f t="shared" si="1"/>
        <v>47</v>
      </c>
      <c r="B49" s="76" t="str">
        <f t="shared" si="0"/>
        <v>reserved_byte47</v>
      </c>
      <c r="C49" s="59">
        <v>255</v>
      </c>
      <c r="D49" s="60">
        <v>255</v>
      </c>
      <c r="E49" s="59">
        <v>0</v>
      </c>
      <c r="F49" s="59">
        <v>255</v>
      </c>
      <c r="G49" s="76" t="s">
        <v>59</v>
      </c>
      <c r="H49" s="64" t="str">
        <f t="shared" si="2"/>
        <v>2030</v>
      </c>
      <c r="I49" s="59">
        <v>1</v>
      </c>
      <c r="J49" s="61"/>
    </row>
    <row r="50" spans="1:10" s="25" customFormat="1" ht="27" customHeight="1">
      <c r="A50" s="65">
        <f t="shared" si="1"/>
        <v>48</v>
      </c>
      <c r="B50" s="76" t="str">
        <f t="shared" si="0"/>
        <v>reserved_byte48</v>
      </c>
      <c r="C50" s="59">
        <v>255</v>
      </c>
      <c r="D50" s="60">
        <v>255</v>
      </c>
      <c r="E50" s="59">
        <v>0</v>
      </c>
      <c r="F50" s="59">
        <v>255</v>
      </c>
      <c r="G50" s="76" t="s">
        <v>59</v>
      </c>
      <c r="H50" s="64" t="str">
        <f t="shared" si="2"/>
        <v>2031</v>
      </c>
      <c r="I50" s="59">
        <v>1</v>
      </c>
      <c r="J50" s="61"/>
    </row>
    <row r="51" spans="1:10" s="25" customFormat="1" ht="27" customHeight="1">
      <c r="A51" s="65">
        <f t="shared" si="1"/>
        <v>49</v>
      </c>
      <c r="B51" s="76" t="str">
        <f t="shared" si="0"/>
        <v>reserved_byte49</v>
      </c>
      <c r="C51" s="59">
        <v>255</v>
      </c>
      <c r="D51" s="60">
        <v>255</v>
      </c>
      <c r="E51" s="59">
        <v>0</v>
      </c>
      <c r="F51" s="59">
        <v>255</v>
      </c>
      <c r="G51" s="76" t="s">
        <v>59</v>
      </c>
      <c r="H51" s="64" t="str">
        <f t="shared" si="2"/>
        <v>2032</v>
      </c>
      <c r="I51" s="59">
        <v>1</v>
      </c>
      <c r="J51" s="61"/>
    </row>
    <row r="52" spans="1:10" s="25" customFormat="1" ht="27" customHeight="1">
      <c r="A52" s="65">
        <f t="shared" si="1"/>
        <v>50</v>
      </c>
      <c r="B52" s="76" t="str">
        <f t="shared" si="0"/>
        <v>reserved_byte50</v>
      </c>
      <c r="C52" s="59">
        <v>255</v>
      </c>
      <c r="D52" s="60">
        <v>255</v>
      </c>
      <c r="E52" s="59">
        <v>0</v>
      </c>
      <c r="F52" s="59">
        <v>255</v>
      </c>
      <c r="G52" s="76" t="s">
        <v>59</v>
      </c>
      <c r="H52" s="64" t="str">
        <f t="shared" si="2"/>
        <v>2033</v>
      </c>
      <c r="I52" s="59">
        <v>1</v>
      </c>
      <c r="J52" s="61"/>
    </row>
    <row r="53" spans="1:10" s="25" customFormat="1" ht="27" customHeight="1">
      <c r="A53" s="65">
        <f t="shared" si="1"/>
        <v>51</v>
      </c>
      <c r="B53" s="76" t="str">
        <f t="shared" si="0"/>
        <v>reserved_byte51</v>
      </c>
      <c r="C53" s="59">
        <v>255</v>
      </c>
      <c r="D53" s="60">
        <v>255</v>
      </c>
      <c r="E53" s="59">
        <v>0</v>
      </c>
      <c r="F53" s="59">
        <v>255</v>
      </c>
      <c r="G53" s="76" t="s">
        <v>59</v>
      </c>
      <c r="H53" s="64" t="str">
        <f t="shared" si="2"/>
        <v>2034</v>
      </c>
      <c r="I53" s="59">
        <v>1</v>
      </c>
      <c r="J53" s="61"/>
    </row>
    <row r="54" spans="1:10" s="25" customFormat="1" ht="27" customHeight="1">
      <c r="A54" s="65">
        <f t="shared" si="1"/>
        <v>52</v>
      </c>
      <c r="B54" s="76" t="str">
        <f t="shared" si="0"/>
        <v>reserved_byte52</v>
      </c>
      <c r="C54" s="59">
        <v>255</v>
      </c>
      <c r="D54" s="60">
        <v>255</v>
      </c>
      <c r="E54" s="59">
        <v>0</v>
      </c>
      <c r="F54" s="59">
        <v>255</v>
      </c>
      <c r="G54" s="76" t="s">
        <v>59</v>
      </c>
      <c r="H54" s="64" t="str">
        <f t="shared" si="2"/>
        <v>2035</v>
      </c>
      <c r="I54" s="59">
        <v>1</v>
      </c>
      <c r="J54" s="61"/>
    </row>
    <row r="55" spans="1:10" s="25" customFormat="1" ht="27" customHeight="1">
      <c r="A55" s="65">
        <f t="shared" si="1"/>
        <v>53</v>
      </c>
      <c r="B55" s="76" t="str">
        <f t="shared" si="0"/>
        <v>reserved_byte53</v>
      </c>
      <c r="C55" s="59">
        <v>255</v>
      </c>
      <c r="D55" s="60">
        <v>255</v>
      </c>
      <c r="E55" s="59">
        <v>0</v>
      </c>
      <c r="F55" s="59">
        <v>255</v>
      </c>
      <c r="G55" s="76" t="s">
        <v>59</v>
      </c>
      <c r="H55" s="64" t="str">
        <f t="shared" si="2"/>
        <v>2036</v>
      </c>
      <c r="I55" s="59">
        <v>1</v>
      </c>
      <c r="J55" s="61"/>
    </row>
    <row r="56" spans="1:10" s="25" customFormat="1" ht="27" customHeight="1">
      <c r="A56" s="65">
        <f t="shared" si="1"/>
        <v>54</v>
      </c>
      <c r="B56" s="76" t="str">
        <f t="shared" si="0"/>
        <v>reserved_byte54</v>
      </c>
      <c r="C56" s="59">
        <v>255</v>
      </c>
      <c r="D56" s="60">
        <v>255</v>
      </c>
      <c r="E56" s="59">
        <v>0</v>
      </c>
      <c r="F56" s="59">
        <v>255</v>
      </c>
      <c r="G56" s="76" t="s">
        <v>59</v>
      </c>
      <c r="H56" s="64" t="str">
        <f t="shared" si="2"/>
        <v>2037</v>
      </c>
      <c r="I56" s="59">
        <v>1</v>
      </c>
      <c r="J56" s="61"/>
    </row>
    <row r="57" spans="1:10" s="25" customFormat="1" ht="27" customHeight="1">
      <c r="A57" s="65">
        <f t="shared" si="1"/>
        <v>55</v>
      </c>
      <c r="B57" s="76" t="str">
        <f t="shared" si="0"/>
        <v>reserved_byte55</v>
      </c>
      <c r="C57" s="59">
        <v>255</v>
      </c>
      <c r="D57" s="60">
        <v>255</v>
      </c>
      <c r="E57" s="59">
        <v>0</v>
      </c>
      <c r="F57" s="59">
        <v>255</v>
      </c>
      <c r="G57" s="76" t="s">
        <v>59</v>
      </c>
      <c r="H57" s="64" t="str">
        <f t="shared" si="2"/>
        <v>2038</v>
      </c>
      <c r="I57" s="59">
        <v>1</v>
      </c>
      <c r="J57" s="61"/>
    </row>
    <row r="58" spans="1:10" s="25" customFormat="1" ht="27" customHeight="1">
      <c r="A58" s="65">
        <f t="shared" si="1"/>
        <v>56</v>
      </c>
      <c r="B58" s="76" t="str">
        <f t="shared" si="0"/>
        <v>reserved_byte56</v>
      </c>
      <c r="C58" s="59">
        <v>255</v>
      </c>
      <c r="D58" s="60">
        <v>255</v>
      </c>
      <c r="E58" s="59">
        <v>0</v>
      </c>
      <c r="F58" s="59">
        <v>255</v>
      </c>
      <c r="G58" s="76" t="s">
        <v>59</v>
      </c>
      <c r="H58" s="64" t="str">
        <f t="shared" si="2"/>
        <v>2039</v>
      </c>
      <c r="I58" s="59">
        <v>1</v>
      </c>
      <c r="J58" s="61"/>
    </row>
    <row r="59" spans="1:10" s="25" customFormat="1" ht="27" customHeight="1">
      <c r="A59" s="65">
        <f t="shared" si="1"/>
        <v>57</v>
      </c>
      <c r="B59" s="76" t="str">
        <f t="shared" si="0"/>
        <v>reserved_byte57</v>
      </c>
      <c r="C59" s="59">
        <v>255</v>
      </c>
      <c r="D59" s="60">
        <v>255</v>
      </c>
      <c r="E59" s="59">
        <v>0</v>
      </c>
      <c r="F59" s="59">
        <v>255</v>
      </c>
      <c r="G59" s="76" t="s">
        <v>59</v>
      </c>
      <c r="H59" s="64" t="str">
        <f t="shared" si="2"/>
        <v>203A</v>
      </c>
      <c r="I59" s="59">
        <v>1</v>
      </c>
      <c r="J59" s="61"/>
    </row>
    <row r="60" spans="1:10" s="25" customFormat="1" ht="27" customHeight="1">
      <c r="A60" s="65">
        <f t="shared" si="1"/>
        <v>58</v>
      </c>
      <c r="B60" s="76" t="str">
        <f t="shared" si="0"/>
        <v>reserved_byte58</v>
      </c>
      <c r="C60" s="59">
        <v>255</v>
      </c>
      <c r="D60" s="60">
        <v>255</v>
      </c>
      <c r="E60" s="59">
        <v>0</v>
      </c>
      <c r="F60" s="59">
        <v>255</v>
      </c>
      <c r="G60" s="76" t="s">
        <v>59</v>
      </c>
      <c r="H60" s="64" t="str">
        <f t="shared" si="2"/>
        <v>203B</v>
      </c>
      <c r="I60" s="59">
        <v>1</v>
      </c>
      <c r="J60" s="61"/>
    </row>
    <row r="61" spans="1:10" s="25" customFormat="1" ht="27" customHeight="1">
      <c r="A61" s="65">
        <f t="shared" si="1"/>
        <v>59</v>
      </c>
      <c r="B61" s="76" t="str">
        <f t="shared" si="0"/>
        <v>reserved_byte59</v>
      </c>
      <c r="C61" s="59">
        <v>255</v>
      </c>
      <c r="D61" s="60">
        <v>255</v>
      </c>
      <c r="E61" s="59">
        <v>0</v>
      </c>
      <c r="F61" s="59">
        <v>255</v>
      </c>
      <c r="G61" s="76" t="s">
        <v>59</v>
      </c>
      <c r="H61" s="64" t="str">
        <f t="shared" si="2"/>
        <v>203C</v>
      </c>
      <c r="I61" s="59">
        <v>1</v>
      </c>
      <c r="J61" s="61"/>
    </row>
    <row r="62" spans="1:10" s="25" customFormat="1" ht="27" customHeight="1">
      <c r="A62" s="65">
        <f t="shared" si="1"/>
        <v>60</v>
      </c>
      <c r="B62" s="76" t="str">
        <f t="shared" si="0"/>
        <v>reserved_byte60</v>
      </c>
      <c r="C62" s="59">
        <v>255</v>
      </c>
      <c r="D62" s="60">
        <v>255</v>
      </c>
      <c r="E62" s="59">
        <v>0</v>
      </c>
      <c r="F62" s="59">
        <v>255</v>
      </c>
      <c r="G62" s="76" t="s">
        <v>59</v>
      </c>
      <c r="H62" s="64" t="str">
        <f t="shared" si="2"/>
        <v>203D</v>
      </c>
      <c r="I62" s="59">
        <v>1</v>
      </c>
      <c r="J62" s="61"/>
    </row>
    <row r="63" spans="1:10" s="25" customFormat="1" ht="27" customHeight="1">
      <c r="A63" s="65">
        <f t="shared" si="1"/>
        <v>61</v>
      </c>
      <c r="B63" s="76" t="str">
        <f t="shared" si="0"/>
        <v>reserved_byte61</v>
      </c>
      <c r="C63" s="59">
        <v>255</v>
      </c>
      <c r="D63" s="60">
        <v>255</v>
      </c>
      <c r="E63" s="59">
        <v>0</v>
      </c>
      <c r="F63" s="59">
        <v>255</v>
      </c>
      <c r="G63" s="76" t="s">
        <v>59</v>
      </c>
      <c r="H63" s="64" t="str">
        <f t="shared" si="2"/>
        <v>203E</v>
      </c>
      <c r="I63" s="59">
        <v>1</v>
      </c>
      <c r="J63" s="61"/>
    </row>
    <row r="64" spans="1:10" s="25" customFormat="1" ht="27" customHeight="1">
      <c r="A64" s="65">
        <f t="shared" si="1"/>
        <v>62</v>
      </c>
      <c r="B64" s="76" t="str">
        <f t="shared" si="0"/>
        <v>reserved_byte62</v>
      </c>
      <c r="C64" s="59">
        <v>255</v>
      </c>
      <c r="D64" s="60">
        <v>255</v>
      </c>
      <c r="E64" s="59">
        <v>0</v>
      </c>
      <c r="F64" s="59">
        <v>255</v>
      </c>
      <c r="G64" s="76" t="s">
        <v>59</v>
      </c>
      <c r="H64" s="64" t="str">
        <f t="shared" si="2"/>
        <v>203F</v>
      </c>
      <c r="I64" s="59">
        <v>1</v>
      </c>
      <c r="J64" s="61"/>
    </row>
    <row r="65" spans="1:10" s="25" customFormat="1" ht="27" customHeight="1">
      <c r="A65" s="65">
        <f t="shared" si="1"/>
        <v>63</v>
      </c>
      <c r="B65" s="76" t="str">
        <f t="shared" si="0"/>
        <v>reserved_byte63</v>
      </c>
      <c r="C65" s="59">
        <v>255</v>
      </c>
      <c r="D65" s="60">
        <v>255</v>
      </c>
      <c r="E65" s="59">
        <v>0</v>
      </c>
      <c r="F65" s="59">
        <v>255</v>
      </c>
      <c r="G65" s="76" t="s">
        <v>59</v>
      </c>
      <c r="H65" s="64" t="str">
        <f t="shared" si="2"/>
        <v>2040</v>
      </c>
      <c r="I65" s="59">
        <v>1</v>
      </c>
      <c r="J65" s="61"/>
    </row>
    <row r="66" spans="1:10" s="25" customFormat="1" ht="27" customHeight="1">
      <c r="A66" s="65">
        <f t="shared" si="1"/>
        <v>64</v>
      </c>
      <c r="B66" s="76" t="str">
        <f t="shared" ref="B66:B129" si="3">"reserved_byte" &amp;TEXT(A66,0)</f>
        <v>reserved_byte64</v>
      </c>
      <c r="C66" s="59">
        <v>255</v>
      </c>
      <c r="D66" s="60">
        <v>255</v>
      </c>
      <c r="E66" s="59">
        <v>0</v>
      </c>
      <c r="F66" s="59">
        <v>255</v>
      </c>
      <c r="G66" s="76" t="s">
        <v>59</v>
      </c>
      <c r="H66" s="64" t="str">
        <f t="shared" si="2"/>
        <v>2041</v>
      </c>
      <c r="I66" s="59">
        <v>1</v>
      </c>
      <c r="J66" s="61"/>
    </row>
    <row r="67" spans="1:10" s="25" customFormat="1" ht="27" customHeight="1">
      <c r="A67" s="65">
        <f t="shared" ref="A67:A130" si="4">A66+1</f>
        <v>65</v>
      </c>
      <c r="B67" s="76" t="str">
        <f t="shared" si="3"/>
        <v>reserved_byte65</v>
      </c>
      <c r="C67" s="59">
        <v>255</v>
      </c>
      <c r="D67" s="60">
        <v>255</v>
      </c>
      <c r="E67" s="59">
        <v>0</v>
      </c>
      <c r="F67" s="59">
        <v>255</v>
      </c>
      <c r="G67" s="76" t="s">
        <v>59</v>
      </c>
      <c r="H67" s="64" t="str">
        <f t="shared" ref="H67:H130" si="5">DEC2HEX((HEX2DEC(H66)+1),4)</f>
        <v>2042</v>
      </c>
      <c r="I67" s="59">
        <v>1</v>
      </c>
      <c r="J67" s="61"/>
    </row>
    <row r="68" spans="1:10" s="25" customFormat="1" ht="27" customHeight="1">
      <c r="A68" s="65">
        <f t="shared" si="4"/>
        <v>66</v>
      </c>
      <c r="B68" s="76" t="str">
        <f t="shared" si="3"/>
        <v>reserved_byte66</v>
      </c>
      <c r="C68" s="59">
        <v>255</v>
      </c>
      <c r="D68" s="60">
        <v>255</v>
      </c>
      <c r="E68" s="59">
        <v>0</v>
      </c>
      <c r="F68" s="59">
        <v>255</v>
      </c>
      <c r="G68" s="76" t="s">
        <v>59</v>
      </c>
      <c r="H68" s="64" t="str">
        <f t="shared" si="5"/>
        <v>2043</v>
      </c>
      <c r="I68" s="59">
        <v>1</v>
      </c>
      <c r="J68" s="61"/>
    </row>
    <row r="69" spans="1:10" s="25" customFormat="1" ht="27" customHeight="1">
      <c r="A69" s="65">
        <f t="shared" si="4"/>
        <v>67</v>
      </c>
      <c r="B69" s="76" t="str">
        <f t="shared" si="3"/>
        <v>reserved_byte67</v>
      </c>
      <c r="C69" s="59">
        <v>255</v>
      </c>
      <c r="D69" s="60">
        <v>255</v>
      </c>
      <c r="E69" s="59">
        <v>0</v>
      </c>
      <c r="F69" s="59">
        <v>255</v>
      </c>
      <c r="G69" s="76" t="s">
        <v>59</v>
      </c>
      <c r="H69" s="64" t="str">
        <f t="shared" si="5"/>
        <v>2044</v>
      </c>
      <c r="I69" s="59">
        <v>1</v>
      </c>
      <c r="J69" s="61"/>
    </row>
    <row r="70" spans="1:10" s="25" customFormat="1" ht="27" customHeight="1">
      <c r="A70" s="65">
        <f t="shared" si="4"/>
        <v>68</v>
      </c>
      <c r="B70" s="76" t="str">
        <f t="shared" si="3"/>
        <v>reserved_byte68</v>
      </c>
      <c r="C70" s="59">
        <v>255</v>
      </c>
      <c r="D70" s="60">
        <v>255</v>
      </c>
      <c r="E70" s="59">
        <v>0</v>
      </c>
      <c r="F70" s="59">
        <v>255</v>
      </c>
      <c r="G70" s="76" t="s">
        <v>59</v>
      </c>
      <c r="H70" s="64" t="str">
        <f t="shared" si="5"/>
        <v>2045</v>
      </c>
      <c r="I70" s="59">
        <v>1</v>
      </c>
      <c r="J70" s="61"/>
    </row>
    <row r="71" spans="1:10" s="25" customFormat="1" ht="27" customHeight="1">
      <c r="A71" s="65">
        <f t="shared" si="4"/>
        <v>69</v>
      </c>
      <c r="B71" s="76" t="str">
        <f t="shared" si="3"/>
        <v>reserved_byte69</v>
      </c>
      <c r="C71" s="59">
        <v>255</v>
      </c>
      <c r="D71" s="60">
        <v>255</v>
      </c>
      <c r="E71" s="59">
        <v>0</v>
      </c>
      <c r="F71" s="59">
        <v>255</v>
      </c>
      <c r="G71" s="76" t="s">
        <v>59</v>
      </c>
      <c r="H71" s="64" t="str">
        <f t="shared" si="5"/>
        <v>2046</v>
      </c>
      <c r="I71" s="59">
        <v>1</v>
      </c>
      <c r="J71" s="61"/>
    </row>
    <row r="72" spans="1:10" s="25" customFormat="1" ht="27" customHeight="1">
      <c r="A72" s="65">
        <f t="shared" si="4"/>
        <v>70</v>
      </c>
      <c r="B72" s="76" t="str">
        <f t="shared" si="3"/>
        <v>reserved_byte70</v>
      </c>
      <c r="C72" s="59">
        <v>255</v>
      </c>
      <c r="D72" s="60">
        <v>255</v>
      </c>
      <c r="E72" s="59">
        <v>0</v>
      </c>
      <c r="F72" s="59">
        <v>255</v>
      </c>
      <c r="G72" s="76" t="s">
        <v>59</v>
      </c>
      <c r="H72" s="64" t="str">
        <f t="shared" si="5"/>
        <v>2047</v>
      </c>
      <c r="I72" s="59">
        <v>1</v>
      </c>
      <c r="J72" s="61"/>
    </row>
    <row r="73" spans="1:10" s="25" customFormat="1" ht="27" customHeight="1">
      <c r="A73" s="65">
        <f t="shared" si="4"/>
        <v>71</v>
      </c>
      <c r="B73" s="76" t="str">
        <f t="shared" si="3"/>
        <v>reserved_byte71</v>
      </c>
      <c r="C73" s="59">
        <v>255</v>
      </c>
      <c r="D73" s="60">
        <v>255</v>
      </c>
      <c r="E73" s="59">
        <v>0</v>
      </c>
      <c r="F73" s="59">
        <v>255</v>
      </c>
      <c r="G73" s="76" t="s">
        <v>59</v>
      </c>
      <c r="H73" s="64" t="str">
        <f t="shared" si="5"/>
        <v>2048</v>
      </c>
      <c r="I73" s="59">
        <v>1</v>
      </c>
      <c r="J73" s="61"/>
    </row>
    <row r="74" spans="1:10" s="25" customFormat="1" ht="27" customHeight="1">
      <c r="A74" s="65">
        <f t="shared" si="4"/>
        <v>72</v>
      </c>
      <c r="B74" s="76" t="str">
        <f t="shared" si="3"/>
        <v>reserved_byte72</v>
      </c>
      <c r="C74" s="59">
        <v>255</v>
      </c>
      <c r="D74" s="60">
        <v>255</v>
      </c>
      <c r="E74" s="59">
        <v>0</v>
      </c>
      <c r="F74" s="59">
        <v>255</v>
      </c>
      <c r="G74" s="76" t="s">
        <v>59</v>
      </c>
      <c r="H74" s="64" t="str">
        <f t="shared" si="5"/>
        <v>2049</v>
      </c>
      <c r="I74" s="59">
        <v>1</v>
      </c>
      <c r="J74" s="61"/>
    </row>
    <row r="75" spans="1:10" s="25" customFormat="1" ht="27" customHeight="1">
      <c r="A75" s="65">
        <f t="shared" si="4"/>
        <v>73</v>
      </c>
      <c r="B75" s="76" t="str">
        <f t="shared" si="3"/>
        <v>reserved_byte73</v>
      </c>
      <c r="C75" s="59">
        <v>255</v>
      </c>
      <c r="D75" s="60">
        <v>255</v>
      </c>
      <c r="E75" s="59">
        <v>0</v>
      </c>
      <c r="F75" s="59">
        <v>255</v>
      </c>
      <c r="G75" s="76" t="s">
        <v>59</v>
      </c>
      <c r="H75" s="64" t="str">
        <f t="shared" si="5"/>
        <v>204A</v>
      </c>
      <c r="I75" s="59">
        <v>1</v>
      </c>
      <c r="J75" s="61"/>
    </row>
    <row r="76" spans="1:10" s="25" customFormat="1" ht="27" customHeight="1">
      <c r="A76" s="65">
        <f t="shared" si="4"/>
        <v>74</v>
      </c>
      <c r="B76" s="76" t="str">
        <f t="shared" si="3"/>
        <v>reserved_byte74</v>
      </c>
      <c r="C76" s="59">
        <v>255</v>
      </c>
      <c r="D76" s="60">
        <v>255</v>
      </c>
      <c r="E76" s="59">
        <v>0</v>
      </c>
      <c r="F76" s="59">
        <v>255</v>
      </c>
      <c r="G76" s="76" t="s">
        <v>59</v>
      </c>
      <c r="H76" s="64" t="str">
        <f t="shared" si="5"/>
        <v>204B</v>
      </c>
      <c r="I76" s="59">
        <v>1</v>
      </c>
      <c r="J76" s="61"/>
    </row>
    <row r="77" spans="1:10" s="25" customFormat="1" ht="27" customHeight="1">
      <c r="A77" s="65">
        <f t="shared" si="4"/>
        <v>75</v>
      </c>
      <c r="B77" s="76" t="str">
        <f t="shared" si="3"/>
        <v>reserved_byte75</v>
      </c>
      <c r="C77" s="59">
        <v>255</v>
      </c>
      <c r="D77" s="60">
        <v>255</v>
      </c>
      <c r="E77" s="59">
        <v>0</v>
      </c>
      <c r="F77" s="59">
        <v>255</v>
      </c>
      <c r="G77" s="76" t="s">
        <v>59</v>
      </c>
      <c r="H77" s="64" t="str">
        <f t="shared" si="5"/>
        <v>204C</v>
      </c>
      <c r="I77" s="59">
        <v>1</v>
      </c>
      <c r="J77" s="61"/>
    </row>
    <row r="78" spans="1:10" s="25" customFormat="1" ht="27" customHeight="1">
      <c r="A78" s="65">
        <f t="shared" si="4"/>
        <v>76</v>
      </c>
      <c r="B78" s="76" t="str">
        <f t="shared" si="3"/>
        <v>reserved_byte76</v>
      </c>
      <c r="C78" s="59">
        <v>255</v>
      </c>
      <c r="D78" s="60">
        <v>255</v>
      </c>
      <c r="E78" s="59">
        <v>0</v>
      </c>
      <c r="F78" s="59">
        <v>255</v>
      </c>
      <c r="G78" s="76" t="s">
        <v>59</v>
      </c>
      <c r="H78" s="64" t="str">
        <f t="shared" si="5"/>
        <v>204D</v>
      </c>
      <c r="I78" s="59">
        <v>1</v>
      </c>
      <c r="J78" s="61"/>
    </row>
    <row r="79" spans="1:10" s="25" customFormat="1" ht="27" customHeight="1">
      <c r="A79" s="65">
        <f t="shared" si="4"/>
        <v>77</v>
      </c>
      <c r="B79" s="76" t="str">
        <f t="shared" si="3"/>
        <v>reserved_byte77</v>
      </c>
      <c r="C79" s="59">
        <v>255</v>
      </c>
      <c r="D79" s="60">
        <v>255</v>
      </c>
      <c r="E79" s="59">
        <v>0</v>
      </c>
      <c r="F79" s="59">
        <v>255</v>
      </c>
      <c r="G79" s="76" t="s">
        <v>59</v>
      </c>
      <c r="H79" s="64" t="str">
        <f t="shared" si="5"/>
        <v>204E</v>
      </c>
      <c r="I79" s="59">
        <v>1</v>
      </c>
      <c r="J79" s="61"/>
    </row>
    <row r="80" spans="1:10" s="25" customFormat="1" ht="27" customHeight="1">
      <c r="A80" s="65">
        <f t="shared" si="4"/>
        <v>78</v>
      </c>
      <c r="B80" s="76" t="str">
        <f t="shared" si="3"/>
        <v>reserved_byte78</v>
      </c>
      <c r="C80" s="59">
        <v>255</v>
      </c>
      <c r="D80" s="60">
        <v>255</v>
      </c>
      <c r="E80" s="59">
        <v>0</v>
      </c>
      <c r="F80" s="59">
        <v>255</v>
      </c>
      <c r="G80" s="76" t="s">
        <v>59</v>
      </c>
      <c r="H80" s="64" t="str">
        <f t="shared" si="5"/>
        <v>204F</v>
      </c>
      <c r="I80" s="59">
        <v>1</v>
      </c>
      <c r="J80" s="61"/>
    </row>
    <row r="81" spans="1:10" s="25" customFormat="1" ht="27" customHeight="1">
      <c r="A81" s="65">
        <f t="shared" si="4"/>
        <v>79</v>
      </c>
      <c r="B81" s="76" t="str">
        <f t="shared" si="3"/>
        <v>reserved_byte79</v>
      </c>
      <c r="C81" s="59">
        <v>255</v>
      </c>
      <c r="D81" s="60">
        <v>255</v>
      </c>
      <c r="E81" s="59">
        <v>0</v>
      </c>
      <c r="F81" s="59">
        <v>255</v>
      </c>
      <c r="G81" s="76" t="s">
        <v>59</v>
      </c>
      <c r="H81" s="64" t="str">
        <f t="shared" si="5"/>
        <v>2050</v>
      </c>
      <c r="I81" s="59">
        <v>1</v>
      </c>
      <c r="J81" s="61"/>
    </row>
    <row r="82" spans="1:10" s="25" customFormat="1" ht="27" customHeight="1">
      <c r="A82" s="65">
        <f t="shared" si="4"/>
        <v>80</v>
      </c>
      <c r="B82" s="76" t="str">
        <f t="shared" si="3"/>
        <v>reserved_byte80</v>
      </c>
      <c r="C82" s="59">
        <v>255</v>
      </c>
      <c r="D82" s="60">
        <v>255</v>
      </c>
      <c r="E82" s="59">
        <v>0</v>
      </c>
      <c r="F82" s="59">
        <v>255</v>
      </c>
      <c r="G82" s="76" t="s">
        <v>59</v>
      </c>
      <c r="H82" s="64" t="str">
        <f t="shared" si="5"/>
        <v>2051</v>
      </c>
      <c r="I82" s="59">
        <v>1</v>
      </c>
      <c r="J82" s="61"/>
    </row>
    <row r="83" spans="1:10" s="25" customFormat="1" ht="27" customHeight="1">
      <c r="A83" s="65">
        <f t="shared" si="4"/>
        <v>81</v>
      </c>
      <c r="B83" s="76" t="str">
        <f t="shared" si="3"/>
        <v>reserved_byte81</v>
      </c>
      <c r="C83" s="59">
        <v>255</v>
      </c>
      <c r="D83" s="60">
        <v>255</v>
      </c>
      <c r="E83" s="59">
        <v>0</v>
      </c>
      <c r="F83" s="59">
        <v>255</v>
      </c>
      <c r="G83" s="76" t="s">
        <v>59</v>
      </c>
      <c r="H83" s="64" t="str">
        <f t="shared" si="5"/>
        <v>2052</v>
      </c>
      <c r="I83" s="59">
        <v>1</v>
      </c>
      <c r="J83" s="61"/>
    </row>
    <row r="84" spans="1:10" s="25" customFormat="1" ht="27" customHeight="1">
      <c r="A84" s="65">
        <f t="shared" si="4"/>
        <v>82</v>
      </c>
      <c r="B84" s="76" t="str">
        <f t="shared" si="3"/>
        <v>reserved_byte82</v>
      </c>
      <c r="C84" s="59">
        <v>255</v>
      </c>
      <c r="D84" s="60">
        <v>255</v>
      </c>
      <c r="E84" s="59">
        <v>0</v>
      </c>
      <c r="F84" s="59">
        <v>255</v>
      </c>
      <c r="G84" s="76" t="s">
        <v>59</v>
      </c>
      <c r="H84" s="64" t="str">
        <f t="shared" si="5"/>
        <v>2053</v>
      </c>
      <c r="I84" s="59">
        <v>1</v>
      </c>
      <c r="J84" s="61"/>
    </row>
    <row r="85" spans="1:10" s="25" customFormat="1" ht="27" customHeight="1">
      <c r="A85" s="65">
        <f t="shared" si="4"/>
        <v>83</v>
      </c>
      <c r="B85" s="76" t="str">
        <f t="shared" si="3"/>
        <v>reserved_byte83</v>
      </c>
      <c r="C85" s="59">
        <v>255</v>
      </c>
      <c r="D85" s="60">
        <v>255</v>
      </c>
      <c r="E85" s="59">
        <v>0</v>
      </c>
      <c r="F85" s="59">
        <v>255</v>
      </c>
      <c r="G85" s="76" t="s">
        <v>59</v>
      </c>
      <c r="H85" s="64" t="str">
        <f t="shared" si="5"/>
        <v>2054</v>
      </c>
      <c r="I85" s="59">
        <v>1</v>
      </c>
      <c r="J85" s="61"/>
    </row>
    <row r="86" spans="1:10" s="25" customFormat="1" ht="27" customHeight="1">
      <c r="A86" s="65">
        <f t="shared" si="4"/>
        <v>84</v>
      </c>
      <c r="B86" s="76" t="str">
        <f t="shared" si="3"/>
        <v>reserved_byte84</v>
      </c>
      <c r="C86" s="59">
        <v>255</v>
      </c>
      <c r="D86" s="60">
        <v>255</v>
      </c>
      <c r="E86" s="59">
        <v>0</v>
      </c>
      <c r="F86" s="59">
        <v>255</v>
      </c>
      <c r="G86" s="76" t="s">
        <v>59</v>
      </c>
      <c r="H86" s="64" t="str">
        <f t="shared" si="5"/>
        <v>2055</v>
      </c>
      <c r="I86" s="59">
        <v>1</v>
      </c>
      <c r="J86" s="61"/>
    </row>
    <row r="87" spans="1:10" s="25" customFormat="1" ht="27" customHeight="1">
      <c r="A87" s="65">
        <f t="shared" si="4"/>
        <v>85</v>
      </c>
      <c r="B87" s="76" t="str">
        <f t="shared" si="3"/>
        <v>reserved_byte85</v>
      </c>
      <c r="C87" s="59">
        <v>255</v>
      </c>
      <c r="D87" s="60">
        <v>255</v>
      </c>
      <c r="E87" s="59">
        <v>0</v>
      </c>
      <c r="F87" s="59">
        <v>255</v>
      </c>
      <c r="G87" s="76" t="s">
        <v>59</v>
      </c>
      <c r="H87" s="64" t="str">
        <f t="shared" si="5"/>
        <v>2056</v>
      </c>
      <c r="I87" s="59">
        <v>1</v>
      </c>
      <c r="J87" s="61"/>
    </row>
    <row r="88" spans="1:10" s="25" customFormat="1" ht="27" customHeight="1">
      <c r="A88" s="65">
        <f t="shared" si="4"/>
        <v>86</v>
      </c>
      <c r="B88" s="76" t="str">
        <f t="shared" si="3"/>
        <v>reserved_byte86</v>
      </c>
      <c r="C88" s="59">
        <v>255</v>
      </c>
      <c r="D88" s="60">
        <v>255</v>
      </c>
      <c r="E88" s="59">
        <v>0</v>
      </c>
      <c r="F88" s="59">
        <v>255</v>
      </c>
      <c r="G88" s="76" t="s">
        <v>59</v>
      </c>
      <c r="H88" s="64" t="str">
        <f t="shared" si="5"/>
        <v>2057</v>
      </c>
      <c r="I88" s="59">
        <v>1</v>
      </c>
      <c r="J88" s="61"/>
    </row>
    <row r="89" spans="1:10" s="25" customFormat="1" ht="27" customHeight="1">
      <c r="A89" s="65">
        <f t="shared" si="4"/>
        <v>87</v>
      </c>
      <c r="B89" s="76" t="str">
        <f t="shared" si="3"/>
        <v>reserved_byte87</v>
      </c>
      <c r="C89" s="59">
        <v>255</v>
      </c>
      <c r="D89" s="60">
        <v>255</v>
      </c>
      <c r="E89" s="59">
        <v>0</v>
      </c>
      <c r="F89" s="59">
        <v>255</v>
      </c>
      <c r="G89" s="76" t="s">
        <v>59</v>
      </c>
      <c r="H89" s="64" t="str">
        <f t="shared" si="5"/>
        <v>2058</v>
      </c>
      <c r="I89" s="59">
        <v>1</v>
      </c>
      <c r="J89" s="61"/>
    </row>
    <row r="90" spans="1:10" s="25" customFormat="1" ht="27" customHeight="1">
      <c r="A90" s="65">
        <f t="shared" si="4"/>
        <v>88</v>
      </c>
      <c r="B90" s="76" t="str">
        <f t="shared" si="3"/>
        <v>reserved_byte88</v>
      </c>
      <c r="C90" s="59">
        <v>255</v>
      </c>
      <c r="D90" s="60">
        <v>255</v>
      </c>
      <c r="E90" s="59">
        <v>0</v>
      </c>
      <c r="F90" s="59">
        <v>255</v>
      </c>
      <c r="G90" s="76" t="s">
        <v>59</v>
      </c>
      <c r="H90" s="64" t="str">
        <f t="shared" si="5"/>
        <v>2059</v>
      </c>
      <c r="I90" s="59">
        <v>1</v>
      </c>
      <c r="J90" s="61"/>
    </row>
    <row r="91" spans="1:10" s="25" customFormat="1" ht="27" customHeight="1">
      <c r="A91" s="65">
        <f t="shared" si="4"/>
        <v>89</v>
      </c>
      <c r="B91" s="76" t="str">
        <f t="shared" si="3"/>
        <v>reserved_byte89</v>
      </c>
      <c r="C91" s="59">
        <v>255</v>
      </c>
      <c r="D91" s="60">
        <v>255</v>
      </c>
      <c r="E91" s="59">
        <v>0</v>
      </c>
      <c r="F91" s="59">
        <v>255</v>
      </c>
      <c r="G91" s="76" t="s">
        <v>59</v>
      </c>
      <c r="H91" s="64" t="str">
        <f t="shared" si="5"/>
        <v>205A</v>
      </c>
      <c r="I91" s="59">
        <v>1</v>
      </c>
      <c r="J91" s="61"/>
    </row>
    <row r="92" spans="1:10" s="25" customFormat="1" ht="27" customHeight="1">
      <c r="A92" s="65">
        <f t="shared" si="4"/>
        <v>90</v>
      </c>
      <c r="B92" s="76" t="str">
        <f t="shared" si="3"/>
        <v>reserved_byte90</v>
      </c>
      <c r="C92" s="59">
        <v>255</v>
      </c>
      <c r="D92" s="60">
        <v>255</v>
      </c>
      <c r="E92" s="59">
        <v>0</v>
      </c>
      <c r="F92" s="59">
        <v>255</v>
      </c>
      <c r="G92" s="76" t="s">
        <v>59</v>
      </c>
      <c r="H92" s="64" t="str">
        <f t="shared" si="5"/>
        <v>205B</v>
      </c>
      <c r="I92" s="59">
        <v>1</v>
      </c>
      <c r="J92" s="61"/>
    </row>
    <row r="93" spans="1:10" s="25" customFormat="1" ht="27" customHeight="1">
      <c r="A93" s="65">
        <f t="shared" si="4"/>
        <v>91</v>
      </c>
      <c r="B93" s="76" t="str">
        <f t="shared" si="3"/>
        <v>reserved_byte91</v>
      </c>
      <c r="C93" s="59">
        <v>255</v>
      </c>
      <c r="D93" s="60">
        <v>255</v>
      </c>
      <c r="E93" s="59">
        <v>0</v>
      </c>
      <c r="F93" s="59">
        <v>255</v>
      </c>
      <c r="G93" s="76" t="s">
        <v>59</v>
      </c>
      <c r="H93" s="64" t="str">
        <f t="shared" si="5"/>
        <v>205C</v>
      </c>
      <c r="I93" s="59">
        <v>1</v>
      </c>
      <c r="J93" s="61"/>
    </row>
    <row r="94" spans="1:10" s="25" customFormat="1" ht="27" customHeight="1">
      <c r="A94" s="65">
        <f t="shared" si="4"/>
        <v>92</v>
      </c>
      <c r="B94" s="76" t="str">
        <f t="shared" si="3"/>
        <v>reserved_byte92</v>
      </c>
      <c r="C94" s="59">
        <v>255</v>
      </c>
      <c r="D94" s="60">
        <v>255</v>
      </c>
      <c r="E94" s="59">
        <v>0</v>
      </c>
      <c r="F94" s="59">
        <v>255</v>
      </c>
      <c r="G94" s="76" t="s">
        <v>59</v>
      </c>
      <c r="H94" s="64" t="str">
        <f t="shared" si="5"/>
        <v>205D</v>
      </c>
      <c r="I94" s="59">
        <v>1</v>
      </c>
      <c r="J94" s="61"/>
    </row>
    <row r="95" spans="1:10" s="25" customFormat="1" ht="27" customHeight="1">
      <c r="A95" s="65">
        <f t="shared" si="4"/>
        <v>93</v>
      </c>
      <c r="B95" s="76" t="str">
        <f t="shared" si="3"/>
        <v>reserved_byte93</v>
      </c>
      <c r="C95" s="59">
        <v>255</v>
      </c>
      <c r="D95" s="60">
        <v>255</v>
      </c>
      <c r="E95" s="59">
        <v>0</v>
      </c>
      <c r="F95" s="59">
        <v>255</v>
      </c>
      <c r="G95" s="76" t="s">
        <v>59</v>
      </c>
      <c r="H95" s="64" t="str">
        <f t="shared" si="5"/>
        <v>205E</v>
      </c>
      <c r="I95" s="59">
        <v>1</v>
      </c>
      <c r="J95" s="61"/>
    </row>
    <row r="96" spans="1:10" s="25" customFormat="1" ht="27" customHeight="1">
      <c r="A96" s="65">
        <f t="shared" si="4"/>
        <v>94</v>
      </c>
      <c r="B96" s="76" t="str">
        <f t="shared" si="3"/>
        <v>reserved_byte94</v>
      </c>
      <c r="C96" s="59">
        <v>255</v>
      </c>
      <c r="D96" s="60">
        <v>255</v>
      </c>
      <c r="E96" s="59">
        <v>0</v>
      </c>
      <c r="F96" s="59">
        <v>255</v>
      </c>
      <c r="G96" s="76" t="s">
        <v>59</v>
      </c>
      <c r="H96" s="64" t="str">
        <f t="shared" si="5"/>
        <v>205F</v>
      </c>
      <c r="I96" s="59">
        <v>1</v>
      </c>
      <c r="J96" s="61"/>
    </row>
    <row r="97" spans="1:10" s="25" customFormat="1" ht="27" customHeight="1">
      <c r="A97" s="65">
        <f t="shared" si="4"/>
        <v>95</v>
      </c>
      <c r="B97" s="76" t="str">
        <f t="shared" si="3"/>
        <v>reserved_byte95</v>
      </c>
      <c r="C97" s="59">
        <v>255</v>
      </c>
      <c r="D97" s="60">
        <v>255</v>
      </c>
      <c r="E97" s="59">
        <v>0</v>
      </c>
      <c r="F97" s="59">
        <v>255</v>
      </c>
      <c r="G97" s="76" t="s">
        <v>59</v>
      </c>
      <c r="H97" s="64" t="str">
        <f t="shared" si="5"/>
        <v>2060</v>
      </c>
      <c r="I97" s="59">
        <v>1</v>
      </c>
      <c r="J97" s="61"/>
    </row>
    <row r="98" spans="1:10" s="25" customFormat="1" ht="27" customHeight="1">
      <c r="A98" s="65">
        <f t="shared" si="4"/>
        <v>96</v>
      </c>
      <c r="B98" s="76" t="str">
        <f t="shared" si="3"/>
        <v>reserved_byte96</v>
      </c>
      <c r="C98" s="59">
        <v>255</v>
      </c>
      <c r="D98" s="60">
        <v>255</v>
      </c>
      <c r="E98" s="59">
        <v>0</v>
      </c>
      <c r="F98" s="59">
        <v>255</v>
      </c>
      <c r="G98" s="76" t="s">
        <v>59</v>
      </c>
      <c r="H98" s="64" t="str">
        <f t="shared" si="5"/>
        <v>2061</v>
      </c>
      <c r="I98" s="59">
        <v>1</v>
      </c>
      <c r="J98" s="61"/>
    </row>
    <row r="99" spans="1:10" s="25" customFormat="1" ht="27" customHeight="1">
      <c r="A99" s="65">
        <f t="shared" si="4"/>
        <v>97</v>
      </c>
      <c r="B99" s="76" t="str">
        <f t="shared" si="3"/>
        <v>reserved_byte97</v>
      </c>
      <c r="C99" s="59">
        <v>255</v>
      </c>
      <c r="D99" s="60">
        <v>255</v>
      </c>
      <c r="E99" s="59">
        <v>0</v>
      </c>
      <c r="F99" s="59">
        <v>255</v>
      </c>
      <c r="G99" s="76" t="s">
        <v>59</v>
      </c>
      <c r="H99" s="64" t="str">
        <f t="shared" si="5"/>
        <v>2062</v>
      </c>
      <c r="I99" s="59">
        <v>1</v>
      </c>
      <c r="J99" s="61"/>
    </row>
    <row r="100" spans="1:10" s="25" customFormat="1" ht="27" customHeight="1">
      <c r="A100" s="65">
        <f t="shared" si="4"/>
        <v>98</v>
      </c>
      <c r="B100" s="76" t="str">
        <f t="shared" si="3"/>
        <v>reserved_byte98</v>
      </c>
      <c r="C100" s="59">
        <v>255</v>
      </c>
      <c r="D100" s="60">
        <v>255</v>
      </c>
      <c r="E100" s="59">
        <v>0</v>
      </c>
      <c r="F100" s="59">
        <v>255</v>
      </c>
      <c r="G100" s="76" t="s">
        <v>59</v>
      </c>
      <c r="H100" s="64" t="str">
        <f t="shared" si="5"/>
        <v>2063</v>
      </c>
      <c r="I100" s="59">
        <v>1</v>
      </c>
      <c r="J100" s="61"/>
    </row>
    <row r="101" spans="1:10" s="25" customFormat="1" ht="27" customHeight="1">
      <c r="A101" s="65">
        <f t="shared" si="4"/>
        <v>99</v>
      </c>
      <c r="B101" s="76" t="str">
        <f t="shared" si="3"/>
        <v>reserved_byte99</v>
      </c>
      <c r="C101" s="59">
        <v>255</v>
      </c>
      <c r="D101" s="60">
        <v>255</v>
      </c>
      <c r="E101" s="59">
        <v>0</v>
      </c>
      <c r="F101" s="59">
        <v>255</v>
      </c>
      <c r="G101" s="76" t="s">
        <v>59</v>
      </c>
      <c r="H101" s="64" t="str">
        <f t="shared" si="5"/>
        <v>2064</v>
      </c>
      <c r="I101" s="59">
        <v>1</v>
      </c>
      <c r="J101" s="61"/>
    </row>
    <row r="102" spans="1:10" s="25" customFormat="1" ht="27" customHeight="1">
      <c r="A102" s="65">
        <f t="shared" si="4"/>
        <v>100</v>
      </c>
      <c r="B102" s="76" t="str">
        <f t="shared" si="3"/>
        <v>reserved_byte100</v>
      </c>
      <c r="C102" s="59">
        <v>255</v>
      </c>
      <c r="D102" s="60">
        <v>255</v>
      </c>
      <c r="E102" s="59">
        <v>0</v>
      </c>
      <c r="F102" s="59">
        <v>255</v>
      </c>
      <c r="G102" s="76" t="s">
        <v>59</v>
      </c>
      <c r="H102" s="64" t="str">
        <f t="shared" si="5"/>
        <v>2065</v>
      </c>
      <c r="I102" s="59">
        <v>1</v>
      </c>
      <c r="J102" s="61"/>
    </row>
    <row r="103" spans="1:10" s="25" customFormat="1" ht="27" customHeight="1">
      <c r="A103" s="65">
        <f t="shared" si="4"/>
        <v>101</v>
      </c>
      <c r="B103" s="76" t="str">
        <f t="shared" si="3"/>
        <v>reserved_byte101</v>
      </c>
      <c r="C103" s="59">
        <v>255</v>
      </c>
      <c r="D103" s="60">
        <v>255</v>
      </c>
      <c r="E103" s="59">
        <v>0</v>
      </c>
      <c r="F103" s="59">
        <v>255</v>
      </c>
      <c r="G103" s="76" t="s">
        <v>59</v>
      </c>
      <c r="H103" s="64" t="str">
        <f t="shared" si="5"/>
        <v>2066</v>
      </c>
      <c r="I103" s="59">
        <v>1</v>
      </c>
      <c r="J103" s="61"/>
    </row>
    <row r="104" spans="1:10" s="25" customFormat="1" ht="27" customHeight="1">
      <c r="A104" s="65">
        <f t="shared" si="4"/>
        <v>102</v>
      </c>
      <c r="B104" s="76" t="str">
        <f t="shared" si="3"/>
        <v>reserved_byte102</v>
      </c>
      <c r="C104" s="59">
        <v>255</v>
      </c>
      <c r="D104" s="60">
        <v>255</v>
      </c>
      <c r="E104" s="59">
        <v>0</v>
      </c>
      <c r="F104" s="59">
        <v>255</v>
      </c>
      <c r="G104" s="76" t="s">
        <v>59</v>
      </c>
      <c r="H104" s="64" t="str">
        <f t="shared" si="5"/>
        <v>2067</v>
      </c>
      <c r="I104" s="59">
        <v>1</v>
      </c>
      <c r="J104" s="61"/>
    </row>
    <row r="105" spans="1:10" s="25" customFormat="1" ht="27" customHeight="1">
      <c r="A105" s="65">
        <f t="shared" si="4"/>
        <v>103</v>
      </c>
      <c r="B105" s="76" t="str">
        <f t="shared" si="3"/>
        <v>reserved_byte103</v>
      </c>
      <c r="C105" s="59">
        <v>255</v>
      </c>
      <c r="D105" s="60">
        <v>255</v>
      </c>
      <c r="E105" s="59">
        <v>0</v>
      </c>
      <c r="F105" s="59">
        <v>255</v>
      </c>
      <c r="G105" s="76" t="s">
        <v>59</v>
      </c>
      <c r="H105" s="64" t="str">
        <f t="shared" si="5"/>
        <v>2068</v>
      </c>
      <c r="I105" s="59">
        <v>1</v>
      </c>
      <c r="J105" s="61"/>
    </row>
    <row r="106" spans="1:10" s="25" customFormat="1" ht="27" customHeight="1">
      <c r="A106" s="65">
        <f t="shared" si="4"/>
        <v>104</v>
      </c>
      <c r="B106" s="76" t="str">
        <f t="shared" si="3"/>
        <v>reserved_byte104</v>
      </c>
      <c r="C106" s="59">
        <v>255</v>
      </c>
      <c r="D106" s="60">
        <v>255</v>
      </c>
      <c r="E106" s="59">
        <v>0</v>
      </c>
      <c r="F106" s="59">
        <v>255</v>
      </c>
      <c r="G106" s="76" t="s">
        <v>59</v>
      </c>
      <c r="H106" s="64" t="str">
        <f t="shared" si="5"/>
        <v>2069</v>
      </c>
      <c r="I106" s="59">
        <v>1</v>
      </c>
      <c r="J106" s="61"/>
    </row>
    <row r="107" spans="1:10" s="25" customFormat="1" ht="27" customHeight="1">
      <c r="A107" s="65">
        <f t="shared" si="4"/>
        <v>105</v>
      </c>
      <c r="B107" s="76" t="str">
        <f t="shared" si="3"/>
        <v>reserved_byte105</v>
      </c>
      <c r="C107" s="59">
        <v>255</v>
      </c>
      <c r="D107" s="60">
        <v>255</v>
      </c>
      <c r="E107" s="59">
        <v>0</v>
      </c>
      <c r="F107" s="59">
        <v>255</v>
      </c>
      <c r="G107" s="76" t="s">
        <v>59</v>
      </c>
      <c r="H107" s="64" t="str">
        <f t="shared" si="5"/>
        <v>206A</v>
      </c>
      <c r="I107" s="59">
        <v>1</v>
      </c>
      <c r="J107" s="61"/>
    </row>
    <row r="108" spans="1:10" s="25" customFormat="1" ht="27" customHeight="1">
      <c r="A108" s="65">
        <f t="shared" si="4"/>
        <v>106</v>
      </c>
      <c r="B108" s="76" t="str">
        <f t="shared" si="3"/>
        <v>reserved_byte106</v>
      </c>
      <c r="C108" s="59">
        <v>255</v>
      </c>
      <c r="D108" s="60">
        <v>255</v>
      </c>
      <c r="E108" s="59">
        <v>0</v>
      </c>
      <c r="F108" s="59">
        <v>255</v>
      </c>
      <c r="G108" s="76" t="s">
        <v>59</v>
      </c>
      <c r="H108" s="64" t="str">
        <f t="shared" si="5"/>
        <v>206B</v>
      </c>
      <c r="I108" s="59">
        <v>1</v>
      </c>
      <c r="J108" s="61"/>
    </row>
    <row r="109" spans="1:10" s="25" customFormat="1" ht="27" customHeight="1">
      <c r="A109" s="65">
        <f t="shared" si="4"/>
        <v>107</v>
      </c>
      <c r="B109" s="76" t="str">
        <f t="shared" si="3"/>
        <v>reserved_byte107</v>
      </c>
      <c r="C109" s="59">
        <v>255</v>
      </c>
      <c r="D109" s="60">
        <v>255</v>
      </c>
      <c r="E109" s="59">
        <v>0</v>
      </c>
      <c r="F109" s="59">
        <v>255</v>
      </c>
      <c r="G109" s="76" t="s">
        <v>59</v>
      </c>
      <c r="H109" s="64" t="str">
        <f t="shared" si="5"/>
        <v>206C</v>
      </c>
      <c r="I109" s="59">
        <v>1</v>
      </c>
      <c r="J109" s="61"/>
    </row>
    <row r="110" spans="1:10" s="25" customFormat="1" ht="27" customHeight="1">
      <c r="A110" s="65">
        <f t="shared" si="4"/>
        <v>108</v>
      </c>
      <c r="B110" s="76" t="str">
        <f t="shared" si="3"/>
        <v>reserved_byte108</v>
      </c>
      <c r="C110" s="59">
        <v>255</v>
      </c>
      <c r="D110" s="60">
        <v>255</v>
      </c>
      <c r="E110" s="59">
        <v>0</v>
      </c>
      <c r="F110" s="59">
        <v>255</v>
      </c>
      <c r="G110" s="76" t="s">
        <v>59</v>
      </c>
      <c r="H110" s="64" t="str">
        <f t="shared" si="5"/>
        <v>206D</v>
      </c>
      <c r="I110" s="59">
        <v>1</v>
      </c>
      <c r="J110" s="61"/>
    </row>
    <row r="111" spans="1:10" s="25" customFormat="1" ht="27" customHeight="1">
      <c r="A111" s="65">
        <f t="shared" si="4"/>
        <v>109</v>
      </c>
      <c r="B111" s="76" t="str">
        <f t="shared" si="3"/>
        <v>reserved_byte109</v>
      </c>
      <c r="C111" s="59">
        <v>255</v>
      </c>
      <c r="D111" s="60">
        <v>255</v>
      </c>
      <c r="E111" s="59">
        <v>0</v>
      </c>
      <c r="F111" s="59">
        <v>255</v>
      </c>
      <c r="G111" s="76" t="s">
        <v>59</v>
      </c>
      <c r="H111" s="64" t="str">
        <f t="shared" si="5"/>
        <v>206E</v>
      </c>
      <c r="I111" s="59">
        <v>1</v>
      </c>
      <c r="J111" s="61"/>
    </row>
    <row r="112" spans="1:10" s="25" customFormat="1" ht="27" customHeight="1">
      <c r="A112" s="65">
        <f t="shared" si="4"/>
        <v>110</v>
      </c>
      <c r="B112" s="76" t="str">
        <f t="shared" si="3"/>
        <v>reserved_byte110</v>
      </c>
      <c r="C112" s="59">
        <v>255</v>
      </c>
      <c r="D112" s="60">
        <v>255</v>
      </c>
      <c r="E112" s="59">
        <v>0</v>
      </c>
      <c r="F112" s="59">
        <v>255</v>
      </c>
      <c r="G112" s="76" t="s">
        <v>59</v>
      </c>
      <c r="H112" s="64" t="str">
        <f t="shared" si="5"/>
        <v>206F</v>
      </c>
      <c r="I112" s="59">
        <v>1</v>
      </c>
      <c r="J112" s="61"/>
    </row>
    <row r="113" spans="1:10" s="25" customFormat="1" ht="27" customHeight="1">
      <c r="A113" s="65">
        <f t="shared" si="4"/>
        <v>111</v>
      </c>
      <c r="B113" s="76" t="str">
        <f t="shared" si="3"/>
        <v>reserved_byte111</v>
      </c>
      <c r="C113" s="59">
        <v>255</v>
      </c>
      <c r="D113" s="60">
        <v>255</v>
      </c>
      <c r="E113" s="59">
        <v>0</v>
      </c>
      <c r="F113" s="59">
        <v>255</v>
      </c>
      <c r="G113" s="76" t="s">
        <v>59</v>
      </c>
      <c r="H113" s="64" t="str">
        <f t="shared" si="5"/>
        <v>2070</v>
      </c>
      <c r="I113" s="59">
        <v>1</v>
      </c>
      <c r="J113" s="61"/>
    </row>
    <row r="114" spans="1:10" s="25" customFormat="1" ht="27" customHeight="1">
      <c r="A114" s="65">
        <f t="shared" si="4"/>
        <v>112</v>
      </c>
      <c r="B114" s="76" t="str">
        <f t="shared" si="3"/>
        <v>reserved_byte112</v>
      </c>
      <c r="C114" s="59">
        <v>255</v>
      </c>
      <c r="D114" s="60">
        <v>255</v>
      </c>
      <c r="E114" s="59">
        <v>0</v>
      </c>
      <c r="F114" s="59">
        <v>255</v>
      </c>
      <c r="G114" s="76" t="s">
        <v>59</v>
      </c>
      <c r="H114" s="64" t="str">
        <f t="shared" si="5"/>
        <v>2071</v>
      </c>
      <c r="I114" s="59">
        <v>1</v>
      </c>
      <c r="J114" s="61"/>
    </row>
    <row r="115" spans="1:10" s="25" customFormat="1" ht="27" customHeight="1">
      <c r="A115" s="65">
        <f t="shared" si="4"/>
        <v>113</v>
      </c>
      <c r="B115" s="76" t="str">
        <f t="shared" si="3"/>
        <v>reserved_byte113</v>
      </c>
      <c r="C115" s="59">
        <v>255</v>
      </c>
      <c r="D115" s="60">
        <v>255</v>
      </c>
      <c r="E115" s="59">
        <v>0</v>
      </c>
      <c r="F115" s="59">
        <v>255</v>
      </c>
      <c r="G115" s="76" t="s">
        <v>59</v>
      </c>
      <c r="H115" s="64" t="str">
        <f t="shared" si="5"/>
        <v>2072</v>
      </c>
      <c r="I115" s="59">
        <v>1</v>
      </c>
      <c r="J115" s="61"/>
    </row>
    <row r="116" spans="1:10" s="25" customFormat="1" ht="27" customHeight="1">
      <c r="A116" s="65">
        <f t="shared" si="4"/>
        <v>114</v>
      </c>
      <c r="B116" s="76" t="str">
        <f t="shared" si="3"/>
        <v>reserved_byte114</v>
      </c>
      <c r="C116" s="59">
        <v>255</v>
      </c>
      <c r="D116" s="60">
        <v>255</v>
      </c>
      <c r="E116" s="59">
        <v>0</v>
      </c>
      <c r="F116" s="59">
        <v>255</v>
      </c>
      <c r="G116" s="76" t="s">
        <v>59</v>
      </c>
      <c r="H116" s="64" t="str">
        <f t="shared" si="5"/>
        <v>2073</v>
      </c>
      <c r="I116" s="59">
        <v>1</v>
      </c>
      <c r="J116" s="61"/>
    </row>
    <row r="117" spans="1:10" s="25" customFormat="1" ht="27" customHeight="1">
      <c r="A117" s="65">
        <f t="shared" si="4"/>
        <v>115</v>
      </c>
      <c r="B117" s="76" t="str">
        <f t="shared" si="3"/>
        <v>reserved_byte115</v>
      </c>
      <c r="C117" s="59">
        <v>255</v>
      </c>
      <c r="D117" s="60">
        <v>255</v>
      </c>
      <c r="E117" s="59">
        <v>0</v>
      </c>
      <c r="F117" s="59">
        <v>255</v>
      </c>
      <c r="G117" s="76" t="s">
        <v>59</v>
      </c>
      <c r="H117" s="64" t="str">
        <f t="shared" si="5"/>
        <v>2074</v>
      </c>
      <c r="I117" s="59">
        <v>1</v>
      </c>
      <c r="J117" s="61"/>
    </row>
    <row r="118" spans="1:10" s="25" customFormat="1" ht="27" customHeight="1">
      <c r="A118" s="65">
        <f t="shared" si="4"/>
        <v>116</v>
      </c>
      <c r="B118" s="76" t="str">
        <f t="shared" si="3"/>
        <v>reserved_byte116</v>
      </c>
      <c r="C118" s="59">
        <v>255</v>
      </c>
      <c r="D118" s="60">
        <v>255</v>
      </c>
      <c r="E118" s="59">
        <v>0</v>
      </c>
      <c r="F118" s="59">
        <v>255</v>
      </c>
      <c r="G118" s="76" t="s">
        <v>59</v>
      </c>
      <c r="H118" s="64" t="str">
        <f t="shared" si="5"/>
        <v>2075</v>
      </c>
      <c r="I118" s="59">
        <v>1</v>
      </c>
      <c r="J118" s="61"/>
    </row>
    <row r="119" spans="1:10" s="25" customFormat="1" ht="27" customHeight="1">
      <c r="A119" s="65">
        <f t="shared" si="4"/>
        <v>117</v>
      </c>
      <c r="B119" s="76" t="str">
        <f t="shared" si="3"/>
        <v>reserved_byte117</v>
      </c>
      <c r="C119" s="59">
        <v>255</v>
      </c>
      <c r="D119" s="60">
        <v>255</v>
      </c>
      <c r="E119" s="59">
        <v>0</v>
      </c>
      <c r="F119" s="59">
        <v>255</v>
      </c>
      <c r="G119" s="76" t="s">
        <v>59</v>
      </c>
      <c r="H119" s="64" t="str">
        <f t="shared" si="5"/>
        <v>2076</v>
      </c>
      <c r="I119" s="59">
        <v>1</v>
      </c>
      <c r="J119" s="61"/>
    </row>
    <row r="120" spans="1:10" s="25" customFormat="1" ht="27" customHeight="1">
      <c r="A120" s="65">
        <f t="shared" si="4"/>
        <v>118</v>
      </c>
      <c r="B120" s="76" t="str">
        <f t="shared" si="3"/>
        <v>reserved_byte118</v>
      </c>
      <c r="C120" s="59">
        <v>255</v>
      </c>
      <c r="D120" s="60">
        <v>255</v>
      </c>
      <c r="E120" s="59">
        <v>0</v>
      </c>
      <c r="F120" s="59">
        <v>255</v>
      </c>
      <c r="G120" s="76" t="s">
        <v>59</v>
      </c>
      <c r="H120" s="64" t="str">
        <f t="shared" si="5"/>
        <v>2077</v>
      </c>
      <c r="I120" s="59">
        <v>1</v>
      </c>
      <c r="J120" s="61"/>
    </row>
    <row r="121" spans="1:10" s="25" customFormat="1" ht="27" customHeight="1">
      <c r="A121" s="65">
        <f t="shared" si="4"/>
        <v>119</v>
      </c>
      <c r="B121" s="76" t="str">
        <f t="shared" si="3"/>
        <v>reserved_byte119</v>
      </c>
      <c r="C121" s="59">
        <v>255</v>
      </c>
      <c r="D121" s="60">
        <v>255</v>
      </c>
      <c r="E121" s="59">
        <v>0</v>
      </c>
      <c r="F121" s="59">
        <v>255</v>
      </c>
      <c r="G121" s="76" t="s">
        <v>59</v>
      </c>
      <c r="H121" s="64" t="str">
        <f t="shared" si="5"/>
        <v>2078</v>
      </c>
      <c r="I121" s="59">
        <v>1</v>
      </c>
      <c r="J121" s="61"/>
    </row>
    <row r="122" spans="1:10" s="25" customFormat="1" ht="27" customHeight="1">
      <c r="A122" s="65">
        <f t="shared" si="4"/>
        <v>120</v>
      </c>
      <c r="B122" s="76" t="str">
        <f t="shared" si="3"/>
        <v>reserved_byte120</v>
      </c>
      <c r="C122" s="59">
        <v>255</v>
      </c>
      <c r="D122" s="60">
        <v>255</v>
      </c>
      <c r="E122" s="59">
        <v>0</v>
      </c>
      <c r="F122" s="59">
        <v>255</v>
      </c>
      <c r="G122" s="76" t="s">
        <v>59</v>
      </c>
      <c r="H122" s="64" t="str">
        <f t="shared" si="5"/>
        <v>2079</v>
      </c>
      <c r="I122" s="59">
        <v>1</v>
      </c>
      <c r="J122" s="61"/>
    </row>
    <row r="123" spans="1:10" s="25" customFormat="1" ht="27" customHeight="1">
      <c r="A123" s="65">
        <f t="shared" si="4"/>
        <v>121</v>
      </c>
      <c r="B123" s="76" t="str">
        <f t="shared" si="3"/>
        <v>reserved_byte121</v>
      </c>
      <c r="C123" s="59">
        <v>255</v>
      </c>
      <c r="D123" s="60">
        <v>255</v>
      </c>
      <c r="E123" s="59">
        <v>0</v>
      </c>
      <c r="F123" s="59">
        <v>255</v>
      </c>
      <c r="G123" s="76" t="s">
        <v>59</v>
      </c>
      <c r="H123" s="64" t="str">
        <f t="shared" si="5"/>
        <v>207A</v>
      </c>
      <c r="I123" s="59">
        <v>1</v>
      </c>
      <c r="J123" s="61"/>
    </row>
    <row r="124" spans="1:10" s="25" customFormat="1" ht="27" customHeight="1">
      <c r="A124" s="65">
        <f t="shared" si="4"/>
        <v>122</v>
      </c>
      <c r="B124" s="76" t="str">
        <f t="shared" si="3"/>
        <v>reserved_byte122</v>
      </c>
      <c r="C124" s="59">
        <v>255</v>
      </c>
      <c r="D124" s="60">
        <v>255</v>
      </c>
      <c r="E124" s="59">
        <v>0</v>
      </c>
      <c r="F124" s="59">
        <v>255</v>
      </c>
      <c r="G124" s="76" t="s">
        <v>59</v>
      </c>
      <c r="H124" s="64" t="str">
        <f t="shared" si="5"/>
        <v>207B</v>
      </c>
      <c r="I124" s="59">
        <v>1</v>
      </c>
      <c r="J124" s="61"/>
    </row>
    <row r="125" spans="1:10" s="25" customFormat="1" ht="27" customHeight="1">
      <c r="A125" s="65">
        <f t="shared" si="4"/>
        <v>123</v>
      </c>
      <c r="B125" s="76" t="str">
        <f t="shared" si="3"/>
        <v>reserved_byte123</v>
      </c>
      <c r="C125" s="59">
        <v>255</v>
      </c>
      <c r="D125" s="60">
        <v>255</v>
      </c>
      <c r="E125" s="59">
        <v>0</v>
      </c>
      <c r="F125" s="59">
        <v>255</v>
      </c>
      <c r="G125" s="76" t="s">
        <v>59</v>
      </c>
      <c r="H125" s="64" t="str">
        <f t="shared" si="5"/>
        <v>207C</v>
      </c>
      <c r="I125" s="59">
        <v>1</v>
      </c>
      <c r="J125" s="61"/>
    </row>
    <row r="126" spans="1:10" s="25" customFormat="1" ht="27" customHeight="1">
      <c r="A126" s="65">
        <f t="shared" si="4"/>
        <v>124</v>
      </c>
      <c r="B126" s="76" t="str">
        <f t="shared" si="3"/>
        <v>reserved_byte124</v>
      </c>
      <c r="C126" s="59">
        <v>255</v>
      </c>
      <c r="D126" s="60">
        <v>255</v>
      </c>
      <c r="E126" s="59">
        <v>0</v>
      </c>
      <c r="F126" s="59">
        <v>255</v>
      </c>
      <c r="G126" s="76" t="s">
        <v>59</v>
      </c>
      <c r="H126" s="64" t="str">
        <f t="shared" si="5"/>
        <v>207D</v>
      </c>
      <c r="I126" s="59">
        <v>1</v>
      </c>
      <c r="J126" s="61"/>
    </row>
    <row r="127" spans="1:10" s="25" customFormat="1" ht="27" customHeight="1">
      <c r="A127" s="65">
        <f t="shared" si="4"/>
        <v>125</v>
      </c>
      <c r="B127" s="76" t="str">
        <f t="shared" si="3"/>
        <v>reserved_byte125</v>
      </c>
      <c r="C127" s="59">
        <v>255</v>
      </c>
      <c r="D127" s="60">
        <v>255</v>
      </c>
      <c r="E127" s="59">
        <v>0</v>
      </c>
      <c r="F127" s="59">
        <v>255</v>
      </c>
      <c r="G127" s="76" t="s">
        <v>59</v>
      </c>
      <c r="H127" s="64" t="str">
        <f t="shared" si="5"/>
        <v>207E</v>
      </c>
      <c r="I127" s="59">
        <v>1</v>
      </c>
      <c r="J127" s="61"/>
    </row>
    <row r="128" spans="1:10" s="25" customFormat="1" ht="27" customHeight="1">
      <c r="A128" s="65">
        <f t="shared" si="4"/>
        <v>126</v>
      </c>
      <c r="B128" s="76" t="str">
        <f t="shared" si="3"/>
        <v>reserved_byte126</v>
      </c>
      <c r="C128" s="59">
        <v>255</v>
      </c>
      <c r="D128" s="60">
        <v>255</v>
      </c>
      <c r="E128" s="59">
        <v>0</v>
      </c>
      <c r="F128" s="59">
        <v>255</v>
      </c>
      <c r="G128" s="76" t="s">
        <v>59</v>
      </c>
      <c r="H128" s="64" t="str">
        <f t="shared" si="5"/>
        <v>207F</v>
      </c>
      <c r="I128" s="59">
        <v>1</v>
      </c>
      <c r="J128" s="61"/>
    </row>
    <row r="129" spans="1:10" s="25" customFormat="1" ht="27" customHeight="1">
      <c r="A129" s="65">
        <f t="shared" si="4"/>
        <v>127</v>
      </c>
      <c r="B129" s="76" t="str">
        <f t="shared" si="3"/>
        <v>reserved_byte127</v>
      </c>
      <c r="C129" s="59">
        <v>255</v>
      </c>
      <c r="D129" s="60">
        <v>255</v>
      </c>
      <c r="E129" s="59">
        <v>0</v>
      </c>
      <c r="F129" s="59">
        <v>255</v>
      </c>
      <c r="G129" s="76" t="s">
        <v>59</v>
      </c>
      <c r="H129" s="64" t="str">
        <f t="shared" si="5"/>
        <v>2080</v>
      </c>
      <c r="I129" s="59">
        <v>1</v>
      </c>
      <c r="J129" s="61"/>
    </row>
    <row r="130" spans="1:10" s="25" customFormat="1" ht="27" customHeight="1">
      <c r="A130" s="65">
        <f t="shared" si="4"/>
        <v>128</v>
      </c>
      <c r="B130" s="76" t="str">
        <f t="shared" ref="B130:B193" si="6">"reserved_byte" &amp;TEXT(A130,0)</f>
        <v>reserved_byte128</v>
      </c>
      <c r="C130" s="59">
        <v>255</v>
      </c>
      <c r="D130" s="60">
        <v>255</v>
      </c>
      <c r="E130" s="59">
        <v>0</v>
      </c>
      <c r="F130" s="59">
        <v>255</v>
      </c>
      <c r="G130" s="76" t="s">
        <v>59</v>
      </c>
      <c r="H130" s="64" t="str">
        <f t="shared" si="5"/>
        <v>2081</v>
      </c>
      <c r="I130" s="59">
        <v>1</v>
      </c>
      <c r="J130" s="61"/>
    </row>
    <row r="131" spans="1:10" s="25" customFormat="1" ht="27" customHeight="1">
      <c r="A131" s="65">
        <f t="shared" ref="A131:A194" si="7">A130+1</f>
        <v>129</v>
      </c>
      <c r="B131" s="76" t="str">
        <f t="shared" si="6"/>
        <v>reserved_byte129</v>
      </c>
      <c r="C131" s="59">
        <v>255</v>
      </c>
      <c r="D131" s="60">
        <v>255</v>
      </c>
      <c r="E131" s="59">
        <v>0</v>
      </c>
      <c r="F131" s="59">
        <v>255</v>
      </c>
      <c r="G131" s="76" t="s">
        <v>59</v>
      </c>
      <c r="H131" s="64" t="str">
        <f t="shared" ref="H131:H194" si="8">DEC2HEX((HEX2DEC(H130)+1),4)</f>
        <v>2082</v>
      </c>
      <c r="I131" s="59">
        <v>1</v>
      </c>
      <c r="J131" s="61"/>
    </row>
    <row r="132" spans="1:10" s="25" customFormat="1" ht="27" customHeight="1">
      <c r="A132" s="65">
        <f t="shared" si="7"/>
        <v>130</v>
      </c>
      <c r="B132" s="76" t="str">
        <f t="shared" si="6"/>
        <v>reserved_byte130</v>
      </c>
      <c r="C132" s="59">
        <v>255</v>
      </c>
      <c r="D132" s="60">
        <v>255</v>
      </c>
      <c r="E132" s="59">
        <v>0</v>
      </c>
      <c r="F132" s="59">
        <v>255</v>
      </c>
      <c r="G132" s="76" t="s">
        <v>59</v>
      </c>
      <c r="H132" s="64" t="str">
        <f t="shared" si="8"/>
        <v>2083</v>
      </c>
      <c r="I132" s="59">
        <v>1</v>
      </c>
      <c r="J132" s="61"/>
    </row>
    <row r="133" spans="1:10" s="25" customFormat="1" ht="27" customHeight="1">
      <c r="A133" s="65">
        <f t="shared" si="7"/>
        <v>131</v>
      </c>
      <c r="B133" s="76" t="str">
        <f t="shared" si="6"/>
        <v>reserved_byte131</v>
      </c>
      <c r="C133" s="59">
        <v>255</v>
      </c>
      <c r="D133" s="60">
        <v>255</v>
      </c>
      <c r="E133" s="59">
        <v>0</v>
      </c>
      <c r="F133" s="59">
        <v>255</v>
      </c>
      <c r="G133" s="76" t="s">
        <v>59</v>
      </c>
      <c r="H133" s="64" t="str">
        <f t="shared" si="8"/>
        <v>2084</v>
      </c>
      <c r="I133" s="59">
        <v>1</v>
      </c>
      <c r="J133" s="61"/>
    </row>
    <row r="134" spans="1:10" s="25" customFormat="1" ht="27" customHeight="1">
      <c r="A134" s="65">
        <f t="shared" si="7"/>
        <v>132</v>
      </c>
      <c r="B134" s="76" t="str">
        <f t="shared" si="6"/>
        <v>reserved_byte132</v>
      </c>
      <c r="C134" s="59">
        <v>255</v>
      </c>
      <c r="D134" s="60">
        <v>255</v>
      </c>
      <c r="E134" s="59">
        <v>0</v>
      </c>
      <c r="F134" s="59">
        <v>255</v>
      </c>
      <c r="G134" s="76" t="s">
        <v>59</v>
      </c>
      <c r="H134" s="64" t="str">
        <f t="shared" si="8"/>
        <v>2085</v>
      </c>
      <c r="I134" s="59">
        <v>1</v>
      </c>
      <c r="J134" s="61"/>
    </row>
    <row r="135" spans="1:10" s="25" customFormat="1" ht="27" customHeight="1">
      <c r="A135" s="65">
        <f t="shared" si="7"/>
        <v>133</v>
      </c>
      <c r="B135" s="76" t="str">
        <f t="shared" si="6"/>
        <v>reserved_byte133</v>
      </c>
      <c r="C135" s="59">
        <v>255</v>
      </c>
      <c r="D135" s="60">
        <v>255</v>
      </c>
      <c r="E135" s="59">
        <v>0</v>
      </c>
      <c r="F135" s="59">
        <v>255</v>
      </c>
      <c r="G135" s="76" t="s">
        <v>59</v>
      </c>
      <c r="H135" s="64" t="str">
        <f t="shared" si="8"/>
        <v>2086</v>
      </c>
      <c r="I135" s="59">
        <v>1</v>
      </c>
      <c r="J135" s="61"/>
    </row>
    <row r="136" spans="1:10" s="25" customFormat="1" ht="27" customHeight="1">
      <c r="A136" s="65">
        <f t="shared" si="7"/>
        <v>134</v>
      </c>
      <c r="B136" s="76" t="str">
        <f t="shared" si="6"/>
        <v>reserved_byte134</v>
      </c>
      <c r="C136" s="59">
        <v>255</v>
      </c>
      <c r="D136" s="60">
        <v>255</v>
      </c>
      <c r="E136" s="59">
        <v>0</v>
      </c>
      <c r="F136" s="59">
        <v>255</v>
      </c>
      <c r="G136" s="76" t="s">
        <v>59</v>
      </c>
      <c r="H136" s="64" t="str">
        <f t="shared" si="8"/>
        <v>2087</v>
      </c>
      <c r="I136" s="59">
        <v>1</v>
      </c>
      <c r="J136" s="61"/>
    </row>
    <row r="137" spans="1:10" s="25" customFormat="1" ht="27" customHeight="1">
      <c r="A137" s="65">
        <f t="shared" si="7"/>
        <v>135</v>
      </c>
      <c r="B137" s="76" t="str">
        <f t="shared" si="6"/>
        <v>reserved_byte135</v>
      </c>
      <c r="C137" s="59">
        <v>255</v>
      </c>
      <c r="D137" s="60">
        <v>255</v>
      </c>
      <c r="E137" s="59">
        <v>0</v>
      </c>
      <c r="F137" s="59">
        <v>255</v>
      </c>
      <c r="G137" s="76" t="s">
        <v>59</v>
      </c>
      <c r="H137" s="64" t="str">
        <f t="shared" si="8"/>
        <v>2088</v>
      </c>
      <c r="I137" s="59">
        <v>1</v>
      </c>
      <c r="J137" s="61"/>
    </row>
    <row r="138" spans="1:10" s="25" customFormat="1" ht="27" customHeight="1">
      <c r="A138" s="65">
        <f t="shared" si="7"/>
        <v>136</v>
      </c>
      <c r="B138" s="76" t="str">
        <f t="shared" si="6"/>
        <v>reserved_byte136</v>
      </c>
      <c r="C138" s="59">
        <v>255</v>
      </c>
      <c r="D138" s="60">
        <v>255</v>
      </c>
      <c r="E138" s="59">
        <v>0</v>
      </c>
      <c r="F138" s="59">
        <v>255</v>
      </c>
      <c r="G138" s="76" t="s">
        <v>59</v>
      </c>
      <c r="H138" s="64" t="str">
        <f t="shared" si="8"/>
        <v>2089</v>
      </c>
      <c r="I138" s="59">
        <v>1</v>
      </c>
      <c r="J138" s="61"/>
    </row>
    <row r="139" spans="1:10" s="25" customFormat="1" ht="27" customHeight="1">
      <c r="A139" s="65">
        <f t="shared" si="7"/>
        <v>137</v>
      </c>
      <c r="B139" s="76" t="str">
        <f t="shared" si="6"/>
        <v>reserved_byte137</v>
      </c>
      <c r="C139" s="59">
        <v>255</v>
      </c>
      <c r="D139" s="60">
        <v>255</v>
      </c>
      <c r="E139" s="59">
        <v>0</v>
      </c>
      <c r="F139" s="59">
        <v>255</v>
      </c>
      <c r="G139" s="76" t="s">
        <v>59</v>
      </c>
      <c r="H139" s="64" t="str">
        <f t="shared" si="8"/>
        <v>208A</v>
      </c>
      <c r="I139" s="59">
        <v>1</v>
      </c>
      <c r="J139" s="61"/>
    </row>
    <row r="140" spans="1:10" s="25" customFormat="1" ht="27" customHeight="1">
      <c r="A140" s="65">
        <f t="shared" si="7"/>
        <v>138</v>
      </c>
      <c r="B140" s="76" t="str">
        <f t="shared" si="6"/>
        <v>reserved_byte138</v>
      </c>
      <c r="C140" s="59">
        <v>255</v>
      </c>
      <c r="D140" s="60">
        <v>255</v>
      </c>
      <c r="E140" s="59">
        <v>0</v>
      </c>
      <c r="F140" s="59">
        <v>255</v>
      </c>
      <c r="G140" s="76" t="s">
        <v>59</v>
      </c>
      <c r="H140" s="64" t="str">
        <f t="shared" si="8"/>
        <v>208B</v>
      </c>
      <c r="I140" s="59">
        <v>1</v>
      </c>
      <c r="J140" s="61"/>
    </row>
    <row r="141" spans="1:10" s="25" customFormat="1" ht="27" customHeight="1">
      <c r="A141" s="65">
        <f t="shared" si="7"/>
        <v>139</v>
      </c>
      <c r="B141" s="76" t="str">
        <f t="shared" si="6"/>
        <v>reserved_byte139</v>
      </c>
      <c r="C141" s="59">
        <v>255</v>
      </c>
      <c r="D141" s="60">
        <v>255</v>
      </c>
      <c r="E141" s="59">
        <v>0</v>
      </c>
      <c r="F141" s="59">
        <v>255</v>
      </c>
      <c r="G141" s="76" t="s">
        <v>59</v>
      </c>
      <c r="H141" s="64" t="str">
        <f t="shared" si="8"/>
        <v>208C</v>
      </c>
      <c r="I141" s="59">
        <v>1</v>
      </c>
      <c r="J141" s="61"/>
    </row>
    <row r="142" spans="1:10" s="25" customFormat="1" ht="27" customHeight="1">
      <c r="A142" s="65">
        <f t="shared" si="7"/>
        <v>140</v>
      </c>
      <c r="B142" s="76" t="str">
        <f t="shared" si="6"/>
        <v>reserved_byte140</v>
      </c>
      <c r="C142" s="59">
        <v>255</v>
      </c>
      <c r="D142" s="60">
        <v>255</v>
      </c>
      <c r="E142" s="59">
        <v>0</v>
      </c>
      <c r="F142" s="59">
        <v>255</v>
      </c>
      <c r="G142" s="76" t="s">
        <v>59</v>
      </c>
      <c r="H142" s="64" t="str">
        <f t="shared" si="8"/>
        <v>208D</v>
      </c>
      <c r="I142" s="59">
        <v>1</v>
      </c>
      <c r="J142" s="61"/>
    </row>
    <row r="143" spans="1:10" s="25" customFormat="1" ht="27" customHeight="1">
      <c r="A143" s="65">
        <f t="shared" si="7"/>
        <v>141</v>
      </c>
      <c r="B143" s="76" t="str">
        <f t="shared" si="6"/>
        <v>reserved_byte141</v>
      </c>
      <c r="C143" s="59">
        <v>255</v>
      </c>
      <c r="D143" s="60">
        <v>255</v>
      </c>
      <c r="E143" s="59">
        <v>0</v>
      </c>
      <c r="F143" s="59">
        <v>255</v>
      </c>
      <c r="G143" s="76" t="s">
        <v>59</v>
      </c>
      <c r="H143" s="64" t="str">
        <f t="shared" si="8"/>
        <v>208E</v>
      </c>
      <c r="I143" s="59">
        <v>1</v>
      </c>
      <c r="J143" s="61"/>
    </row>
    <row r="144" spans="1:10" s="25" customFormat="1" ht="27" customHeight="1">
      <c r="A144" s="65">
        <f t="shared" si="7"/>
        <v>142</v>
      </c>
      <c r="B144" s="76" t="str">
        <f t="shared" si="6"/>
        <v>reserved_byte142</v>
      </c>
      <c r="C144" s="59">
        <v>255</v>
      </c>
      <c r="D144" s="60">
        <v>255</v>
      </c>
      <c r="E144" s="59">
        <v>0</v>
      </c>
      <c r="F144" s="59">
        <v>255</v>
      </c>
      <c r="G144" s="76" t="s">
        <v>59</v>
      </c>
      <c r="H144" s="64" t="str">
        <f t="shared" si="8"/>
        <v>208F</v>
      </c>
      <c r="I144" s="59">
        <v>1</v>
      </c>
      <c r="J144" s="61"/>
    </row>
    <row r="145" spans="1:10" s="25" customFormat="1" ht="27" customHeight="1">
      <c r="A145" s="65">
        <f t="shared" si="7"/>
        <v>143</v>
      </c>
      <c r="B145" s="76" t="str">
        <f t="shared" si="6"/>
        <v>reserved_byte143</v>
      </c>
      <c r="C145" s="59">
        <v>255</v>
      </c>
      <c r="D145" s="60">
        <v>255</v>
      </c>
      <c r="E145" s="59">
        <v>0</v>
      </c>
      <c r="F145" s="59">
        <v>255</v>
      </c>
      <c r="G145" s="76" t="s">
        <v>59</v>
      </c>
      <c r="H145" s="64" t="str">
        <f t="shared" si="8"/>
        <v>2090</v>
      </c>
      <c r="I145" s="59">
        <v>1</v>
      </c>
      <c r="J145" s="61"/>
    </row>
    <row r="146" spans="1:10" s="25" customFormat="1" ht="27" customHeight="1">
      <c r="A146" s="65">
        <f t="shared" si="7"/>
        <v>144</v>
      </c>
      <c r="B146" s="76" t="str">
        <f t="shared" si="6"/>
        <v>reserved_byte144</v>
      </c>
      <c r="C146" s="59">
        <v>255</v>
      </c>
      <c r="D146" s="60">
        <v>255</v>
      </c>
      <c r="E146" s="59">
        <v>0</v>
      </c>
      <c r="F146" s="59">
        <v>255</v>
      </c>
      <c r="G146" s="76" t="s">
        <v>59</v>
      </c>
      <c r="H146" s="64" t="str">
        <f t="shared" si="8"/>
        <v>2091</v>
      </c>
      <c r="I146" s="59">
        <v>1</v>
      </c>
      <c r="J146" s="61"/>
    </row>
    <row r="147" spans="1:10" s="25" customFormat="1" ht="27" customHeight="1">
      <c r="A147" s="65">
        <f t="shared" si="7"/>
        <v>145</v>
      </c>
      <c r="B147" s="76" t="str">
        <f t="shared" si="6"/>
        <v>reserved_byte145</v>
      </c>
      <c r="C147" s="59">
        <v>255</v>
      </c>
      <c r="D147" s="60">
        <v>255</v>
      </c>
      <c r="E147" s="59">
        <v>0</v>
      </c>
      <c r="F147" s="59">
        <v>255</v>
      </c>
      <c r="G147" s="76" t="s">
        <v>59</v>
      </c>
      <c r="H147" s="64" t="str">
        <f t="shared" si="8"/>
        <v>2092</v>
      </c>
      <c r="I147" s="59">
        <v>1</v>
      </c>
      <c r="J147" s="61"/>
    </row>
    <row r="148" spans="1:10" s="25" customFormat="1" ht="27" customHeight="1">
      <c r="A148" s="65">
        <f t="shared" si="7"/>
        <v>146</v>
      </c>
      <c r="B148" s="76" t="str">
        <f t="shared" si="6"/>
        <v>reserved_byte146</v>
      </c>
      <c r="C148" s="59">
        <v>255</v>
      </c>
      <c r="D148" s="60">
        <v>255</v>
      </c>
      <c r="E148" s="59">
        <v>0</v>
      </c>
      <c r="F148" s="59">
        <v>255</v>
      </c>
      <c r="G148" s="76" t="s">
        <v>59</v>
      </c>
      <c r="H148" s="64" t="str">
        <f t="shared" si="8"/>
        <v>2093</v>
      </c>
      <c r="I148" s="59">
        <v>1</v>
      </c>
      <c r="J148" s="61"/>
    </row>
    <row r="149" spans="1:10" s="25" customFormat="1" ht="27" customHeight="1">
      <c r="A149" s="65">
        <f t="shared" si="7"/>
        <v>147</v>
      </c>
      <c r="B149" s="76" t="str">
        <f t="shared" si="6"/>
        <v>reserved_byte147</v>
      </c>
      <c r="C149" s="59">
        <v>255</v>
      </c>
      <c r="D149" s="60">
        <v>255</v>
      </c>
      <c r="E149" s="59">
        <v>0</v>
      </c>
      <c r="F149" s="59">
        <v>255</v>
      </c>
      <c r="G149" s="76" t="s">
        <v>59</v>
      </c>
      <c r="H149" s="64" t="str">
        <f t="shared" si="8"/>
        <v>2094</v>
      </c>
      <c r="I149" s="59">
        <v>1</v>
      </c>
      <c r="J149" s="61"/>
    </row>
    <row r="150" spans="1:10" s="25" customFormat="1" ht="27" customHeight="1">
      <c r="A150" s="65">
        <f t="shared" si="7"/>
        <v>148</v>
      </c>
      <c r="B150" s="76" t="str">
        <f t="shared" si="6"/>
        <v>reserved_byte148</v>
      </c>
      <c r="C150" s="59">
        <v>255</v>
      </c>
      <c r="D150" s="60">
        <v>255</v>
      </c>
      <c r="E150" s="59">
        <v>0</v>
      </c>
      <c r="F150" s="59">
        <v>255</v>
      </c>
      <c r="G150" s="76" t="s">
        <v>59</v>
      </c>
      <c r="H150" s="64" t="str">
        <f t="shared" si="8"/>
        <v>2095</v>
      </c>
      <c r="I150" s="59">
        <v>1</v>
      </c>
      <c r="J150" s="61"/>
    </row>
    <row r="151" spans="1:10" s="25" customFormat="1" ht="27" customHeight="1">
      <c r="A151" s="65">
        <f t="shared" si="7"/>
        <v>149</v>
      </c>
      <c r="B151" s="76" t="str">
        <f t="shared" si="6"/>
        <v>reserved_byte149</v>
      </c>
      <c r="C151" s="59">
        <v>255</v>
      </c>
      <c r="D151" s="60">
        <v>255</v>
      </c>
      <c r="E151" s="59">
        <v>0</v>
      </c>
      <c r="F151" s="59">
        <v>255</v>
      </c>
      <c r="G151" s="76" t="s">
        <v>59</v>
      </c>
      <c r="H151" s="64" t="str">
        <f t="shared" si="8"/>
        <v>2096</v>
      </c>
      <c r="I151" s="59">
        <v>1</v>
      </c>
      <c r="J151" s="61"/>
    </row>
    <row r="152" spans="1:10" s="25" customFormat="1" ht="27" customHeight="1">
      <c r="A152" s="65">
        <f t="shared" si="7"/>
        <v>150</v>
      </c>
      <c r="B152" s="76" t="str">
        <f t="shared" si="6"/>
        <v>reserved_byte150</v>
      </c>
      <c r="C152" s="59">
        <v>255</v>
      </c>
      <c r="D152" s="60">
        <v>255</v>
      </c>
      <c r="E152" s="59">
        <v>0</v>
      </c>
      <c r="F152" s="59">
        <v>255</v>
      </c>
      <c r="G152" s="76" t="s">
        <v>59</v>
      </c>
      <c r="H152" s="64" t="str">
        <f t="shared" si="8"/>
        <v>2097</v>
      </c>
      <c r="I152" s="59">
        <v>1</v>
      </c>
      <c r="J152" s="61"/>
    </row>
    <row r="153" spans="1:10" s="25" customFormat="1" ht="27" customHeight="1">
      <c r="A153" s="65">
        <f t="shared" si="7"/>
        <v>151</v>
      </c>
      <c r="B153" s="76" t="str">
        <f t="shared" si="6"/>
        <v>reserved_byte151</v>
      </c>
      <c r="C153" s="59">
        <v>255</v>
      </c>
      <c r="D153" s="60">
        <v>255</v>
      </c>
      <c r="E153" s="59">
        <v>0</v>
      </c>
      <c r="F153" s="59">
        <v>255</v>
      </c>
      <c r="G153" s="76" t="s">
        <v>59</v>
      </c>
      <c r="H153" s="64" t="str">
        <f t="shared" si="8"/>
        <v>2098</v>
      </c>
      <c r="I153" s="59">
        <v>1</v>
      </c>
      <c r="J153" s="61"/>
    </row>
    <row r="154" spans="1:10" s="25" customFormat="1" ht="27" customHeight="1">
      <c r="A154" s="65">
        <f t="shared" si="7"/>
        <v>152</v>
      </c>
      <c r="B154" s="76" t="str">
        <f t="shared" si="6"/>
        <v>reserved_byte152</v>
      </c>
      <c r="C154" s="59">
        <v>255</v>
      </c>
      <c r="D154" s="60">
        <v>255</v>
      </c>
      <c r="E154" s="59">
        <v>0</v>
      </c>
      <c r="F154" s="59">
        <v>255</v>
      </c>
      <c r="G154" s="76" t="s">
        <v>59</v>
      </c>
      <c r="H154" s="64" t="str">
        <f t="shared" si="8"/>
        <v>2099</v>
      </c>
      <c r="I154" s="59">
        <v>1</v>
      </c>
      <c r="J154" s="61"/>
    </row>
    <row r="155" spans="1:10" s="25" customFormat="1" ht="27" customHeight="1">
      <c r="A155" s="65">
        <f t="shared" si="7"/>
        <v>153</v>
      </c>
      <c r="B155" s="76" t="str">
        <f t="shared" si="6"/>
        <v>reserved_byte153</v>
      </c>
      <c r="C155" s="59">
        <v>255</v>
      </c>
      <c r="D155" s="60">
        <v>255</v>
      </c>
      <c r="E155" s="59">
        <v>0</v>
      </c>
      <c r="F155" s="59">
        <v>255</v>
      </c>
      <c r="G155" s="76" t="s">
        <v>59</v>
      </c>
      <c r="H155" s="64" t="str">
        <f t="shared" si="8"/>
        <v>209A</v>
      </c>
      <c r="I155" s="59">
        <v>1</v>
      </c>
      <c r="J155" s="61"/>
    </row>
    <row r="156" spans="1:10" s="25" customFormat="1" ht="27" customHeight="1">
      <c r="A156" s="65">
        <f t="shared" si="7"/>
        <v>154</v>
      </c>
      <c r="B156" s="76" t="str">
        <f t="shared" si="6"/>
        <v>reserved_byte154</v>
      </c>
      <c r="C156" s="59">
        <v>255</v>
      </c>
      <c r="D156" s="60">
        <v>255</v>
      </c>
      <c r="E156" s="59">
        <v>0</v>
      </c>
      <c r="F156" s="59">
        <v>255</v>
      </c>
      <c r="G156" s="76" t="s">
        <v>59</v>
      </c>
      <c r="H156" s="64" t="str">
        <f t="shared" si="8"/>
        <v>209B</v>
      </c>
      <c r="I156" s="59">
        <v>1</v>
      </c>
      <c r="J156" s="61"/>
    </row>
    <row r="157" spans="1:10" s="25" customFormat="1" ht="27" customHeight="1">
      <c r="A157" s="65">
        <f t="shared" si="7"/>
        <v>155</v>
      </c>
      <c r="B157" s="76" t="str">
        <f t="shared" si="6"/>
        <v>reserved_byte155</v>
      </c>
      <c r="C157" s="59">
        <v>255</v>
      </c>
      <c r="D157" s="60">
        <v>255</v>
      </c>
      <c r="E157" s="59">
        <v>0</v>
      </c>
      <c r="F157" s="59">
        <v>255</v>
      </c>
      <c r="G157" s="76" t="s">
        <v>59</v>
      </c>
      <c r="H157" s="64" t="str">
        <f t="shared" si="8"/>
        <v>209C</v>
      </c>
      <c r="I157" s="59">
        <v>1</v>
      </c>
      <c r="J157" s="61"/>
    </row>
    <row r="158" spans="1:10" s="25" customFormat="1" ht="27" customHeight="1">
      <c r="A158" s="65">
        <f t="shared" si="7"/>
        <v>156</v>
      </c>
      <c r="B158" s="76" t="str">
        <f t="shared" si="6"/>
        <v>reserved_byte156</v>
      </c>
      <c r="C158" s="59">
        <v>255</v>
      </c>
      <c r="D158" s="60">
        <v>255</v>
      </c>
      <c r="E158" s="59">
        <v>0</v>
      </c>
      <c r="F158" s="59">
        <v>255</v>
      </c>
      <c r="G158" s="76" t="s">
        <v>59</v>
      </c>
      <c r="H158" s="64" t="str">
        <f t="shared" si="8"/>
        <v>209D</v>
      </c>
      <c r="I158" s="59">
        <v>1</v>
      </c>
      <c r="J158" s="61"/>
    </row>
    <row r="159" spans="1:10" s="25" customFormat="1" ht="27" customHeight="1">
      <c r="A159" s="65">
        <f t="shared" si="7"/>
        <v>157</v>
      </c>
      <c r="B159" s="76" t="str">
        <f t="shared" si="6"/>
        <v>reserved_byte157</v>
      </c>
      <c r="C159" s="59">
        <v>255</v>
      </c>
      <c r="D159" s="60">
        <v>255</v>
      </c>
      <c r="E159" s="59">
        <v>0</v>
      </c>
      <c r="F159" s="59">
        <v>255</v>
      </c>
      <c r="G159" s="76" t="s">
        <v>59</v>
      </c>
      <c r="H159" s="64" t="str">
        <f t="shared" si="8"/>
        <v>209E</v>
      </c>
      <c r="I159" s="59">
        <v>1</v>
      </c>
      <c r="J159" s="61"/>
    </row>
    <row r="160" spans="1:10" s="25" customFormat="1" ht="27" customHeight="1">
      <c r="A160" s="65">
        <f t="shared" si="7"/>
        <v>158</v>
      </c>
      <c r="B160" s="76" t="str">
        <f t="shared" si="6"/>
        <v>reserved_byte158</v>
      </c>
      <c r="C160" s="59">
        <v>255</v>
      </c>
      <c r="D160" s="60">
        <v>255</v>
      </c>
      <c r="E160" s="59">
        <v>0</v>
      </c>
      <c r="F160" s="59">
        <v>255</v>
      </c>
      <c r="G160" s="76" t="s">
        <v>59</v>
      </c>
      <c r="H160" s="64" t="str">
        <f t="shared" si="8"/>
        <v>209F</v>
      </c>
      <c r="I160" s="59">
        <v>1</v>
      </c>
      <c r="J160" s="61"/>
    </row>
    <row r="161" spans="1:10" s="25" customFormat="1" ht="27" customHeight="1">
      <c r="A161" s="65">
        <f t="shared" si="7"/>
        <v>159</v>
      </c>
      <c r="B161" s="76" t="str">
        <f t="shared" si="6"/>
        <v>reserved_byte159</v>
      </c>
      <c r="C161" s="59">
        <v>255</v>
      </c>
      <c r="D161" s="60">
        <v>255</v>
      </c>
      <c r="E161" s="59">
        <v>0</v>
      </c>
      <c r="F161" s="59">
        <v>255</v>
      </c>
      <c r="G161" s="76" t="s">
        <v>59</v>
      </c>
      <c r="H161" s="64" t="str">
        <f t="shared" si="8"/>
        <v>20A0</v>
      </c>
      <c r="I161" s="59">
        <v>1</v>
      </c>
      <c r="J161" s="61"/>
    </row>
    <row r="162" spans="1:10" s="25" customFormat="1" ht="27" customHeight="1">
      <c r="A162" s="65">
        <f t="shared" si="7"/>
        <v>160</v>
      </c>
      <c r="B162" s="76" t="str">
        <f t="shared" si="6"/>
        <v>reserved_byte160</v>
      </c>
      <c r="C162" s="59">
        <v>255</v>
      </c>
      <c r="D162" s="60">
        <v>255</v>
      </c>
      <c r="E162" s="59">
        <v>0</v>
      </c>
      <c r="F162" s="59">
        <v>255</v>
      </c>
      <c r="G162" s="76" t="s">
        <v>59</v>
      </c>
      <c r="H162" s="64" t="str">
        <f t="shared" si="8"/>
        <v>20A1</v>
      </c>
      <c r="I162" s="59">
        <v>1</v>
      </c>
      <c r="J162" s="61"/>
    </row>
    <row r="163" spans="1:10" s="25" customFormat="1" ht="27" customHeight="1">
      <c r="A163" s="65">
        <f t="shared" si="7"/>
        <v>161</v>
      </c>
      <c r="B163" s="76" t="str">
        <f t="shared" si="6"/>
        <v>reserved_byte161</v>
      </c>
      <c r="C163" s="59">
        <v>255</v>
      </c>
      <c r="D163" s="60">
        <v>255</v>
      </c>
      <c r="E163" s="59">
        <v>0</v>
      </c>
      <c r="F163" s="59">
        <v>255</v>
      </c>
      <c r="G163" s="76" t="s">
        <v>59</v>
      </c>
      <c r="H163" s="64" t="str">
        <f t="shared" si="8"/>
        <v>20A2</v>
      </c>
      <c r="I163" s="59">
        <v>1</v>
      </c>
      <c r="J163" s="61"/>
    </row>
    <row r="164" spans="1:10" s="25" customFormat="1" ht="27" customHeight="1">
      <c r="A164" s="65">
        <f t="shared" si="7"/>
        <v>162</v>
      </c>
      <c r="B164" s="76" t="str">
        <f t="shared" si="6"/>
        <v>reserved_byte162</v>
      </c>
      <c r="C164" s="59">
        <v>255</v>
      </c>
      <c r="D164" s="60">
        <v>255</v>
      </c>
      <c r="E164" s="59">
        <v>0</v>
      </c>
      <c r="F164" s="59">
        <v>255</v>
      </c>
      <c r="G164" s="76" t="s">
        <v>59</v>
      </c>
      <c r="H164" s="64" t="str">
        <f t="shared" si="8"/>
        <v>20A3</v>
      </c>
      <c r="I164" s="59">
        <v>1</v>
      </c>
      <c r="J164" s="61"/>
    </row>
    <row r="165" spans="1:10" s="25" customFormat="1" ht="27" customHeight="1">
      <c r="A165" s="65">
        <f t="shared" si="7"/>
        <v>163</v>
      </c>
      <c r="B165" s="76" t="str">
        <f t="shared" si="6"/>
        <v>reserved_byte163</v>
      </c>
      <c r="C165" s="59">
        <v>255</v>
      </c>
      <c r="D165" s="60">
        <v>255</v>
      </c>
      <c r="E165" s="59">
        <v>0</v>
      </c>
      <c r="F165" s="59">
        <v>255</v>
      </c>
      <c r="G165" s="76" t="s">
        <v>59</v>
      </c>
      <c r="H165" s="64" t="str">
        <f t="shared" si="8"/>
        <v>20A4</v>
      </c>
      <c r="I165" s="59">
        <v>1</v>
      </c>
      <c r="J165" s="61"/>
    </row>
    <row r="166" spans="1:10" s="25" customFormat="1" ht="27" customHeight="1">
      <c r="A166" s="65">
        <f t="shared" si="7"/>
        <v>164</v>
      </c>
      <c r="B166" s="76" t="str">
        <f t="shared" si="6"/>
        <v>reserved_byte164</v>
      </c>
      <c r="C166" s="59">
        <v>255</v>
      </c>
      <c r="D166" s="60">
        <v>255</v>
      </c>
      <c r="E166" s="59">
        <v>0</v>
      </c>
      <c r="F166" s="59">
        <v>255</v>
      </c>
      <c r="G166" s="76" t="s">
        <v>59</v>
      </c>
      <c r="H166" s="64" t="str">
        <f t="shared" si="8"/>
        <v>20A5</v>
      </c>
      <c r="I166" s="59">
        <v>1</v>
      </c>
      <c r="J166" s="61"/>
    </row>
    <row r="167" spans="1:10" s="25" customFormat="1" ht="27" customHeight="1">
      <c r="A167" s="65">
        <f t="shared" si="7"/>
        <v>165</v>
      </c>
      <c r="B167" s="76" t="str">
        <f t="shared" si="6"/>
        <v>reserved_byte165</v>
      </c>
      <c r="C167" s="59">
        <v>255</v>
      </c>
      <c r="D167" s="60">
        <v>255</v>
      </c>
      <c r="E167" s="59">
        <v>0</v>
      </c>
      <c r="F167" s="59">
        <v>255</v>
      </c>
      <c r="G167" s="76" t="s">
        <v>59</v>
      </c>
      <c r="H167" s="64" t="str">
        <f t="shared" si="8"/>
        <v>20A6</v>
      </c>
      <c r="I167" s="59">
        <v>1</v>
      </c>
      <c r="J167" s="61"/>
    </row>
    <row r="168" spans="1:10" s="25" customFormat="1" ht="27" customHeight="1">
      <c r="A168" s="65">
        <f t="shared" si="7"/>
        <v>166</v>
      </c>
      <c r="B168" s="76" t="str">
        <f t="shared" si="6"/>
        <v>reserved_byte166</v>
      </c>
      <c r="C168" s="59">
        <v>255</v>
      </c>
      <c r="D168" s="60">
        <v>255</v>
      </c>
      <c r="E168" s="59">
        <v>0</v>
      </c>
      <c r="F168" s="59">
        <v>255</v>
      </c>
      <c r="G168" s="76" t="s">
        <v>59</v>
      </c>
      <c r="H168" s="64" t="str">
        <f t="shared" si="8"/>
        <v>20A7</v>
      </c>
      <c r="I168" s="59">
        <v>1</v>
      </c>
      <c r="J168" s="61"/>
    </row>
    <row r="169" spans="1:10" s="25" customFormat="1" ht="27" customHeight="1">
      <c r="A169" s="65">
        <f t="shared" si="7"/>
        <v>167</v>
      </c>
      <c r="B169" s="76" t="str">
        <f t="shared" si="6"/>
        <v>reserved_byte167</v>
      </c>
      <c r="C169" s="59">
        <v>255</v>
      </c>
      <c r="D169" s="60">
        <v>255</v>
      </c>
      <c r="E169" s="59">
        <v>0</v>
      </c>
      <c r="F169" s="59">
        <v>255</v>
      </c>
      <c r="G169" s="76" t="s">
        <v>59</v>
      </c>
      <c r="H169" s="64" t="str">
        <f t="shared" si="8"/>
        <v>20A8</v>
      </c>
      <c r="I169" s="59">
        <v>1</v>
      </c>
      <c r="J169" s="61"/>
    </row>
    <row r="170" spans="1:10" s="25" customFormat="1" ht="27" customHeight="1">
      <c r="A170" s="65">
        <f t="shared" si="7"/>
        <v>168</v>
      </c>
      <c r="B170" s="76" t="str">
        <f t="shared" si="6"/>
        <v>reserved_byte168</v>
      </c>
      <c r="C170" s="59">
        <v>255</v>
      </c>
      <c r="D170" s="60">
        <v>255</v>
      </c>
      <c r="E170" s="59">
        <v>0</v>
      </c>
      <c r="F170" s="59">
        <v>255</v>
      </c>
      <c r="G170" s="76" t="s">
        <v>59</v>
      </c>
      <c r="H170" s="64" t="str">
        <f t="shared" si="8"/>
        <v>20A9</v>
      </c>
      <c r="I170" s="59">
        <v>1</v>
      </c>
      <c r="J170" s="61"/>
    </row>
    <row r="171" spans="1:10" s="25" customFormat="1" ht="27" customHeight="1">
      <c r="A171" s="65">
        <f t="shared" si="7"/>
        <v>169</v>
      </c>
      <c r="B171" s="76" t="str">
        <f t="shared" si="6"/>
        <v>reserved_byte169</v>
      </c>
      <c r="C171" s="59">
        <v>255</v>
      </c>
      <c r="D171" s="60">
        <v>255</v>
      </c>
      <c r="E171" s="59">
        <v>0</v>
      </c>
      <c r="F171" s="59">
        <v>255</v>
      </c>
      <c r="G171" s="76" t="s">
        <v>59</v>
      </c>
      <c r="H171" s="64" t="str">
        <f t="shared" si="8"/>
        <v>20AA</v>
      </c>
      <c r="I171" s="59">
        <v>1</v>
      </c>
      <c r="J171" s="61"/>
    </row>
    <row r="172" spans="1:10" s="25" customFormat="1" ht="27" customHeight="1">
      <c r="A172" s="65">
        <f t="shared" si="7"/>
        <v>170</v>
      </c>
      <c r="B172" s="76" t="str">
        <f t="shared" si="6"/>
        <v>reserved_byte170</v>
      </c>
      <c r="C172" s="59">
        <v>255</v>
      </c>
      <c r="D172" s="60">
        <v>255</v>
      </c>
      <c r="E172" s="59">
        <v>0</v>
      </c>
      <c r="F172" s="59">
        <v>255</v>
      </c>
      <c r="G172" s="76" t="s">
        <v>59</v>
      </c>
      <c r="H172" s="64" t="str">
        <f t="shared" si="8"/>
        <v>20AB</v>
      </c>
      <c r="I172" s="59">
        <v>1</v>
      </c>
      <c r="J172" s="61"/>
    </row>
    <row r="173" spans="1:10" s="25" customFormat="1" ht="27" customHeight="1">
      <c r="A173" s="65">
        <f t="shared" si="7"/>
        <v>171</v>
      </c>
      <c r="B173" s="76" t="str">
        <f t="shared" si="6"/>
        <v>reserved_byte171</v>
      </c>
      <c r="C173" s="59">
        <v>255</v>
      </c>
      <c r="D173" s="60">
        <v>255</v>
      </c>
      <c r="E173" s="59">
        <v>0</v>
      </c>
      <c r="F173" s="59">
        <v>255</v>
      </c>
      <c r="G173" s="76" t="s">
        <v>59</v>
      </c>
      <c r="H173" s="64" t="str">
        <f t="shared" si="8"/>
        <v>20AC</v>
      </c>
      <c r="I173" s="59">
        <v>1</v>
      </c>
      <c r="J173" s="61"/>
    </row>
    <row r="174" spans="1:10" s="25" customFormat="1" ht="27" customHeight="1">
      <c r="A174" s="65">
        <f t="shared" si="7"/>
        <v>172</v>
      </c>
      <c r="B174" s="76" t="str">
        <f t="shared" si="6"/>
        <v>reserved_byte172</v>
      </c>
      <c r="C174" s="59">
        <v>255</v>
      </c>
      <c r="D174" s="60">
        <v>255</v>
      </c>
      <c r="E174" s="59">
        <v>0</v>
      </c>
      <c r="F174" s="59">
        <v>255</v>
      </c>
      <c r="G174" s="76" t="s">
        <v>59</v>
      </c>
      <c r="H174" s="64" t="str">
        <f t="shared" si="8"/>
        <v>20AD</v>
      </c>
      <c r="I174" s="59">
        <v>1</v>
      </c>
      <c r="J174" s="61"/>
    </row>
    <row r="175" spans="1:10" s="25" customFormat="1" ht="27" customHeight="1">
      <c r="A175" s="65">
        <f t="shared" si="7"/>
        <v>173</v>
      </c>
      <c r="B175" s="76" t="str">
        <f t="shared" si="6"/>
        <v>reserved_byte173</v>
      </c>
      <c r="C175" s="59">
        <v>255</v>
      </c>
      <c r="D175" s="60">
        <v>255</v>
      </c>
      <c r="E175" s="59">
        <v>0</v>
      </c>
      <c r="F175" s="59">
        <v>255</v>
      </c>
      <c r="G175" s="76" t="s">
        <v>59</v>
      </c>
      <c r="H175" s="64" t="str">
        <f t="shared" si="8"/>
        <v>20AE</v>
      </c>
      <c r="I175" s="59">
        <v>1</v>
      </c>
      <c r="J175" s="61"/>
    </row>
    <row r="176" spans="1:10" s="25" customFormat="1" ht="27" customHeight="1">
      <c r="A176" s="65">
        <f t="shared" si="7"/>
        <v>174</v>
      </c>
      <c r="B176" s="76" t="str">
        <f t="shared" si="6"/>
        <v>reserved_byte174</v>
      </c>
      <c r="C176" s="59">
        <v>255</v>
      </c>
      <c r="D176" s="60">
        <v>255</v>
      </c>
      <c r="E176" s="59">
        <v>0</v>
      </c>
      <c r="F176" s="59">
        <v>255</v>
      </c>
      <c r="G176" s="76" t="s">
        <v>59</v>
      </c>
      <c r="H176" s="64" t="str">
        <f t="shared" si="8"/>
        <v>20AF</v>
      </c>
      <c r="I176" s="59">
        <v>1</v>
      </c>
      <c r="J176" s="61"/>
    </row>
    <row r="177" spans="1:10" s="25" customFormat="1" ht="27" customHeight="1">
      <c r="A177" s="65">
        <f t="shared" si="7"/>
        <v>175</v>
      </c>
      <c r="B177" s="76" t="str">
        <f t="shared" si="6"/>
        <v>reserved_byte175</v>
      </c>
      <c r="C177" s="59">
        <v>255</v>
      </c>
      <c r="D177" s="60">
        <v>255</v>
      </c>
      <c r="E177" s="59">
        <v>0</v>
      </c>
      <c r="F177" s="59">
        <v>255</v>
      </c>
      <c r="G177" s="76" t="s">
        <v>59</v>
      </c>
      <c r="H177" s="64" t="str">
        <f t="shared" si="8"/>
        <v>20B0</v>
      </c>
      <c r="I177" s="59">
        <v>1</v>
      </c>
      <c r="J177" s="61"/>
    </row>
    <row r="178" spans="1:10" s="25" customFormat="1" ht="27" customHeight="1">
      <c r="A178" s="65">
        <f t="shared" si="7"/>
        <v>176</v>
      </c>
      <c r="B178" s="76" t="str">
        <f t="shared" si="6"/>
        <v>reserved_byte176</v>
      </c>
      <c r="C178" s="59">
        <v>255</v>
      </c>
      <c r="D178" s="60">
        <v>255</v>
      </c>
      <c r="E178" s="59">
        <v>0</v>
      </c>
      <c r="F178" s="59">
        <v>255</v>
      </c>
      <c r="G178" s="76" t="s">
        <v>59</v>
      </c>
      <c r="H178" s="64" t="str">
        <f t="shared" si="8"/>
        <v>20B1</v>
      </c>
      <c r="I178" s="59">
        <v>1</v>
      </c>
      <c r="J178" s="61"/>
    </row>
    <row r="179" spans="1:10" s="25" customFormat="1" ht="27" customHeight="1">
      <c r="A179" s="65">
        <f t="shared" si="7"/>
        <v>177</v>
      </c>
      <c r="B179" s="76" t="str">
        <f t="shared" si="6"/>
        <v>reserved_byte177</v>
      </c>
      <c r="C179" s="59">
        <v>255</v>
      </c>
      <c r="D179" s="60">
        <v>255</v>
      </c>
      <c r="E179" s="59">
        <v>0</v>
      </c>
      <c r="F179" s="59">
        <v>255</v>
      </c>
      <c r="G179" s="76" t="s">
        <v>59</v>
      </c>
      <c r="H179" s="64" t="str">
        <f t="shared" si="8"/>
        <v>20B2</v>
      </c>
      <c r="I179" s="59">
        <v>1</v>
      </c>
      <c r="J179" s="61"/>
    </row>
    <row r="180" spans="1:10" s="25" customFormat="1" ht="27" customHeight="1">
      <c r="A180" s="65">
        <f t="shared" si="7"/>
        <v>178</v>
      </c>
      <c r="B180" s="76" t="str">
        <f t="shared" si="6"/>
        <v>reserved_byte178</v>
      </c>
      <c r="C180" s="59">
        <v>255</v>
      </c>
      <c r="D180" s="60">
        <v>255</v>
      </c>
      <c r="E180" s="59">
        <v>0</v>
      </c>
      <c r="F180" s="59">
        <v>255</v>
      </c>
      <c r="G180" s="76" t="s">
        <v>59</v>
      </c>
      <c r="H180" s="64" t="str">
        <f t="shared" si="8"/>
        <v>20B3</v>
      </c>
      <c r="I180" s="59">
        <v>1</v>
      </c>
      <c r="J180" s="61"/>
    </row>
    <row r="181" spans="1:10" s="25" customFormat="1" ht="27" customHeight="1">
      <c r="A181" s="65">
        <f t="shared" si="7"/>
        <v>179</v>
      </c>
      <c r="B181" s="76" t="str">
        <f t="shared" si="6"/>
        <v>reserved_byte179</v>
      </c>
      <c r="C181" s="59">
        <v>255</v>
      </c>
      <c r="D181" s="60">
        <v>255</v>
      </c>
      <c r="E181" s="59">
        <v>0</v>
      </c>
      <c r="F181" s="59">
        <v>255</v>
      </c>
      <c r="G181" s="76" t="s">
        <v>59</v>
      </c>
      <c r="H181" s="64" t="str">
        <f t="shared" si="8"/>
        <v>20B4</v>
      </c>
      <c r="I181" s="59">
        <v>1</v>
      </c>
      <c r="J181" s="61"/>
    </row>
    <row r="182" spans="1:10" s="25" customFormat="1" ht="27" customHeight="1">
      <c r="A182" s="65">
        <f t="shared" si="7"/>
        <v>180</v>
      </c>
      <c r="B182" s="76" t="str">
        <f t="shared" si="6"/>
        <v>reserved_byte180</v>
      </c>
      <c r="C182" s="59">
        <v>255</v>
      </c>
      <c r="D182" s="60">
        <v>255</v>
      </c>
      <c r="E182" s="59">
        <v>0</v>
      </c>
      <c r="F182" s="59">
        <v>255</v>
      </c>
      <c r="G182" s="76" t="s">
        <v>59</v>
      </c>
      <c r="H182" s="64" t="str">
        <f t="shared" si="8"/>
        <v>20B5</v>
      </c>
      <c r="I182" s="59">
        <v>1</v>
      </c>
      <c r="J182" s="61"/>
    </row>
    <row r="183" spans="1:10" s="25" customFormat="1" ht="27" customHeight="1">
      <c r="A183" s="65">
        <f t="shared" si="7"/>
        <v>181</v>
      </c>
      <c r="B183" s="76" t="str">
        <f t="shared" si="6"/>
        <v>reserved_byte181</v>
      </c>
      <c r="C183" s="59">
        <v>255</v>
      </c>
      <c r="D183" s="60">
        <v>255</v>
      </c>
      <c r="E183" s="59">
        <v>0</v>
      </c>
      <c r="F183" s="59">
        <v>255</v>
      </c>
      <c r="G183" s="76" t="s">
        <v>59</v>
      </c>
      <c r="H183" s="64" t="str">
        <f t="shared" si="8"/>
        <v>20B6</v>
      </c>
      <c r="I183" s="59">
        <v>1</v>
      </c>
      <c r="J183" s="61"/>
    </row>
    <row r="184" spans="1:10" s="25" customFormat="1" ht="27" customHeight="1">
      <c r="A184" s="65">
        <f t="shared" si="7"/>
        <v>182</v>
      </c>
      <c r="B184" s="76" t="str">
        <f t="shared" si="6"/>
        <v>reserved_byte182</v>
      </c>
      <c r="C184" s="59">
        <v>255</v>
      </c>
      <c r="D184" s="60">
        <v>255</v>
      </c>
      <c r="E184" s="59">
        <v>0</v>
      </c>
      <c r="F184" s="59">
        <v>255</v>
      </c>
      <c r="G184" s="76" t="s">
        <v>59</v>
      </c>
      <c r="H184" s="64" t="str">
        <f t="shared" si="8"/>
        <v>20B7</v>
      </c>
      <c r="I184" s="59">
        <v>1</v>
      </c>
      <c r="J184" s="61"/>
    </row>
    <row r="185" spans="1:10" s="25" customFormat="1" ht="27" customHeight="1">
      <c r="A185" s="65">
        <f t="shared" si="7"/>
        <v>183</v>
      </c>
      <c r="B185" s="76" t="str">
        <f t="shared" si="6"/>
        <v>reserved_byte183</v>
      </c>
      <c r="C185" s="59">
        <v>255</v>
      </c>
      <c r="D185" s="60">
        <v>255</v>
      </c>
      <c r="E185" s="59">
        <v>0</v>
      </c>
      <c r="F185" s="59">
        <v>255</v>
      </c>
      <c r="G185" s="76" t="s">
        <v>59</v>
      </c>
      <c r="H185" s="64" t="str">
        <f t="shared" si="8"/>
        <v>20B8</v>
      </c>
      <c r="I185" s="59">
        <v>1</v>
      </c>
      <c r="J185" s="61"/>
    </row>
    <row r="186" spans="1:10" s="25" customFormat="1" ht="27" customHeight="1">
      <c r="A186" s="65">
        <f t="shared" si="7"/>
        <v>184</v>
      </c>
      <c r="B186" s="76" t="str">
        <f t="shared" si="6"/>
        <v>reserved_byte184</v>
      </c>
      <c r="C186" s="59">
        <v>255</v>
      </c>
      <c r="D186" s="60">
        <v>255</v>
      </c>
      <c r="E186" s="59">
        <v>0</v>
      </c>
      <c r="F186" s="59">
        <v>255</v>
      </c>
      <c r="G186" s="76" t="s">
        <v>59</v>
      </c>
      <c r="H186" s="64" t="str">
        <f t="shared" si="8"/>
        <v>20B9</v>
      </c>
      <c r="I186" s="59">
        <v>1</v>
      </c>
      <c r="J186" s="61"/>
    </row>
    <row r="187" spans="1:10" s="25" customFormat="1" ht="27" customHeight="1">
      <c r="A187" s="65">
        <f t="shared" si="7"/>
        <v>185</v>
      </c>
      <c r="B187" s="76" t="str">
        <f t="shared" si="6"/>
        <v>reserved_byte185</v>
      </c>
      <c r="C187" s="59">
        <v>255</v>
      </c>
      <c r="D187" s="60">
        <v>255</v>
      </c>
      <c r="E187" s="59">
        <v>0</v>
      </c>
      <c r="F187" s="59">
        <v>255</v>
      </c>
      <c r="G187" s="76" t="s">
        <v>59</v>
      </c>
      <c r="H187" s="64" t="str">
        <f t="shared" si="8"/>
        <v>20BA</v>
      </c>
      <c r="I187" s="59">
        <v>1</v>
      </c>
      <c r="J187" s="61"/>
    </row>
    <row r="188" spans="1:10" s="25" customFormat="1" ht="27" customHeight="1">
      <c r="A188" s="65">
        <f t="shared" si="7"/>
        <v>186</v>
      </c>
      <c r="B188" s="76" t="str">
        <f t="shared" si="6"/>
        <v>reserved_byte186</v>
      </c>
      <c r="C188" s="59">
        <v>255</v>
      </c>
      <c r="D188" s="60">
        <v>255</v>
      </c>
      <c r="E188" s="59">
        <v>0</v>
      </c>
      <c r="F188" s="59">
        <v>255</v>
      </c>
      <c r="G188" s="76" t="s">
        <v>59</v>
      </c>
      <c r="H188" s="64" t="str">
        <f t="shared" si="8"/>
        <v>20BB</v>
      </c>
      <c r="I188" s="59">
        <v>1</v>
      </c>
      <c r="J188" s="61"/>
    </row>
    <row r="189" spans="1:10" s="25" customFormat="1" ht="27" customHeight="1">
      <c r="A189" s="65">
        <f t="shared" si="7"/>
        <v>187</v>
      </c>
      <c r="B189" s="76" t="str">
        <f t="shared" si="6"/>
        <v>reserved_byte187</v>
      </c>
      <c r="C189" s="59">
        <v>255</v>
      </c>
      <c r="D189" s="60">
        <v>255</v>
      </c>
      <c r="E189" s="59">
        <v>0</v>
      </c>
      <c r="F189" s="59">
        <v>255</v>
      </c>
      <c r="G189" s="76" t="s">
        <v>59</v>
      </c>
      <c r="H189" s="64" t="str">
        <f t="shared" si="8"/>
        <v>20BC</v>
      </c>
      <c r="I189" s="59">
        <v>1</v>
      </c>
      <c r="J189" s="61"/>
    </row>
    <row r="190" spans="1:10" s="25" customFormat="1" ht="27" customHeight="1">
      <c r="A190" s="65">
        <f t="shared" si="7"/>
        <v>188</v>
      </c>
      <c r="B190" s="76" t="str">
        <f t="shared" si="6"/>
        <v>reserved_byte188</v>
      </c>
      <c r="C190" s="59">
        <v>255</v>
      </c>
      <c r="D190" s="60">
        <v>255</v>
      </c>
      <c r="E190" s="59">
        <v>0</v>
      </c>
      <c r="F190" s="59">
        <v>255</v>
      </c>
      <c r="G190" s="76" t="s">
        <v>59</v>
      </c>
      <c r="H190" s="64" t="str">
        <f t="shared" si="8"/>
        <v>20BD</v>
      </c>
      <c r="I190" s="59">
        <v>1</v>
      </c>
      <c r="J190" s="61"/>
    </row>
    <row r="191" spans="1:10" s="25" customFormat="1" ht="27" customHeight="1">
      <c r="A191" s="65">
        <f t="shared" si="7"/>
        <v>189</v>
      </c>
      <c r="B191" s="76" t="str">
        <f t="shared" si="6"/>
        <v>reserved_byte189</v>
      </c>
      <c r="C191" s="59">
        <v>255</v>
      </c>
      <c r="D191" s="60">
        <v>255</v>
      </c>
      <c r="E191" s="59">
        <v>0</v>
      </c>
      <c r="F191" s="59">
        <v>255</v>
      </c>
      <c r="G191" s="76" t="s">
        <v>59</v>
      </c>
      <c r="H191" s="64" t="str">
        <f t="shared" si="8"/>
        <v>20BE</v>
      </c>
      <c r="I191" s="59">
        <v>1</v>
      </c>
      <c r="J191" s="61"/>
    </row>
    <row r="192" spans="1:10" s="25" customFormat="1" ht="27" customHeight="1">
      <c r="A192" s="65">
        <f t="shared" si="7"/>
        <v>190</v>
      </c>
      <c r="B192" s="76" t="str">
        <f t="shared" si="6"/>
        <v>reserved_byte190</v>
      </c>
      <c r="C192" s="59">
        <v>255</v>
      </c>
      <c r="D192" s="60">
        <v>255</v>
      </c>
      <c r="E192" s="59">
        <v>0</v>
      </c>
      <c r="F192" s="59">
        <v>255</v>
      </c>
      <c r="G192" s="76" t="s">
        <v>59</v>
      </c>
      <c r="H192" s="64" t="str">
        <f t="shared" si="8"/>
        <v>20BF</v>
      </c>
      <c r="I192" s="59">
        <v>1</v>
      </c>
      <c r="J192" s="61"/>
    </row>
    <row r="193" spans="1:10" s="25" customFormat="1" ht="27" customHeight="1">
      <c r="A193" s="65">
        <f t="shared" si="7"/>
        <v>191</v>
      </c>
      <c r="B193" s="76" t="str">
        <f t="shared" si="6"/>
        <v>reserved_byte191</v>
      </c>
      <c r="C193" s="59">
        <v>255</v>
      </c>
      <c r="D193" s="60">
        <v>255</v>
      </c>
      <c r="E193" s="59">
        <v>0</v>
      </c>
      <c r="F193" s="59">
        <v>255</v>
      </c>
      <c r="G193" s="76" t="s">
        <v>59</v>
      </c>
      <c r="H193" s="64" t="str">
        <f t="shared" si="8"/>
        <v>20C0</v>
      </c>
      <c r="I193" s="59">
        <v>1</v>
      </c>
      <c r="J193" s="61"/>
    </row>
    <row r="194" spans="1:10" s="25" customFormat="1" ht="27" customHeight="1">
      <c r="A194" s="65">
        <f t="shared" si="7"/>
        <v>192</v>
      </c>
      <c r="B194" s="76" t="str">
        <f t="shared" ref="B194:B253" si="9">"reserved_byte" &amp;TEXT(A194,0)</f>
        <v>reserved_byte192</v>
      </c>
      <c r="C194" s="59">
        <v>255</v>
      </c>
      <c r="D194" s="60">
        <v>255</v>
      </c>
      <c r="E194" s="59">
        <v>0</v>
      </c>
      <c r="F194" s="59">
        <v>255</v>
      </c>
      <c r="G194" s="76" t="s">
        <v>59</v>
      </c>
      <c r="H194" s="64" t="str">
        <f t="shared" si="8"/>
        <v>20C1</v>
      </c>
      <c r="I194" s="59">
        <v>1</v>
      </c>
      <c r="J194" s="61"/>
    </row>
    <row r="195" spans="1:10" s="25" customFormat="1" ht="27" customHeight="1">
      <c r="A195" s="65">
        <f t="shared" ref="A195:A253" si="10">A194+1</f>
        <v>193</v>
      </c>
      <c r="B195" s="76" t="str">
        <f t="shared" si="9"/>
        <v>reserved_byte193</v>
      </c>
      <c r="C195" s="59">
        <v>255</v>
      </c>
      <c r="D195" s="60">
        <v>255</v>
      </c>
      <c r="E195" s="59">
        <v>0</v>
      </c>
      <c r="F195" s="59">
        <v>255</v>
      </c>
      <c r="G195" s="76" t="s">
        <v>59</v>
      </c>
      <c r="H195" s="64" t="str">
        <f t="shared" ref="H195:H253" si="11">DEC2HEX((HEX2DEC(H194)+1),4)</f>
        <v>20C2</v>
      </c>
      <c r="I195" s="59">
        <v>1</v>
      </c>
      <c r="J195" s="61"/>
    </row>
    <row r="196" spans="1:10" s="25" customFormat="1" ht="27" customHeight="1">
      <c r="A196" s="65">
        <f t="shared" si="10"/>
        <v>194</v>
      </c>
      <c r="B196" s="76" t="str">
        <f t="shared" si="9"/>
        <v>reserved_byte194</v>
      </c>
      <c r="C196" s="59">
        <v>255</v>
      </c>
      <c r="D196" s="60">
        <v>255</v>
      </c>
      <c r="E196" s="59">
        <v>0</v>
      </c>
      <c r="F196" s="59">
        <v>255</v>
      </c>
      <c r="G196" s="76" t="s">
        <v>59</v>
      </c>
      <c r="H196" s="64" t="str">
        <f t="shared" si="11"/>
        <v>20C3</v>
      </c>
      <c r="I196" s="59">
        <v>1</v>
      </c>
      <c r="J196" s="61"/>
    </row>
    <row r="197" spans="1:10" s="25" customFormat="1" ht="27" customHeight="1">
      <c r="A197" s="65">
        <f t="shared" si="10"/>
        <v>195</v>
      </c>
      <c r="B197" s="76" t="str">
        <f t="shared" si="9"/>
        <v>reserved_byte195</v>
      </c>
      <c r="C197" s="59">
        <v>255</v>
      </c>
      <c r="D197" s="60">
        <v>255</v>
      </c>
      <c r="E197" s="59">
        <v>0</v>
      </c>
      <c r="F197" s="59">
        <v>255</v>
      </c>
      <c r="G197" s="76" t="s">
        <v>59</v>
      </c>
      <c r="H197" s="64" t="str">
        <f t="shared" si="11"/>
        <v>20C4</v>
      </c>
      <c r="I197" s="59">
        <v>1</v>
      </c>
      <c r="J197" s="61"/>
    </row>
    <row r="198" spans="1:10" s="25" customFormat="1" ht="27" customHeight="1">
      <c r="A198" s="65">
        <f t="shared" si="10"/>
        <v>196</v>
      </c>
      <c r="B198" s="76" t="str">
        <f t="shared" si="9"/>
        <v>reserved_byte196</v>
      </c>
      <c r="C198" s="59">
        <v>255</v>
      </c>
      <c r="D198" s="60">
        <v>255</v>
      </c>
      <c r="E198" s="59">
        <v>0</v>
      </c>
      <c r="F198" s="59">
        <v>255</v>
      </c>
      <c r="G198" s="76" t="s">
        <v>59</v>
      </c>
      <c r="H198" s="64" t="str">
        <f t="shared" si="11"/>
        <v>20C5</v>
      </c>
      <c r="I198" s="59">
        <v>1</v>
      </c>
      <c r="J198" s="61"/>
    </row>
    <row r="199" spans="1:10" s="25" customFormat="1" ht="27" customHeight="1">
      <c r="A199" s="65">
        <f t="shared" si="10"/>
        <v>197</v>
      </c>
      <c r="B199" s="76" t="str">
        <f t="shared" si="9"/>
        <v>reserved_byte197</v>
      </c>
      <c r="C199" s="59">
        <v>255</v>
      </c>
      <c r="D199" s="60">
        <v>255</v>
      </c>
      <c r="E199" s="59">
        <v>0</v>
      </c>
      <c r="F199" s="59">
        <v>255</v>
      </c>
      <c r="G199" s="76" t="s">
        <v>59</v>
      </c>
      <c r="H199" s="64" t="str">
        <f t="shared" si="11"/>
        <v>20C6</v>
      </c>
      <c r="I199" s="59">
        <v>1</v>
      </c>
      <c r="J199" s="61"/>
    </row>
    <row r="200" spans="1:10" s="25" customFormat="1" ht="27" customHeight="1">
      <c r="A200" s="65">
        <f t="shared" si="10"/>
        <v>198</v>
      </c>
      <c r="B200" s="76" t="str">
        <f t="shared" si="9"/>
        <v>reserved_byte198</v>
      </c>
      <c r="C200" s="59">
        <v>255</v>
      </c>
      <c r="D200" s="60">
        <v>255</v>
      </c>
      <c r="E200" s="59">
        <v>0</v>
      </c>
      <c r="F200" s="59">
        <v>255</v>
      </c>
      <c r="G200" s="76" t="s">
        <v>59</v>
      </c>
      <c r="H200" s="64" t="str">
        <f t="shared" si="11"/>
        <v>20C7</v>
      </c>
      <c r="I200" s="59">
        <v>1</v>
      </c>
      <c r="J200" s="61"/>
    </row>
    <row r="201" spans="1:10" s="25" customFormat="1" ht="27" customHeight="1">
      <c r="A201" s="65">
        <f t="shared" si="10"/>
        <v>199</v>
      </c>
      <c r="B201" s="76" t="str">
        <f t="shared" si="9"/>
        <v>reserved_byte199</v>
      </c>
      <c r="C201" s="59">
        <v>255</v>
      </c>
      <c r="D201" s="60">
        <v>255</v>
      </c>
      <c r="E201" s="59">
        <v>0</v>
      </c>
      <c r="F201" s="59">
        <v>255</v>
      </c>
      <c r="G201" s="76" t="s">
        <v>59</v>
      </c>
      <c r="H201" s="64" t="str">
        <f t="shared" si="11"/>
        <v>20C8</v>
      </c>
      <c r="I201" s="59">
        <v>1</v>
      </c>
      <c r="J201" s="61"/>
    </row>
    <row r="202" spans="1:10" s="25" customFormat="1" ht="27" customHeight="1">
      <c r="A202" s="65">
        <f t="shared" si="10"/>
        <v>200</v>
      </c>
      <c r="B202" s="76" t="str">
        <f t="shared" si="9"/>
        <v>reserved_byte200</v>
      </c>
      <c r="C202" s="59">
        <v>255</v>
      </c>
      <c r="D202" s="60">
        <v>255</v>
      </c>
      <c r="E202" s="59">
        <v>0</v>
      </c>
      <c r="F202" s="59">
        <v>255</v>
      </c>
      <c r="G202" s="76" t="s">
        <v>59</v>
      </c>
      <c r="H202" s="64" t="str">
        <f t="shared" si="11"/>
        <v>20C9</v>
      </c>
      <c r="I202" s="59">
        <v>1</v>
      </c>
      <c r="J202" s="61"/>
    </row>
    <row r="203" spans="1:10" s="25" customFormat="1" ht="27" customHeight="1">
      <c r="A203" s="65">
        <f t="shared" si="10"/>
        <v>201</v>
      </c>
      <c r="B203" s="76" t="str">
        <f t="shared" si="9"/>
        <v>reserved_byte201</v>
      </c>
      <c r="C203" s="59">
        <v>255</v>
      </c>
      <c r="D203" s="60">
        <v>255</v>
      </c>
      <c r="E203" s="59">
        <v>0</v>
      </c>
      <c r="F203" s="59">
        <v>255</v>
      </c>
      <c r="G203" s="76" t="s">
        <v>59</v>
      </c>
      <c r="H203" s="64" t="str">
        <f t="shared" si="11"/>
        <v>20CA</v>
      </c>
      <c r="I203" s="59">
        <v>1</v>
      </c>
      <c r="J203" s="61"/>
    </row>
    <row r="204" spans="1:10" s="25" customFormat="1" ht="27" customHeight="1">
      <c r="A204" s="65">
        <f t="shared" si="10"/>
        <v>202</v>
      </c>
      <c r="B204" s="76" t="str">
        <f t="shared" si="9"/>
        <v>reserved_byte202</v>
      </c>
      <c r="C204" s="59">
        <v>255</v>
      </c>
      <c r="D204" s="60">
        <v>255</v>
      </c>
      <c r="E204" s="59">
        <v>0</v>
      </c>
      <c r="F204" s="59">
        <v>255</v>
      </c>
      <c r="G204" s="76" t="s">
        <v>59</v>
      </c>
      <c r="H204" s="64" t="str">
        <f t="shared" si="11"/>
        <v>20CB</v>
      </c>
      <c r="I204" s="59">
        <v>1</v>
      </c>
      <c r="J204" s="61"/>
    </row>
    <row r="205" spans="1:10" s="25" customFormat="1" ht="27" customHeight="1">
      <c r="A205" s="65">
        <f t="shared" si="10"/>
        <v>203</v>
      </c>
      <c r="B205" s="76" t="str">
        <f t="shared" si="9"/>
        <v>reserved_byte203</v>
      </c>
      <c r="C205" s="59">
        <v>255</v>
      </c>
      <c r="D205" s="60">
        <v>255</v>
      </c>
      <c r="E205" s="59">
        <v>0</v>
      </c>
      <c r="F205" s="59">
        <v>255</v>
      </c>
      <c r="G205" s="76" t="s">
        <v>59</v>
      </c>
      <c r="H205" s="64" t="str">
        <f t="shared" si="11"/>
        <v>20CC</v>
      </c>
      <c r="I205" s="59">
        <v>1</v>
      </c>
      <c r="J205" s="61"/>
    </row>
    <row r="206" spans="1:10" s="25" customFormat="1" ht="27" customHeight="1">
      <c r="A206" s="65">
        <f t="shared" si="10"/>
        <v>204</v>
      </c>
      <c r="B206" s="76" t="str">
        <f t="shared" si="9"/>
        <v>reserved_byte204</v>
      </c>
      <c r="C206" s="59">
        <v>255</v>
      </c>
      <c r="D206" s="60">
        <v>255</v>
      </c>
      <c r="E206" s="59">
        <v>0</v>
      </c>
      <c r="F206" s="59">
        <v>255</v>
      </c>
      <c r="G206" s="76" t="s">
        <v>59</v>
      </c>
      <c r="H206" s="64" t="str">
        <f t="shared" si="11"/>
        <v>20CD</v>
      </c>
      <c r="I206" s="59">
        <v>1</v>
      </c>
      <c r="J206" s="61"/>
    </row>
    <row r="207" spans="1:10" s="25" customFormat="1" ht="27" customHeight="1">
      <c r="A207" s="65">
        <f t="shared" si="10"/>
        <v>205</v>
      </c>
      <c r="B207" s="76" t="str">
        <f t="shared" si="9"/>
        <v>reserved_byte205</v>
      </c>
      <c r="C207" s="59">
        <v>255</v>
      </c>
      <c r="D207" s="60">
        <v>255</v>
      </c>
      <c r="E207" s="59">
        <v>0</v>
      </c>
      <c r="F207" s="59">
        <v>255</v>
      </c>
      <c r="G207" s="76" t="s">
        <v>59</v>
      </c>
      <c r="H207" s="64" t="str">
        <f t="shared" si="11"/>
        <v>20CE</v>
      </c>
      <c r="I207" s="59">
        <v>1</v>
      </c>
      <c r="J207" s="61"/>
    </row>
    <row r="208" spans="1:10" s="25" customFormat="1" ht="27" customHeight="1">
      <c r="A208" s="65">
        <f t="shared" si="10"/>
        <v>206</v>
      </c>
      <c r="B208" s="76" t="str">
        <f t="shared" si="9"/>
        <v>reserved_byte206</v>
      </c>
      <c r="C208" s="59">
        <v>255</v>
      </c>
      <c r="D208" s="60">
        <v>255</v>
      </c>
      <c r="E208" s="59">
        <v>0</v>
      </c>
      <c r="F208" s="59">
        <v>255</v>
      </c>
      <c r="G208" s="76" t="s">
        <v>59</v>
      </c>
      <c r="H208" s="64" t="str">
        <f t="shared" si="11"/>
        <v>20CF</v>
      </c>
      <c r="I208" s="59">
        <v>1</v>
      </c>
      <c r="J208" s="61"/>
    </row>
    <row r="209" spans="1:10" s="25" customFormat="1" ht="27" customHeight="1">
      <c r="A209" s="65">
        <f t="shared" si="10"/>
        <v>207</v>
      </c>
      <c r="B209" s="76" t="str">
        <f t="shared" si="9"/>
        <v>reserved_byte207</v>
      </c>
      <c r="C209" s="59">
        <v>255</v>
      </c>
      <c r="D209" s="60">
        <v>255</v>
      </c>
      <c r="E209" s="59">
        <v>0</v>
      </c>
      <c r="F209" s="59">
        <v>255</v>
      </c>
      <c r="G209" s="76" t="s">
        <v>59</v>
      </c>
      <c r="H209" s="64" t="str">
        <f t="shared" si="11"/>
        <v>20D0</v>
      </c>
      <c r="I209" s="59">
        <v>1</v>
      </c>
      <c r="J209" s="61"/>
    </row>
    <row r="210" spans="1:10" s="25" customFormat="1" ht="27" customHeight="1">
      <c r="A210" s="65">
        <f t="shared" si="10"/>
        <v>208</v>
      </c>
      <c r="B210" s="76" t="str">
        <f t="shared" si="9"/>
        <v>reserved_byte208</v>
      </c>
      <c r="C210" s="59">
        <v>255</v>
      </c>
      <c r="D210" s="60">
        <v>255</v>
      </c>
      <c r="E210" s="59">
        <v>0</v>
      </c>
      <c r="F210" s="59">
        <v>255</v>
      </c>
      <c r="G210" s="76" t="s">
        <v>59</v>
      </c>
      <c r="H210" s="64" t="str">
        <f t="shared" si="11"/>
        <v>20D1</v>
      </c>
      <c r="I210" s="59">
        <v>1</v>
      </c>
      <c r="J210" s="61"/>
    </row>
    <row r="211" spans="1:10" s="25" customFormat="1" ht="27" customHeight="1">
      <c r="A211" s="65">
        <f t="shared" si="10"/>
        <v>209</v>
      </c>
      <c r="B211" s="76" t="str">
        <f t="shared" si="9"/>
        <v>reserved_byte209</v>
      </c>
      <c r="C211" s="59">
        <v>255</v>
      </c>
      <c r="D211" s="60">
        <v>255</v>
      </c>
      <c r="E211" s="59">
        <v>0</v>
      </c>
      <c r="F211" s="59">
        <v>255</v>
      </c>
      <c r="G211" s="76" t="s">
        <v>59</v>
      </c>
      <c r="H211" s="64" t="str">
        <f t="shared" si="11"/>
        <v>20D2</v>
      </c>
      <c r="I211" s="59">
        <v>1</v>
      </c>
      <c r="J211" s="61"/>
    </row>
    <row r="212" spans="1:10" s="25" customFormat="1" ht="27" customHeight="1">
      <c r="A212" s="65">
        <f t="shared" si="10"/>
        <v>210</v>
      </c>
      <c r="B212" s="76" t="str">
        <f t="shared" si="9"/>
        <v>reserved_byte210</v>
      </c>
      <c r="C212" s="59">
        <v>255</v>
      </c>
      <c r="D212" s="60">
        <v>255</v>
      </c>
      <c r="E212" s="59">
        <v>0</v>
      </c>
      <c r="F212" s="59">
        <v>255</v>
      </c>
      <c r="G212" s="76" t="s">
        <v>59</v>
      </c>
      <c r="H212" s="64" t="str">
        <f t="shared" si="11"/>
        <v>20D3</v>
      </c>
      <c r="I212" s="59">
        <v>1</v>
      </c>
      <c r="J212" s="61"/>
    </row>
    <row r="213" spans="1:10" s="25" customFormat="1" ht="27" customHeight="1">
      <c r="A213" s="65">
        <f t="shared" si="10"/>
        <v>211</v>
      </c>
      <c r="B213" s="76" t="str">
        <f t="shared" si="9"/>
        <v>reserved_byte211</v>
      </c>
      <c r="C213" s="59">
        <v>255</v>
      </c>
      <c r="D213" s="60">
        <v>255</v>
      </c>
      <c r="E213" s="59">
        <v>0</v>
      </c>
      <c r="F213" s="59">
        <v>255</v>
      </c>
      <c r="G213" s="76" t="s">
        <v>59</v>
      </c>
      <c r="H213" s="64" t="str">
        <f t="shared" si="11"/>
        <v>20D4</v>
      </c>
      <c r="I213" s="59">
        <v>1</v>
      </c>
      <c r="J213" s="61"/>
    </row>
    <row r="214" spans="1:10" s="25" customFormat="1" ht="27" customHeight="1">
      <c r="A214" s="65">
        <f t="shared" si="10"/>
        <v>212</v>
      </c>
      <c r="B214" s="76" t="str">
        <f t="shared" si="9"/>
        <v>reserved_byte212</v>
      </c>
      <c r="C214" s="59">
        <v>255</v>
      </c>
      <c r="D214" s="60">
        <v>255</v>
      </c>
      <c r="E214" s="59">
        <v>0</v>
      </c>
      <c r="F214" s="59">
        <v>255</v>
      </c>
      <c r="G214" s="76" t="s">
        <v>59</v>
      </c>
      <c r="H214" s="64" t="str">
        <f t="shared" si="11"/>
        <v>20D5</v>
      </c>
      <c r="I214" s="59">
        <v>1</v>
      </c>
      <c r="J214" s="61"/>
    </row>
    <row r="215" spans="1:10" s="25" customFormat="1" ht="27" customHeight="1">
      <c r="A215" s="65">
        <f t="shared" si="10"/>
        <v>213</v>
      </c>
      <c r="B215" s="76" t="str">
        <f t="shared" si="9"/>
        <v>reserved_byte213</v>
      </c>
      <c r="C215" s="59">
        <v>255</v>
      </c>
      <c r="D215" s="60">
        <v>255</v>
      </c>
      <c r="E215" s="59">
        <v>0</v>
      </c>
      <c r="F215" s="59">
        <v>255</v>
      </c>
      <c r="G215" s="76" t="s">
        <v>59</v>
      </c>
      <c r="H215" s="64" t="str">
        <f t="shared" si="11"/>
        <v>20D6</v>
      </c>
      <c r="I215" s="59">
        <v>1</v>
      </c>
      <c r="J215" s="61"/>
    </row>
    <row r="216" spans="1:10" s="25" customFormat="1" ht="27" customHeight="1">
      <c r="A216" s="65">
        <f t="shared" si="10"/>
        <v>214</v>
      </c>
      <c r="B216" s="76" t="str">
        <f t="shared" si="9"/>
        <v>reserved_byte214</v>
      </c>
      <c r="C216" s="59">
        <v>255</v>
      </c>
      <c r="D216" s="60">
        <v>255</v>
      </c>
      <c r="E216" s="59">
        <v>0</v>
      </c>
      <c r="F216" s="59">
        <v>255</v>
      </c>
      <c r="G216" s="76" t="s">
        <v>59</v>
      </c>
      <c r="H216" s="64" t="str">
        <f t="shared" si="11"/>
        <v>20D7</v>
      </c>
      <c r="I216" s="59">
        <v>1</v>
      </c>
      <c r="J216" s="61"/>
    </row>
    <row r="217" spans="1:10" s="25" customFormat="1" ht="27" customHeight="1">
      <c r="A217" s="65">
        <f t="shared" si="10"/>
        <v>215</v>
      </c>
      <c r="B217" s="76" t="str">
        <f t="shared" si="9"/>
        <v>reserved_byte215</v>
      </c>
      <c r="C217" s="59">
        <v>255</v>
      </c>
      <c r="D217" s="60">
        <v>255</v>
      </c>
      <c r="E217" s="59">
        <v>0</v>
      </c>
      <c r="F217" s="59">
        <v>255</v>
      </c>
      <c r="G217" s="76" t="s">
        <v>59</v>
      </c>
      <c r="H217" s="64" t="str">
        <f t="shared" si="11"/>
        <v>20D8</v>
      </c>
      <c r="I217" s="59">
        <v>1</v>
      </c>
      <c r="J217" s="61"/>
    </row>
    <row r="218" spans="1:10" s="25" customFormat="1" ht="27" customHeight="1">
      <c r="A218" s="65">
        <f t="shared" si="10"/>
        <v>216</v>
      </c>
      <c r="B218" s="76" t="str">
        <f t="shared" si="9"/>
        <v>reserved_byte216</v>
      </c>
      <c r="C218" s="59">
        <v>255</v>
      </c>
      <c r="D218" s="60">
        <v>255</v>
      </c>
      <c r="E218" s="59">
        <v>0</v>
      </c>
      <c r="F218" s="59">
        <v>255</v>
      </c>
      <c r="G218" s="76" t="s">
        <v>59</v>
      </c>
      <c r="H218" s="64" t="str">
        <f t="shared" si="11"/>
        <v>20D9</v>
      </c>
      <c r="I218" s="59">
        <v>1</v>
      </c>
      <c r="J218" s="61"/>
    </row>
    <row r="219" spans="1:10" s="25" customFormat="1" ht="27" customHeight="1">
      <c r="A219" s="65">
        <f t="shared" si="10"/>
        <v>217</v>
      </c>
      <c r="B219" s="76" t="str">
        <f t="shared" si="9"/>
        <v>reserved_byte217</v>
      </c>
      <c r="C219" s="59">
        <v>255</v>
      </c>
      <c r="D219" s="60">
        <v>255</v>
      </c>
      <c r="E219" s="59">
        <v>0</v>
      </c>
      <c r="F219" s="59">
        <v>255</v>
      </c>
      <c r="G219" s="76" t="s">
        <v>59</v>
      </c>
      <c r="H219" s="64" t="str">
        <f t="shared" si="11"/>
        <v>20DA</v>
      </c>
      <c r="I219" s="59">
        <v>1</v>
      </c>
      <c r="J219" s="61"/>
    </row>
    <row r="220" spans="1:10" s="25" customFormat="1" ht="27" customHeight="1">
      <c r="A220" s="65">
        <f t="shared" si="10"/>
        <v>218</v>
      </c>
      <c r="B220" s="76" t="str">
        <f t="shared" si="9"/>
        <v>reserved_byte218</v>
      </c>
      <c r="C220" s="59">
        <v>255</v>
      </c>
      <c r="D220" s="60">
        <v>255</v>
      </c>
      <c r="E220" s="59">
        <v>0</v>
      </c>
      <c r="F220" s="59">
        <v>255</v>
      </c>
      <c r="G220" s="76" t="s">
        <v>59</v>
      </c>
      <c r="H220" s="64" t="str">
        <f t="shared" si="11"/>
        <v>20DB</v>
      </c>
      <c r="I220" s="59">
        <v>1</v>
      </c>
      <c r="J220" s="61"/>
    </row>
    <row r="221" spans="1:10" s="25" customFormat="1" ht="27" customHeight="1">
      <c r="A221" s="65">
        <f t="shared" si="10"/>
        <v>219</v>
      </c>
      <c r="B221" s="76" t="str">
        <f t="shared" si="9"/>
        <v>reserved_byte219</v>
      </c>
      <c r="C221" s="59">
        <v>255</v>
      </c>
      <c r="D221" s="60">
        <v>255</v>
      </c>
      <c r="E221" s="59">
        <v>0</v>
      </c>
      <c r="F221" s="59">
        <v>255</v>
      </c>
      <c r="G221" s="76" t="s">
        <v>59</v>
      </c>
      <c r="H221" s="64" t="str">
        <f t="shared" si="11"/>
        <v>20DC</v>
      </c>
      <c r="I221" s="59">
        <v>1</v>
      </c>
      <c r="J221" s="61"/>
    </row>
    <row r="222" spans="1:10" s="25" customFormat="1" ht="27" customHeight="1">
      <c r="A222" s="65">
        <f t="shared" si="10"/>
        <v>220</v>
      </c>
      <c r="B222" s="76" t="str">
        <f t="shared" si="9"/>
        <v>reserved_byte220</v>
      </c>
      <c r="C222" s="59">
        <v>255</v>
      </c>
      <c r="D222" s="60">
        <v>255</v>
      </c>
      <c r="E222" s="59">
        <v>0</v>
      </c>
      <c r="F222" s="59">
        <v>255</v>
      </c>
      <c r="G222" s="76" t="s">
        <v>59</v>
      </c>
      <c r="H222" s="64" t="str">
        <f t="shared" si="11"/>
        <v>20DD</v>
      </c>
      <c r="I222" s="59">
        <v>1</v>
      </c>
      <c r="J222" s="61"/>
    </row>
    <row r="223" spans="1:10" s="25" customFormat="1" ht="27" customHeight="1">
      <c r="A223" s="65">
        <f t="shared" si="10"/>
        <v>221</v>
      </c>
      <c r="B223" s="76" t="str">
        <f t="shared" si="9"/>
        <v>reserved_byte221</v>
      </c>
      <c r="C223" s="59">
        <v>255</v>
      </c>
      <c r="D223" s="60">
        <v>255</v>
      </c>
      <c r="E223" s="59">
        <v>0</v>
      </c>
      <c r="F223" s="59">
        <v>255</v>
      </c>
      <c r="G223" s="76" t="s">
        <v>59</v>
      </c>
      <c r="H223" s="64" t="str">
        <f t="shared" si="11"/>
        <v>20DE</v>
      </c>
      <c r="I223" s="59">
        <v>1</v>
      </c>
      <c r="J223" s="61"/>
    </row>
    <row r="224" spans="1:10" s="25" customFormat="1" ht="27" customHeight="1">
      <c r="A224" s="65">
        <f t="shared" si="10"/>
        <v>222</v>
      </c>
      <c r="B224" s="76" t="str">
        <f t="shared" si="9"/>
        <v>reserved_byte222</v>
      </c>
      <c r="C224" s="59">
        <v>255</v>
      </c>
      <c r="D224" s="60">
        <v>255</v>
      </c>
      <c r="E224" s="59">
        <v>0</v>
      </c>
      <c r="F224" s="59">
        <v>255</v>
      </c>
      <c r="G224" s="76" t="s">
        <v>59</v>
      </c>
      <c r="H224" s="64" t="str">
        <f t="shared" si="11"/>
        <v>20DF</v>
      </c>
      <c r="I224" s="59">
        <v>1</v>
      </c>
      <c r="J224" s="61"/>
    </row>
    <row r="225" spans="1:10" s="25" customFormat="1" ht="27" customHeight="1">
      <c r="A225" s="65">
        <f t="shared" si="10"/>
        <v>223</v>
      </c>
      <c r="B225" s="76" t="str">
        <f t="shared" si="9"/>
        <v>reserved_byte223</v>
      </c>
      <c r="C225" s="59">
        <v>255</v>
      </c>
      <c r="D225" s="60">
        <v>255</v>
      </c>
      <c r="E225" s="59">
        <v>0</v>
      </c>
      <c r="F225" s="59">
        <v>255</v>
      </c>
      <c r="G225" s="76" t="s">
        <v>59</v>
      </c>
      <c r="H225" s="64" t="str">
        <f t="shared" si="11"/>
        <v>20E0</v>
      </c>
      <c r="I225" s="59">
        <v>1</v>
      </c>
      <c r="J225" s="61"/>
    </row>
    <row r="226" spans="1:10" s="25" customFormat="1" ht="27" customHeight="1">
      <c r="A226" s="65">
        <f t="shared" si="10"/>
        <v>224</v>
      </c>
      <c r="B226" s="76" t="str">
        <f t="shared" si="9"/>
        <v>reserved_byte224</v>
      </c>
      <c r="C226" s="59">
        <v>255</v>
      </c>
      <c r="D226" s="60">
        <v>255</v>
      </c>
      <c r="E226" s="59">
        <v>0</v>
      </c>
      <c r="F226" s="59">
        <v>255</v>
      </c>
      <c r="G226" s="76" t="s">
        <v>59</v>
      </c>
      <c r="H226" s="64" t="str">
        <f t="shared" si="11"/>
        <v>20E1</v>
      </c>
      <c r="I226" s="59">
        <v>1</v>
      </c>
      <c r="J226" s="61"/>
    </row>
    <row r="227" spans="1:10" s="25" customFormat="1" ht="27" customHeight="1">
      <c r="A227" s="65">
        <f t="shared" si="10"/>
        <v>225</v>
      </c>
      <c r="B227" s="76" t="str">
        <f t="shared" si="9"/>
        <v>reserved_byte225</v>
      </c>
      <c r="C227" s="59">
        <v>255</v>
      </c>
      <c r="D227" s="60">
        <v>255</v>
      </c>
      <c r="E227" s="59">
        <v>0</v>
      </c>
      <c r="F227" s="59">
        <v>255</v>
      </c>
      <c r="G227" s="76" t="s">
        <v>59</v>
      </c>
      <c r="H227" s="64" t="str">
        <f t="shared" si="11"/>
        <v>20E2</v>
      </c>
      <c r="I227" s="59">
        <v>1</v>
      </c>
      <c r="J227" s="61"/>
    </row>
    <row r="228" spans="1:10" s="25" customFormat="1" ht="27" customHeight="1">
      <c r="A228" s="65">
        <f t="shared" si="10"/>
        <v>226</v>
      </c>
      <c r="B228" s="76" t="str">
        <f t="shared" si="9"/>
        <v>reserved_byte226</v>
      </c>
      <c r="C228" s="59">
        <v>255</v>
      </c>
      <c r="D228" s="60">
        <v>255</v>
      </c>
      <c r="E228" s="59">
        <v>0</v>
      </c>
      <c r="F228" s="59">
        <v>255</v>
      </c>
      <c r="G228" s="76" t="s">
        <v>59</v>
      </c>
      <c r="H228" s="64" t="str">
        <f t="shared" si="11"/>
        <v>20E3</v>
      </c>
      <c r="I228" s="59">
        <v>1</v>
      </c>
      <c r="J228" s="61"/>
    </row>
    <row r="229" spans="1:10" s="25" customFormat="1" ht="27" customHeight="1">
      <c r="A229" s="65">
        <f t="shared" si="10"/>
        <v>227</v>
      </c>
      <c r="B229" s="76" t="str">
        <f t="shared" si="9"/>
        <v>reserved_byte227</v>
      </c>
      <c r="C229" s="59">
        <v>255</v>
      </c>
      <c r="D229" s="60">
        <v>255</v>
      </c>
      <c r="E229" s="59">
        <v>0</v>
      </c>
      <c r="F229" s="59">
        <v>255</v>
      </c>
      <c r="G229" s="76" t="s">
        <v>59</v>
      </c>
      <c r="H229" s="64" t="str">
        <f t="shared" si="11"/>
        <v>20E4</v>
      </c>
      <c r="I229" s="59">
        <v>1</v>
      </c>
      <c r="J229" s="61"/>
    </row>
    <row r="230" spans="1:10" s="25" customFormat="1" ht="27" customHeight="1">
      <c r="A230" s="65">
        <f t="shared" si="10"/>
        <v>228</v>
      </c>
      <c r="B230" s="76" t="str">
        <f t="shared" si="9"/>
        <v>reserved_byte228</v>
      </c>
      <c r="C230" s="59">
        <v>255</v>
      </c>
      <c r="D230" s="60">
        <v>255</v>
      </c>
      <c r="E230" s="59">
        <v>0</v>
      </c>
      <c r="F230" s="59">
        <v>255</v>
      </c>
      <c r="G230" s="76" t="s">
        <v>59</v>
      </c>
      <c r="H230" s="64" t="str">
        <f t="shared" si="11"/>
        <v>20E5</v>
      </c>
      <c r="I230" s="59">
        <v>1</v>
      </c>
      <c r="J230" s="61"/>
    </row>
    <row r="231" spans="1:10" s="25" customFormat="1" ht="27" customHeight="1">
      <c r="A231" s="65">
        <f t="shared" si="10"/>
        <v>229</v>
      </c>
      <c r="B231" s="76" t="str">
        <f t="shared" si="9"/>
        <v>reserved_byte229</v>
      </c>
      <c r="C231" s="59">
        <v>255</v>
      </c>
      <c r="D231" s="60">
        <v>255</v>
      </c>
      <c r="E231" s="59">
        <v>0</v>
      </c>
      <c r="F231" s="59">
        <v>255</v>
      </c>
      <c r="G231" s="76" t="s">
        <v>59</v>
      </c>
      <c r="H231" s="64" t="str">
        <f t="shared" si="11"/>
        <v>20E6</v>
      </c>
      <c r="I231" s="59">
        <v>1</v>
      </c>
      <c r="J231" s="61"/>
    </row>
    <row r="232" spans="1:10" s="25" customFormat="1" ht="27" customHeight="1">
      <c r="A232" s="65">
        <f t="shared" si="10"/>
        <v>230</v>
      </c>
      <c r="B232" s="76" t="str">
        <f t="shared" si="9"/>
        <v>reserved_byte230</v>
      </c>
      <c r="C232" s="59">
        <v>255</v>
      </c>
      <c r="D232" s="60">
        <v>255</v>
      </c>
      <c r="E232" s="59">
        <v>0</v>
      </c>
      <c r="F232" s="59">
        <v>255</v>
      </c>
      <c r="G232" s="76" t="s">
        <v>59</v>
      </c>
      <c r="H232" s="64" t="str">
        <f t="shared" si="11"/>
        <v>20E7</v>
      </c>
      <c r="I232" s="59">
        <v>1</v>
      </c>
      <c r="J232" s="61"/>
    </row>
    <row r="233" spans="1:10" s="25" customFormat="1" ht="27" customHeight="1">
      <c r="A233" s="65">
        <f t="shared" si="10"/>
        <v>231</v>
      </c>
      <c r="B233" s="76" t="str">
        <f t="shared" si="9"/>
        <v>reserved_byte231</v>
      </c>
      <c r="C233" s="59">
        <v>255</v>
      </c>
      <c r="D233" s="60">
        <v>255</v>
      </c>
      <c r="E233" s="59">
        <v>0</v>
      </c>
      <c r="F233" s="59">
        <v>255</v>
      </c>
      <c r="G233" s="76" t="s">
        <v>59</v>
      </c>
      <c r="H233" s="64" t="str">
        <f t="shared" si="11"/>
        <v>20E8</v>
      </c>
      <c r="I233" s="59">
        <v>1</v>
      </c>
      <c r="J233" s="61"/>
    </row>
    <row r="234" spans="1:10" s="25" customFormat="1" ht="27" customHeight="1">
      <c r="A234" s="65">
        <f t="shared" si="10"/>
        <v>232</v>
      </c>
      <c r="B234" s="76" t="str">
        <f t="shared" si="9"/>
        <v>reserved_byte232</v>
      </c>
      <c r="C234" s="59">
        <v>255</v>
      </c>
      <c r="D234" s="60">
        <v>255</v>
      </c>
      <c r="E234" s="59">
        <v>0</v>
      </c>
      <c r="F234" s="59">
        <v>255</v>
      </c>
      <c r="G234" s="76" t="s">
        <v>59</v>
      </c>
      <c r="H234" s="64" t="str">
        <f t="shared" si="11"/>
        <v>20E9</v>
      </c>
      <c r="I234" s="59">
        <v>1</v>
      </c>
      <c r="J234" s="61"/>
    </row>
    <row r="235" spans="1:10" s="25" customFormat="1" ht="27" customHeight="1">
      <c r="A235" s="65">
        <f t="shared" si="10"/>
        <v>233</v>
      </c>
      <c r="B235" s="76" t="str">
        <f t="shared" si="9"/>
        <v>reserved_byte233</v>
      </c>
      <c r="C235" s="59">
        <v>255</v>
      </c>
      <c r="D235" s="60">
        <v>255</v>
      </c>
      <c r="E235" s="59">
        <v>0</v>
      </c>
      <c r="F235" s="59">
        <v>255</v>
      </c>
      <c r="G235" s="76" t="s">
        <v>59</v>
      </c>
      <c r="H235" s="64" t="str">
        <f t="shared" si="11"/>
        <v>20EA</v>
      </c>
      <c r="I235" s="59">
        <v>1</v>
      </c>
      <c r="J235" s="61"/>
    </row>
    <row r="236" spans="1:10" s="25" customFormat="1" ht="27" customHeight="1">
      <c r="A236" s="65">
        <f t="shared" si="10"/>
        <v>234</v>
      </c>
      <c r="B236" s="76" t="str">
        <f t="shared" si="9"/>
        <v>reserved_byte234</v>
      </c>
      <c r="C236" s="59">
        <v>255</v>
      </c>
      <c r="D236" s="60">
        <v>255</v>
      </c>
      <c r="E236" s="59">
        <v>0</v>
      </c>
      <c r="F236" s="59">
        <v>255</v>
      </c>
      <c r="G236" s="76" t="s">
        <v>59</v>
      </c>
      <c r="H236" s="64" t="str">
        <f t="shared" si="11"/>
        <v>20EB</v>
      </c>
      <c r="I236" s="59">
        <v>1</v>
      </c>
      <c r="J236" s="61"/>
    </row>
    <row r="237" spans="1:10" s="25" customFormat="1" ht="27" customHeight="1">
      <c r="A237" s="65">
        <f t="shared" si="10"/>
        <v>235</v>
      </c>
      <c r="B237" s="76" t="str">
        <f t="shared" si="9"/>
        <v>reserved_byte235</v>
      </c>
      <c r="C237" s="59">
        <v>255</v>
      </c>
      <c r="D237" s="60">
        <v>255</v>
      </c>
      <c r="E237" s="59">
        <v>0</v>
      </c>
      <c r="F237" s="59">
        <v>255</v>
      </c>
      <c r="G237" s="76" t="s">
        <v>59</v>
      </c>
      <c r="H237" s="64" t="str">
        <f t="shared" si="11"/>
        <v>20EC</v>
      </c>
      <c r="I237" s="59">
        <v>1</v>
      </c>
      <c r="J237" s="61"/>
    </row>
    <row r="238" spans="1:10" s="25" customFormat="1" ht="27" customHeight="1">
      <c r="A238" s="65">
        <f t="shared" si="10"/>
        <v>236</v>
      </c>
      <c r="B238" s="76" t="str">
        <f t="shared" si="9"/>
        <v>reserved_byte236</v>
      </c>
      <c r="C238" s="59">
        <v>255</v>
      </c>
      <c r="D238" s="60">
        <v>255</v>
      </c>
      <c r="E238" s="59">
        <v>0</v>
      </c>
      <c r="F238" s="59">
        <v>255</v>
      </c>
      <c r="G238" s="76" t="s">
        <v>59</v>
      </c>
      <c r="H238" s="64" t="str">
        <f t="shared" si="11"/>
        <v>20ED</v>
      </c>
      <c r="I238" s="59">
        <v>1</v>
      </c>
      <c r="J238" s="61"/>
    </row>
    <row r="239" spans="1:10" s="25" customFormat="1" ht="27" customHeight="1">
      <c r="A239" s="65">
        <f t="shared" si="10"/>
        <v>237</v>
      </c>
      <c r="B239" s="76" t="str">
        <f t="shared" si="9"/>
        <v>reserved_byte237</v>
      </c>
      <c r="C239" s="59">
        <v>255</v>
      </c>
      <c r="D239" s="60">
        <v>255</v>
      </c>
      <c r="E239" s="59">
        <v>0</v>
      </c>
      <c r="F239" s="59">
        <v>255</v>
      </c>
      <c r="G239" s="76" t="s">
        <v>59</v>
      </c>
      <c r="H239" s="64" t="str">
        <f t="shared" si="11"/>
        <v>20EE</v>
      </c>
      <c r="I239" s="59">
        <v>1</v>
      </c>
      <c r="J239" s="61"/>
    </row>
    <row r="240" spans="1:10" s="25" customFormat="1" ht="27" customHeight="1">
      <c r="A240" s="65">
        <f t="shared" si="10"/>
        <v>238</v>
      </c>
      <c r="B240" s="76" t="str">
        <f t="shared" si="9"/>
        <v>reserved_byte238</v>
      </c>
      <c r="C240" s="59">
        <v>255</v>
      </c>
      <c r="D240" s="60">
        <v>255</v>
      </c>
      <c r="E240" s="59">
        <v>0</v>
      </c>
      <c r="F240" s="59">
        <v>255</v>
      </c>
      <c r="G240" s="76" t="s">
        <v>59</v>
      </c>
      <c r="H240" s="64" t="str">
        <f t="shared" si="11"/>
        <v>20EF</v>
      </c>
      <c r="I240" s="59">
        <v>1</v>
      </c>
      <c r="J240" s="61"/>
    </row>
    <row r="241" spans="1:10" s="25" customFormat="1" ht="27" customHeight="1">
      <c r="A241" s="65">
        <f t="shared" si="10"/>
        <v>239</v>
      </c>
      <c r="B241" s="76" t="str">
        <f t="shared" si="9"/>
        <v>reserved_byte239</v>
      </c>
      <c r="C241" s="59">
        <v>255</v>
      </c>
      <c r="D241" s="60">
        <v>255</v>
      </c>
      <c r="E241" s="59">
        <v>0</v>
      </c>
      <c r="F241" s="59">
        <v>255</v>
      </c>
      <c r="G241" s="76" t="s">
        <v>59</v>
      </c>
      <c r="H241" s="64" t="str">
        <f t="shared" si="11"/>
        <v>20F0</v>
      </c>
      <c r="I241" s="59">
        <v>1</v>
      </c>
      <c r="J241" s="61"/>
    </row>
    <row r="242" spans="1:10" s="25" customFormat="1" ht="27" customHeight="1">
      <c r="A242" s="65">
        <f t="shared" si="10"/>
        <v>240</v>
      </c>
      <c r="B242" s="76" t="str">
        <f t="shared" si="9"/>
        <v>reserved_byte240</v>
      </c>
      <c r="C242" s="59">
        <v>255</v>
      </c>
      <c r="D242" s="60">
        <v>255</v>
      </c>
      <c r="E242" s="59">
        <v>0</v>
      </c>
      <c r="F242" s="59">
        <v>255</v>
      </c>
      <c r="G242" s="76" t="s">
        <v>59</v>
      </c>
      <c r="H242" s="64" t="str">
        <f t="shared" si="11"/>
        <v>20F1</v>
      </c>
      <c r="I242" s="59">
        <v>1</v>
      </c>
      <c r="J242" s="61"/>
    </row>
    <row r="243" spans="1:10" s="25" customFormat="1" ht="27" customHeight="1">
      <c r="A243" s="65">
        <f t="shared" si="10"/>
        <v>241</v>
      </c>
      <c r="B243" s="76" t="str">
        <f t="shared" si="9"/>
        <v>reserved_byte241</v>
      </c>
      <c r="C243" s="59">
        <v>255</v>
      </c>
      <c r="D243" s="60">
        <v>255</v>
      </c>
      <c r="E243" s="59">
        <v>0</v>
      </c>
      <c r="F243" s="59">
        <v>255</v>
      </c>
      <c r="G243" s="76" t="s">
        <v>59</v>
      </c>
      <c r="H243" s="64" t="str">
        <f t="shared" si="11"/>
        <v>20F2</v>
      </c>
      <c r="I243" s="59">
        <v>1</v>
      </c>
      <c r="J243" s="61"/>
    </row>
    <row r="244" spans="1:10" s="25" customFormat="1" ht="27" customHeight="1">
      <c r="A244" s="65">
        <f t="shared" si="10"/>
        <v>242</v>
      </c>
      <c r="B244" s="76" t="str">
        <f t="shared" si="9"/>
        <v>reserved_byte242</v>
      </c>
      <c r="C244" s="59">
        <v>255</v>
      </c>
      <c r="D244" s="60">
        <v>255</v>
      </c>
      <c r="E244" s="59">
        <v>0</v>
      </c>
      <c r="F244" s="59">
        <v>255</v>
      </c>
      <c r="G244" s="76" t="s">
        <v>59</v>
      </c>
      <c r="H244" s="64" t="str">
        <f t="shared" si="11"/>
        <v>20F3</v>
      </c>
      <c r="I244" s="59">
        <v>1</v>
      </c>
      <c r="J244" s="61"/>
    </row>
    <row r="245" spans="1:10" s="25" customFormat="1" ht="27" customHeight="1">
      <c r="A245" s="65">
        <f t="shared" si="10"/>
        <v>243</v>
      </c>
      <c r="B245" s="76" t="str">
        <f t="shared" si="9"/>
        <v>reserved_byte243</v>
      </c>
      <c r="C245" s="59">
        <v>255</v>
      </c>
      <c r="D245" s="60">
        <v>255</v>
      </c>
      <c r="E245" s="59">
        <v>0</v>
      </c>
      <c r="F245" s="59">
        <v>255</v>
      </c>
      <c r="G245" s="76" t="s">
        <v>59</v>
      </c>
      <c r="H245" s="64" t="str">
        <f t="shared" si="11"/>
        <v>20F4</v>
      </c>
      <c r="I245" s="59">
        <v>1</v>
      </c>
      <c r="J245" s="61"/>
    </row>
    <row r="246" spans="1:10" s="25" customFormat="1" ht="27" customHeight="1">
      <c r="A246" s="65">
        <f t="shared" si="10"/>
        <v>244</v>
      </c>
      <c r="B246" s="76" t="str">
        <f t="shared" si="9"/>
        <v>reserved_byte244</v>
      </c>
      <c r="C246" s="59">
        <v>255</v>
      </c>
      <c r="D246" s="60">
        <v>255</v>
      </c>
      <c r="E246" s="59">
        <v>0</v>
      </c>
      <c r="F246" s="59">
        <v>255</v>
      </c>
      <c r="G246" s="76" t="s">
        <v>59</v>
      </c>
      <c r="H246" s="64" t="str">
        <f t="shared" si="11"/>
        <v>20F5</v>
      </c>
      <c r="I246" s="59">
        <v>1</v>
      </c>
      <c r="J246" s="61"/>
    </row>
    <row r="247" spans="1:10" s="25" customFormat="1" ht="27" customHeight="1">
      <c r="A247" s="65">
        <f t="shared" si="10"/>
        <v>245</v>
      </c>
      <c r="B247" s="76" t="str">
        <f t="shared" si="9"/>
        <v>reserved_byte245</v>
      </c>
      <c r="C247" s="59">
        <v>255</v>
      </c>
      <c r="D247" s="60">
        <v>255</v>
      </c>
      <c r="E247" s="59">
        <v>0</v>
      </c>
      <c r="F247" s="59">
        <v>255</v>
      </c>
      <c r="G247" s="76" t="s">
        <v>59</v>
      </c>
      <c r="H247" s="64" t="str">
        <f t="shared" si="11"/>
        <v>20F6</v>
      </c>
      <c r="I247" s="59">
        <v>1</v>
      </c>
      <c r="J247" s="61"/>
    </row>
    <row r="248" spans="1:10" s="25" customFormat="1" ht="27" customHeight="1">
      <c r="A248" s="65">
        <f t="shared" si="10"/>
        <v>246</v>
      </c>
      <c r="B248" s="76" t="str">
        <f t="shared" si="9"/>
        <v>reserved_byte246</v>
      </c>
      <c r="C248" s="59">
        <v>255</v>
      </c>
      <c r="D248" s="60">
        <v>255</v>
      </c>
      <c r="E248" s="59">
        <v>0</v>
      </c>
      <c r="F248" s="59">
        <v>255</v>
      </c>
      <c r="G248" s="76" t="s">
        <v>59</v>
      </c>
      <c r="H248" s="64" t="str">
        <f t="shared" si="11"/>
        <v>20F7</v>
      </c>
      <c r="I248" s="59">
        <v>1</v>
      </c>
      <c r="J248" s="61"/>
    </row>
    <row r="249" spans="1:10" s="25" customFormat="1" ht="27" customHeight="1">
      <c r="A249" s="65">
        <f t="shared" si="10"/>
        <v>247</v>
      </c>
      <c r="B249" s="76" t="str">
        <f t="shared" si="9"/>
        <v>reserved_byte247</v>
      </c>
      <c r="C249" s="59">
        <v>255</v>
      </c>
      <c r="D249" s="60">
        <v>255</v>
      </c>
      <c r="E249" s="59">
        <v>0</v>
      </c>
      <c r="F249" s="59">
        <v>255</v>
      </c>
      <c r="G249" s="76" t="s">
        <v>59</v>
      </c>
      <c r="H249" s="64" t="str">
        <f t="shared" si="11"/>
        <v>20F8</v>
      </c>
      <c r="I249" s="59">
        <v>1</v>
      </c>
      <c r="J249" s="61"/>
    </row>
    <row r="250" spans="1:10" s="25" customFormat="1" ht="27" customHeight="1">
      <c r="A250" s="65">
        <f t="shared" si="10"/>
        <v>248</v>
      </c>
      <c r="B250" s="76" t="str">
        <f t="shared" si="9"/>
        <v>reserved_byte248</v>
      </c>
      <c r="C250" s="59">
        <v>255</v>
      </c>
      <c r="D250" s="60">
        <v>255</v>
      </c>
      <c r="E250" s="59">
        <v>0</v>
      </c>
      <c r="F250" s="59">
        <v>255</v>
      </c>
      <c r="G250" s="76" t="s">
        <v>59</v>
      </c>
      <c r="H250" s="64" t="str">
        <f t="shared" si="11"/>
        <v>20F9</v>
      </c>
      <c r="I250" s="59">
        <v>1</v>
      </c>
      <c r="J250" s="61"/>
    </row>
    <row r="251" spans="1:10" s="25" customFormat="1" ht="27" customHeight="1">
      <c r="A251" s="65">
        <f t="shared" si="10"/>
        <v>249</v>
      </c>
      <c r="B251" s="76" t="str">
        <f t="shared" si="9"/>
        <v>reserved_byte249</v>
      </c>
      <c r="C251" s="59">
        <v>255</v>
      </c>
      <c r="D251" s="60">
        <v>255</v>
      </c>
      <c r="E251" s="59">
        <v>0</v>
      </c>
      <c r="F251" s="59">
        <v>255</v>
      </c>
      <c r="G251" s="76" t="s">
        <v>59</v>
      </c>
      <c r="H251" s="64" t="str">
        <f t="shared" si="11"/>
        <v>20FA</v>
      </c>
      <c r="I251" s="59">
        <v>1</v>
      </c>
      <c r="J251" s="61"/>
    </row>
    <row r="252" spans="1:10" s="25" customFormat="1" ht="27" customHeight="1">
      <c r="A252" s="65">
        <f t="shared" si="10"/>
        <v>250</v>
      </c>
      <c r="B252" s="76" t="str">
        <f t="shared" si="9"/>
        <v>reserved_byte250</v>
      </c>
      <c r="C252" s="59">
        <v>255</v>
      </c>
      <c r="D252" s="60">
        <v>255</v>
      </c>
      <c r="E252" s="59">
        <v>0</v>
      </c>
      <c r="F252" s="59">
        <v>255</v>
      </c>
      <c r="G252" s="76" t="s">
        <v>59</v>
      </c>
      <c r="H252" s="64" t="str">
        <f t="shared" si="11"/>
        <v>20FB</v>
      </c>
      <c r="I252" s="59">
        <v>1</v>
      </c>
      <c r="J252" s="61"/>
    </row>
    <row r="253" spans="1:10" s="25" customFormat="1" ht="27" customHeight="1">
      <c r="A253" s="65">
        <f t="shared" si="10"/>
        <v>251</v>
      </c>
      <c r="B253" s="76" t="str">
        <f t="shared" si="9"/>
        <v>reserved_byte251</v>
      </c>
      <c r="C253" s="59">
        <v>255</v>
      </c>
      <c r="D253" s="60">
        <v>255</v>
      </c>
      <c r="E253" s="59">
        <v>0</v>
      </c>
      <c r="F253" s="59">
        <v>255</v>
      </c>
      <c r="G253" s="76" t="s">
        <v>59</v>
      </c>
      <c r="H253" s="64" t="str">
        <f t="shared" si="11"/>
        <v>20FC</v>
      </c>
      <c r="I253" s="59">
        <v>1</v>
      </c>
      <c r="J253" s="61"/>
    </row>
  </sheetData>
  <dataValidations count="3">
    <dataValidation type="decimal" operator="lessThanOrEqual" allowBlank="1" showInputMessage="1" showErrorMessage="1" sqref="F2:F253">
      <formula1>255</formula1>
    </dataValidation>
    <dataValidation type="decimal" allowBlank="1" showInputMessage="1" showErrorMessage="1" sqref="D2:D253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0">
    <tabColor rgb="FFFF0000"/>
    <pageSetUpPr fitToPage="1"/>
  </sheetPr>
  <dimension ref="A1:J201"/>
  <sheetViews>
    <sheetView topLeftCell="A208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 t="shared" ref="B2:B33" si="0"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6" t="s">
        <v>59</v>
      </c>
      <c r="H2" s="63">
        <v>2201</v>
      </c>
      <c r="I2" s="59">
        <v>1</v>
      </c>
      <c r="J2" s="61"/>
    </row>
    <row r="3" spans="1:10" s="25" customFormat="1" ht="27" customHeight="1">
      <c r="A3" s="65">
        <f t="shared" ref="A3:A34" si="1">A2+1</f>
        <v>1</v>
      </c>
      <c r="B3" s="76" t="str">
        <f t="shared" si="0"/>
        <v>reserved_byte1</v>
      </c>
      <c r="C3" s="59">
        <v>255</v>
      </c>
      <c r="D3" s="60">
        <v>255</v>
      </c>
      <c r="E3" s="59">
        <v>0</v>
      </c>
      <c r="F3" s="59">
        <v>255</v>
      </c>
      <c r="G3" s="76" t="s">
        <v>59</v>
      </c>
      <c r="H3" s="64" t="str">
        <f t="shared" ref="H3:H34" si="2">DEC2HEX((HEX2DEC(H2)+1),4)</f>
        <v>2202</v>
      </c>
      <c r="I3" s="59">
        <v>1</v>
      </c>
      <c r="J3" s="61"/>
    </row>
    <row r="4" spans="1:10" s="25" customFormat="1" ht="27" customHeight="1">
      <c r="A4" s="65">
        <f t="shared" si="1"/>
        <v>2</v>
      </c>
      <c r="B4" s="76" t="str">
        <f t="shared" si="0"/>
        <v>reserved_byte2</v>
      </c>
      <c r="C4" s="59">
        <v>255</v>
      </c>
      <c r="D4" s="60">
        <v>255</v>
      </c>
      <c r="E4" s="59">
        <v>0</v>
      </c>
      <c r="F4" s="59">
        <v>255</v>
      </c>
      <c r="G4" s="76" t="s">
        <v>59</v>
      </c>
      <c r="H4" s="64" t="str">
        <f t="shared" si="2"/>
        <v>2203</v>
      </c>
      <c r="I4" s="59">
        <v>1</v>
      </c>
      <c r="J4" s="61"/>
    </row>
    <row r="5" spans="1:10" s="25" customFormat="1" ht="27" customHeight="1">
      <c r="A5" s="65">
        <f t="shared" si="1"/>
        <v>3</v>
      </c>
      <c r="B5" s="76" t="str">
        <f t="shared" si="0"/>
        <v>reserved_byte3</v>
      </c>
      <c r="C5" s="59">
        <v>255</v>
      </c>
      <c r="D5" s="60">
        <v>255</v>
      </c>
      <c r="E5" s="59">
        <v>0</v>
      </c>
      <c r="F5" s="59">
        <v>255</v>
      </c>
      <c r="G5" s="76" t="s">
        <v>59</v>
      </c>
      <c r="H5" s="64" t="str">
        <f t="shared" si="2"/>
        <v>2204</v>
      </c>
      <c r="I5" s="59">
        <v>1</v>
      </c>
      <c r="J5" s="61"/>
    </row>
    <row r="6" spans="1:10" s="25" customFormat="1" ht="27" customHeight="1">
      <c r="A6" s="65">
        <f t="shared" si="1"/>
        <v>4</v>
      </c>
      <c r="B6" s="76" t="str">
        <f t="shared" si="0"/>
        <v>reserved_byte4</v>
      </c>
      <c r="C6" s="59">
        <v>255</v>
      </c>
      <c r="D6" s="60">
        <v>255</v>
      </c>
      <c r="E6" s="59">
        <v>0</v>
      </c>
      <c r="F6" s="59">
        <v>255</v>
      </c>
      <c r="G6" s="76" t="s">
        <v>59</v>
      </c>
      <c r="H6" s="64" t="str">
        <f t="shared" si="2"/>
        <v>2205</v>
      </c>
      <c r="I6" s="59">
        <v>1</v>
      </c>
      <c r="J6" s="61"/>
    </row>
    <row r="7" spans="1:10" s="25" customFormat="1" ht="27" customHeight="1">
      <c r="A7" s="65">
        <f t="shared" si="1"/>
        <v>5</v>
      </c>
      <c r="B7" s="76" t="str">
        <f t="shared" si="0"/>
        <v>reserved_byte5</v>
      </c>
      <c r="C7" s="59">
        <v>255</v>
      </c>
      <c r="D7" s="60">
        <v>255</v>
      </c>
      <c r="E7" s="59">
        <v>0</v>
      </c>
      <c r="F7" s="59">
        <v>255</v>
      </c>
      <c r="G7" s="76" t="s">
        <v>59</v>
      </c>
      <c r="H7" s="64" t="str">
        <f t="shared" si="2"/>
        <v>2206</v>
      </c>
      <c r="I7" s="59">
        <v>1</v>
      </c>
      <c r="J7" s="61"/>
    </row>
    <row r="8" spans="1:10" s="25" customFormat="1" ht="27" customHeight="1">
      <c r="A8" s="65">
        <f t="shared" si="1"/>
        <v>6</v>
      </c>
      <c r="B8" s="76" t="str">
        <f t="shared" si="0"/>
        <v>reserved_byte6</v>
      </c>
      <c r="C8" s="59">
        <v>255</v>
      </c>
      <c r="D8" s="60">
        <v>255</v>
      </c>
      <c r="E8" s="59">
        <v>0</v>
      </c>
      <c r="F8" s="59">
        <v>255</v>
      </c>
      <c r="G8" s="76" t="s">
        <v>59</v>
      </c>
      <c r="H8" s="64" t="str">
        <f t="shared" si="2"/>
        <v>2207</v>
      </c>
      <c r="I8" s="59">
        <v>1</v>
      </c>
      <c r="J8" s="61"/>
    </row>
    <row r="9" spans="1:10" s="25" customFormat="1" ht="27" customHeight="1">
      <c r="A9" s="65">
        <f t="shared" si="1"/>
        <v>7</v>
      </c>
      <c r="B9" s="76" t="str">
        <f t="shared" si="0"/>
        <v>reserved_byte7</v>
      </c>
      <c r="C9" s="59">
        <v>255</v>
      </c>
      <c r="D9" s="60">
        <v>255</v>
      </c>
      <c r="E9" s="59">
        <v>0</v>
      </c>
      <c r="F9" s="59">
        <v>255</v>
      </c>
      <c r="G9" s="76" t="s">
        <v>59</v>
      </c>
      <c r="H9" s="64" t="str">
        <f t="shared" si="2"/>
        <v>2208</v>
      </c>
      <c r="I9" s="59">
        <v>1</v>
      </c>
      <c r="J9" s="61"/>
    </row>
    <row r="10" spans="1:10" s="25" customFormat="1" ht="27" customHeight="1">
      <c r="A10" s="65">
        <f t="shared" si="1"/>
        <v>8</v>
      </c>
      <c r="B10" s="76" t="str">
        <f t="shared" si="0"/>
        <v>reserved_byte8</v>
      </c>
      <c r="C10" s="59">
        <v>255</v>
      </c>
      <c r="D10" s="60">
        <v>255</v>
      </c>
      <c r="E10" s="59">
        <v>0</v>
      </c>
      <c r="F10" s="59">
        <v>255</v>
      </c>
      <c r="G10" s="76" t="s">
        <v>59</v>
      </c>
      <c r="H10" s="64" t="str">
        <f t="shared" si="2"/>
        <v>2209</v>
      </c>
      <c r="I10" s="59">
        <v>1</v>
      </c>
      <c r="J10" s="61"/>
    </row>
    <row r="11" spans="1:10" s="25" customFormat="1" ht="27" customHeight="1">
      <c r="A11" s="65">
        <f t="shared" si="1"/>
        <v>9</v>
      </c>
      <c r="B11" s="76" t="str">
        <f t="shared" si="0"/>
        <v>reserved_byte9</v>
      </c>
      <c r="C11" s="59">
        <v>255</v>
      </c>
      <c r="D11" s="60">
        <v>255</v>
      </c>
      <c r="E11" s="59">
        <v>0</v>
      </c>
      <c r="F11" s="59">
        <v>255</v>
      </c>
      <c r="G11" s="76" t="s">
        <v>59</v>
      </c>
      <c r="H11" s="64" t="str">
        <f t="shared" si="2"/>
        <v>220A</v>
      </c>
      <c r="I11" s="59">
        <v>1</v>
      </c>
      <c r="J11" s="61"/>
    </row>
    <row r="12" spans="1:10" s="25" customFormat="1" ht="27" customHeight="1">
      <c r="A12" s="65">
        <f t="shared" si="1"/>
        <v>10</v>
      </c>
      <c r="B12" s="76" t="str">
        <f t="shared" si="0"/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6" t="s">
        <v>59</v>
      </c>
      <c r="H12" s="64" t="str">
        <f t="shared" si="2"/>
        <v>220B</v>
      </c>
      <c r="I12" s="59">
        <v>1</v>
      </c>
      <c r="J12" s="61"/>
    </row>
    <row r="13" spans="1:10" s="25" customFormat="1" ht="27" customHeight="1">
      <c r="A13" s="65">
        <f t="shared" si="1"/>
        <v>11</v>
      </c>
      <c r="B13" s="76" t="str">
        <f t="shared" si="0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6" t="s">
        <v>59</v>
      </c>
      <c r="H13" s="64" t="str">
        <f t="shared" si="2"/>
        <v>220C</v>
      </c>
      <c r="I13" s="59">
        <v>1</v>
      </c>
      <c r="J13" s="61"/>
    </row>
    <row r="14" spans="1:10" s="25" customFormat="1" ht="27" customHeight="1">
      <c r="A14" s="65">
        <f t="shared" si="1"/>
        <v>12</v>
      </c>
      <c r="B14" s="76" t="str">
        <f t="shared" si="0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6" t="s">
        <v>59</v>
      </c>
      <c r="H14" s="64" t="str">
        <f t="shared" si="2"/>
        <v>220D</v>
      </c>
      <c r="I14" s="59">
        <v>1</v>
      </c>
      <c r="J14" s="61"/>
    </row>
    <row r="15" spans="1:10" s="25" customFormat="1" ht="27" customHeight="1">
      <c r="A15" s="65">
        <f t="shared" si="1"/>
        <v>13</v>
      </c>
      <c r="B15" s="76" t="str">
        <f t="shared" si="0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6" t="s">
        <v>59</v>
      </c>
      <c r="H15" s="64" t="str">
        <f t="shared" si="2"/>
        <v>220E</v>
      </c>
      <c r="I15" s="59">
        <v>1</v>
      </c>
      <c r="J15" s="61"/>
    </row>
    <row r="16" spans="1:10" s="25" customFormat="1" ht="27" customHeight="1">
      <c r="A16" s="65">
        <f t="shared" si="1"/>
        <v>14</v>
      </c>
      <c r="B16" s="76" t="str">
        <f t="shared" si="0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6" t="s">
        <v>59</v>
      </c>
      <c r="H16" s="64" t="str">
        <f t="shared" si="2"/>
        <v>220F</v>
      </c>
      <c r="I16" s="59">
        <v>1</v>
      </c>
      <c r="J16" s="61"/>
    </row>
    <row r="17" spans="1:10" s="25" customFormat="1" ht="27" customHeight="1">
      <c r="A17" s="65">
        <f t="shared" si="1"/>
        <v>15</v>
      </c>
      <c r="B17" s="76" t="str">
        <f t="shared" si="0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6" t="s">
        <v>59</v>
      </c>
      <c r="H17" s="64" t="str">
        <f t="shared" si="2"/>
        <v>2210</v>
      </c>
      <c r="I17" s="59">
        <v>1</v>
      </c>
      <c r="J17" s="61"/>
    </row>
    <row r="18" spans="1:10" s="25" customFormat="1" ht="27" customHeight="1">
      <c r="A18" s="65">
        <f t="shared" si="1"/>
        <v>16</v>
      </c>
      <c r="B18" s="76" t="str">
        <f t="shared" si="0"/>
        <v>reserved_byte16</v>
      </c>
      <c r="C18" s="59">
        <v>255</v>
      </c>
      <c r="D18" s="60">
        <v>255</v>
      </c>
      <c r="E18" s="59">
        <v>0</v>
      </c>
      <c r="F18" s="59">
        <v>255</v>
      </c>
      <c r="G18" s="76" t="s">
        <v>59</v>
      </c>
      <c r="H18" s="64" t="str">
        <f t="shared" si="2"/>
        <v>2211</v>
      </c>
      <c r="I18" s="59">
        <v>1</v>
      </c>
      <c r="J18" s="61"/>
    </row>
    <row r="19" spans="1:10" s="25" customFormat="1" ht="27" customHeight="1">
      <c r="A19" s="65">
        <f t="shared" si="1"/>
        <v>17</v>
      </c>
      <c r="B19" s="76" t="str">
        <f t="shared" si="0"/>
        <v>reserved_byte17</v>
      </c>
      <c r="C19" s="59">
        <v>255</v>
      </c>
      <c r="D19" s="60">
        <v>255</v>
      </c>
      <c r="E19" s="59">
        <v>0</v>
      </c>
      <c r="F19" s="59">
        <v>255</v>
      </c>
      <c r="G19" s="76" t="s">
        <v>59</v>
      </c>
      <c r="H19" s="64" t="str">
        <f t="shared" si="2"/>
        <v>2212</v>
      </c>
      <c r="I19" s="59">
        <v>1</v>
      </c>
      <c r="J19" s="61"/>
    </row>
    <row r="20" spans="1:10" s="25" customFormat="1" ht="27" customHeight="1">
      <c r="A20" s="65">
        <f t="shared" si="1"/>
        <v>18</v>
      </c>
      <c r="B20" s="76" t="str">
        <f t="shared" si="0"/>
        <v>reserved_byte18</v>
      </c>
      <c r="C20" s="59">
        <v>255</v>
      </c>
      <c r="D20" s="60">
        <v>255</v>
      </c>
      <c r="E20" s="59">
        <v>0</v>
      </c>
      <c r="F20" s="59">
        <v>255</v>
      </c>
      <c r="G20" s="76" t="s">
        <v>59</v>
      </c>
      <c r="H20" s="64" t="str">
        <f t="shared" si="2"/>
        <v>2213</v>
      </c>
      <c r="I20" s="59">
        <v>1</v>
      </c>
      <c r="J20" s="61"/>
    </row>
    <row r="21" spans="1:10" s="25" customFormat="1" ht="27" customHeight="1">
      <c r="A21" s="65">
        <f t="shared" si="1"/>
        <v>19</v>
      </c>
      <c r="B21" s="76" t="str">
        <f t="shared" si="0"/>
        <v>reserved_byte19</v>
      </c>
      <c r="C21" s="59">
        <v>255</v>
      </c>
      <c r="D21" s="60">
        <v>255</v>
      </c>
      <c r="E21" s="59">
        <v>0</v>
      </c>
      <c r="F21" s="59">
        <v>255</v>
      </c>
      <c r="G21" s="76" t="s">
        <v>59</v>
      </c>
      <c r="H21" s="64" t="str">
        <f t="shared" si="2"/>
        <v>2214</v>
      </c>
      <c r="I21" s="59">
        <v>1</v>
      </c>
      <c r="J21" s="61"/>
    </row>
    <row r="22" spans="1:10" s="25" customFormat="1" ht="27" customHeight="1">
      <c r="A22" s="65">
        <f t="shared" si="1"/>
        <v>20</v>
      </c>
      <c r="B22" s="76" t="str">
        <f t="shared" si="0"/>
        <v>reserved_byte20</v>
      </c>
      <c r="C22" s="59">
        <v>255</v>
      </c>
      <c r="D22" s="60">
        <v>255</v>
      </c>
      <c r="E22" s="59">
        <v>0</v>
      </c>
      <c r="F22" s="59">
        <v>255</v>
      </c>
      <c r="G22" s="76" t="s">
        <v>59</v>
      </c>
      <c r="H22" s="64" t="str">
        <f t="shared" si="2"/>
        <v>2215</v>
      </c>
      <c r="I22" s="59">
        <v>1</v>
      </c>
      <c r="J22" s="61"/>
    </row>
    <row r="23" spans="1:10" s="25" customFormat="1" ht="27" customHeight="1">
      <c r="A23" s="65">
        <f t="shared" si="1"/>
        <v>21</v>
      </c>
      <c r="B23" s="76" t="str">
        <f t="shared" si="0"/>
        <v>reserved_byte21</v>
      </c>
      <c r="C23" s="59">
        <v>255</v>
      </c>
      <c r="D23" s="60">
        <v>255</v>
      </c>
      <c r="E23" s="59">
        <v>0</v>
      </c>
      <c r="F23" s="59">
        <v>255</v>
      </c>
      <c r="G23" s="76" t="s">
        <v>59</v>
      </c>
      <c r="H23" s="64" t="str">
        <f t="shared" si="2"/>
        <v>2216</v>
      </c>
      <c r="I23" s="59">
        <v>1</v>
      </c>
      <c r="J23" s="61"/>
    </row>
    <row r="24" spans="1:10" s="25" customFormat="1" ht="27" customHeight="1">
      <c r="A24" s="65">
        <f t="shared" si="1"/>
        <v>22</v>
      </c>
      <c r="B24" s="76" t="str">
        <f t="shared" si="0"/>
        <v>reserved_byte22</v>
      </c>
      <c r="C24" s="59">
        <v>255</v>
      </c>
      <c r="D24" s="60">
        <v>255</v>
      </c>
      <c r="E24" s="59">
        <v>0</v>
      </c>
      <c r="F24" s="59">
        <v>255</v>
      </c>
      <c r="G24" s="76" t="s">
        <v>59</v>
      </c>
      <c r="H24" s="64" t="str">
        <f t="shared" si="2"/>
        <v>2217</v>
      </c>
      <c r="I24" s="59">
        <v>1</v>
      </c>
      <c r="J24" s="61"/>
    </row>
    <row r="25" spans="1:10" s="25" customFormat="1" ht="27" customHeight="1">
      <c r="A25" s="65">
        <f t="shared" si="1"/>
        <v>23</v>
      </c>
      <c r="B25" s="76" t="str">
        <f t="shared" si="0"/>
        <v>reserved_byte23</v>
      </c>
      <c r="C25" s="59">
        <v>255</v>
      </c>
      <c r="D25" s="60">
        <v>255</v>
      </c>
      <c r="E25" s="59">
        <v>0</v>
      </c>
      <c r="F25" s="59">
        <v>255</v>
      </c>
      <c r="G25" s="76" t="s">
        <v>59</v>
      </c>
      <c r="H25" s="64" t="str">
        <f t="shared" si="2"/>
        <v>2218</v>
      </c>
      <c r="I25" s="59">
        <v>1</v>
      </c>
      <c r="J25" s="61"/>
    </row>
    <row r="26" spans="1:10" s="25" customFormat="1" ht="27" customHeight="1">
      <c r="A26" s="65">
        <f t="shared" si="1"/>
        <v>24</v>
      </c>
      <c r="B26" s="76" t="str">
        <f t="shared" si="0"/>
        <v>reserved_byte24</v>
      </c>
      <c r="C26" s="59">
        <v>255</v>
      </c>
      <c r="D26" s="60">
        <v>255</v>
      </c>
      <c r="E26" s="59">
        <v>0</v>
      </c>
      <c r="F26" s="59">
        <v>255</v>
      </c>
      <c r="G26" s="76" t="s">
        <v>59</v>
      </c>
      <c r="H26" s="64" t="str">
        <f t="shared" si="2"/>
        <v>2219</v>
      </c>
      <c r="I26" s="59">
        <v>1</v>
      </c>
      <c r="J26" s="61"/>
    </row>
    <row r="27" spans="1:10" s="25" customFormat="1" ht="27" customHeight="1">
      <c r="A27" s="65">
        <f t="shared" si="1"/>
        <v>25</v>
      </c>
      <c r="B27" s="76" t="str">
        <f t="shared" si="0"/>
        <v>reserved_byte25</v>
      </c>
      <c r="C27" s="59">
        <v>255</v>
      </c>
      <c r="D27" s="60">
        <v>255</v>
      </c>
      <c r="E27" s="59">
        <v>0</v>
      </c>
      <c r="F27" s="59">
        <v>255</v>
      </c>
      <c r="G27" s="76" t="s">
        <v>59</v>
      </c>
      <c r="H27" s="64" t="str">
        <f t="shared" si="2"/>
        <v>221A</v>
      </c>
      <c r="I27" s="59">
        <v>1</v>
      </c>
      <c r="J27" s="61"/>
    </row>
    <row r="28" spans="1:10" s="25" customFormat="1" ht="27" customHeight="1">
      <c r="A28" s="65">
        <f t="shared" si="1"/>
        <v>26</v>
      </c>
      <c r="B28" s="76" t="str">
        <f t="shared" si="0"/>
        <v>reserved_byte26</v>
      </c>
      <c r="C28" s="59">
        <v>255</v>
      </c>
      <c r="D28" s="60">
        <v>255</v>
      </c>
      <c r="E28" s="59">
        <v>0</v>
      </c>
      <c r="F28" s="59">
        <v>255</v>
      </c>
      <c r="G28" s="76" t="s">
        <v>59</v>
      </c>
      <c r="H28" s="64" t="str">
        <f t="shared" si="2"/>
        <v>221B</v>
      </c>
      <c r="I28" s="59">
        <v>1</v>
      </c>
      <c r="J28" s="61"/>
    </row>
    <row r="29" spans="1:10" s="25" customFormat="1" ht="27" customHeight="1">
      <c r="A29" s="65">
        <f t="shared" si="1"/>
        <v>27</v>
      </c>
      <c r="B29" s="76" t="str">
        <f t="shared" si="0"/>
        <v>reserved_byte27</v>
      </c>
      <c r="C29" s="59">
        <v>255</v>
      </c>
      <c r="D29" s="60">
        <v>255</v>
      </c>
      <c r="E29" s="59">
        <v>0</v>
      </c>
      <c r="F29" s="59">
        <v>255</v>
      </c>
      <c r="G29" s="76" t="s">
        <v>59</v>
      </c>
      <c r="H29" s="64" t="str">
        <f t="shared" si="2"/>
        <v>221C</v>
      </c>
      <c r="I29" s="59">
        <v>1</v>
      </c>
      <c r="J29" s="61"/>
    </row>
    <row r="30" spans="1:10" s="25" customFormat="1" ht="27" customHeight="1">
      <c r="A30" s="65">
        <f t="shared" si="1"/>
        <v>28</v>
      </c>
      <c r="B30" s="76" t="str">
        <f t="shared" si="0"/>
        <v>reserved_byte28</v>
      </c>
      <c r="C30" s="59">
        <v>255</v>
      </c>
      <c r="D30" s="60">
        <v>255</v>
      </c>
      <c r="E30" s="59">
        <v>0</v>
      </c>
      <c r="F30" s="59">
        <v>255</v>
      </c>
      <c r="G30" s="76" t="s">
        <v>59</v>
      </c>
      <c r="H30" s="64" t="str">
        <f t="shared" si="2"/>
        <v>221D</v>
      </c>
      <c r="I30" s="59">
        <v>1</v>
      </c>
      <c r="J30" s="61"/>
    </row>
    <row r="31" spans="1:10" s="25" customFormat="1" ht="27" customHeight="1">
      <c r="A31" s="65">
        <f t="shared" si="1"/>
        <v>29</v>
      </c>
      <c r="B31" s="76" t="str">
        <f t="shared" si="0"/>
        <v>reserved_byte29</v>
      </c>
      <c r="C31" s="59">
        <v>255</v>
      </c>
      <c r="D31" s="60">
        <v>255</v>
      </c>
      <c r="E31" s="59">
        <v>0</v>
      </c>
      <c r="F31" s="59">
        <v>255</v>
      </c>
      <c r="G31" s="76" t="s">
        <v>59</v>
      </c>
      <c r="H31" s="64" t="str">
        <f t="shared" si="2"/>
        <v>221E</v>
      </c>
      <c r="I31" s="59">
        <v>1</v>
      </c>
      <c r="J31" s="61"/>
    </row>
    <row r="32" spans="1:10" s="25" customFormat="1" ht="27" customHeight="1">
      <c r="A32" s="65">
        <f t="shared" si="1"/>
        <v>30</v>
      </c>
      <c r="B32" s="76" t="str">
        <f t="shared" si="0"/>
        <v>reserved_byte30</v>
      </c>
      <c r="C32" s="59">
        <v>255</v>
      </c>
      <c r="D32" s="60">
        <v>255</v>
      </c>
      <c r="E32" s="59">
        <v>0</v>
      </c>
      <c r="F32" s="59">
        <v>255</v>
      </c>
      <c r="G32" s="76" t="s">
        <v>59</v>
      </c>
      <c r="H32" s="64" t="str">
        <f t="shared" si="2"/>
        <v>221F</v>
      </c>
      <c r="I32" s="59">
        <v>1</v>
      </c>
      <c r="J32" s="61"/>
    </row>
    <row r="33" spans="1:10" s="25" customFormat="1" ht="27" customHeight="1">
      <c r="A33" s="65">
        <f t="shared" si="1"/>
        <v>31</v>
      </c>
      <c r="B33" s="76" t="str">
        <f t="shared" si="0"/>
        <v>reserved_byte31</v>
      </c>
      <c r="C33" s="59">
        <v>255</v>
      </c>
      <c r="D33" s="60">
        <v>255</v>
      </c>
      <c r="E33" s="59">
        <v>0</v>
      </c>
      <c r="F33" s="59">
        <v>255</v>
      </c>
      <c r="G33" s="76" t="s">
        <v>59</v>
      </c>
      <c r="H33" s="64" t="str">
        <f t="shared" si="2"/>
        <v>2220</v>
      </c>
      <c r="I33" s="59">
        <v>1</v>
      </c>
      <c r="J33" s="61"/>
    </row>
    <row r="34" spans="1:10" s="25" customFormat="1" ht="27" customHeight="1">
      <c r="A34" s="65">
        <f t="shared" si="1"/>
        <v>32</v>
      </c>
      <c r="B34" s="76" t="str">
        <f t="shared" ref="B34:B65" si="3">"reserved_byte" &amp;TEXT(A34,0)</f>
        <v>reserved_byte32</v>
      </c>
      <c r="C34" s="59">
        <v>255</v>
      </c>
      <c r="D34" s="60">
        <v>255</v>
      </c>
      <c r="E34" s="59">
        <v>0</v>
      </c>
      <c r="F34" s="59">
        <v>255</v>
      </c>
      <c r="G34" s="76" t="s">
        <v>59</v>
      </c>
      <c r="H34" s="64" t="str">
        <f t="shared" si="2"/>
        <v>2221</v>
      </c>
      <c r="I34" s="59">
        <v>1</v>
      </c>
      <c r="J34" s="61"/>
    </row>
    <row r="35" spans="1:10" s="25" customFormat="1" ht="27" customHeight="1">
      <c r="A35" s="65">
        <f t="shared" ref="A35:A66" si="4">A34+1</f>
        <v>33</v>
      </c>
      <c r="B35" s="76" t="str">
        <f t="shared" si="3"/>
        <v>reserved_byte33</v>
      </c>
      <c r="C35" s="59">
        <v>255</v>
      </c>
      <c r="D35" s="60">
        <v>255</v>
      </c>
      <c r="E35" s="59">
        <v>0</v>
      </c>
      <c r="F35" s="59">
        <v>255</v>
      </c>
      <c r="G35" s="76" t="s">
        <v>59</v>
      </c>
      <c r="H35" s="64" t="str">
        <f t="shared" ref="H35:H66" si="5">DEC2HEX((HEX2DEC(H34)+1),4)</f>
        <v>2222</v>
      </c>
      <c r="I35" s="59">
        <v>1</v>
      </c>
      <c r="J35" s="61"/>
    </row>
    <row r="36" spans="1:10" s="25" customFormat="1" ht="27" customHeight="1">
      <c r="A36" s="65">
        <f t="shared" si="4"/>
        <v>34</v>
      </c>
      <c r="B36" s="76" t="str">
        <f t="shared" si="3"/>
        <v>reserved_byte34</v>
      </c>
      <c r="C36" s="59">
        <v>255</v>
      </c>
      <c r="D36" s="60">
        <v>255</v>
      </c>
      <c r="E36" s="59">
        <v>0</v>
      </c>
      <c r="F36" s="59">
        <v>255</v>
      </c>
      <c r="G36" s="76" t="s">
        <v>59</v>
      </c>
      <c r="H36" s="64" t="str">
        <f t="shared" si="5"/>
        <v>2223</v>
      </c>
      <c r="I36" s="59">
        <v>1</v>
      </c>
      <c r="J36" s="61"/>
    </row>
    <row r="37" spans="1:10" s="25" customFormat="1" ht="27" customHeight="1">
      <c r="A37" s="65">
        <f t="shared" si="4"/>
        <v>35</v>
      </c>
      <c r="B37" s="76" t="str">
        <f t="shared" si="3"/>
        <v>reserved_byte35</v>
      </c>
      <c r="C37" s="59">
        <v>255</v>
      </c>
      <c r="D37" s="60">
        <v>255</v>
      </c>
      <c r="E37" s="59">
        <v>0</v>
      </c>
      <c r="F37" s="59">
        <v>255</v>
      </c>
      <c r="G37" s="76" t="s">
        <v>59</v>
      </c>
      <c r="H37" s="64" t="str">
        <f t="shared" si="5"/>
        <v>2224</v>
      </c>
      <c r="I37" s="59">
        <v>1</v>
      </c>
      <c r="J37" s="61"/>
    </row>
    <row r="38" spans="1:10" s="25" customFormat="1" ht="27" customHeight="1">
      <c r="A38" s="65">
        <f t="shared" si="4"/>
        <v>36</v>
      </c>
      <c r="B38" s="76" t="str">
        <f t="shared" si="3"/>
        <v>reserved_byte36</v>
      </c>
      <c r="C38" s="59">
        <v>255</v>
      </c>
      <c r="D38" s="60">
        <v>255</v>
      </c>
      <c r="E38" s="59">
        <v>0</v>
      </c>
      <c r="F38" s="59">
        <v>255</v>
      </c>
      <c r="G38" s="76" t="s">
        <v>59</v>
      </c>
      <c r="H38" s="64" t="str">
        <f t="shared" si="5"/>
        <v>2225</v>
      </c>
      <c r="I38" s="59">
        <v>1</v>
      </c>
      <c r="J38" s="61"/>
    </row>
    <row r="39" spans="1:10" s="25" customFormat="1" ht="27" customHeight="1">
      <c r="A39" s="65">
        <f t="shared" si="4"/>
        <v>37</v>
      </c>
      <c r="B39" s="76" t="str">
        <f t="shared" si="3"/>
        <v>reserved_byte37</v>
      </c>
      <c r="C39" s="59">
        <v>255</v>
      </c>
      <c r="D39" s="60">
        <v>255</v>
      </c>
      <c r="E39" s="59">
        <v>0</v>
      </c>
      <c r="F39" s="59">
        <v>255</v>
      </c>
      <c r="G39" s="76" t="s">
        <v>59</v>
      </c>
      <c r="H39" s="64" t="str">
        <f t="shared" si="5"/>
        <v>2226</v>
      </c>
      <c r="I39" s="59">
        <v>1</v>
      </c>
      <c r="J39" s="61"/>
    </row>
    <row r="40" spans="1:10" s="25" customFormat="1" ht="27" customHeight="1">
      <c r="A40" s="65">
        <f t="shared" si="4"/>
        <v>38</v>
      </c>
      <c r="B40" s="76" t="str">
        <f t="shared" si="3"/>
        <v>reserved_byte38</v>
      </c>
      <c r="C40" s="59">
        <v>255</v>
      </c>
      <c r="D40" s="60">
        <v>255</v>
      </c>
      <c r="E40" s="59">
        <v>0</v>
      </c>
      <c r="F40" s="59">
        <v>255</v>
      </c>
      <c r="G40" s="76" t="s">
        <v>59</v>
      </c>
      <c r="H40" s="64" t="str">
        <f t="shared" si="5"/>
        <v>2227</v>
      </c>
      <c r="I40" s="59">
        <v>1</v>
      </c>
      <c r="J40" s="61"/>
    </row>
    <row r="41" spans="1:10" s="25" customFormat="1" ht="27" customHeight="1">
      <c r="A41" s="65">
        <f t="shared" si="4"/>
        <v>39</v>
      </c>
      <c r="B41" s="76" t="str">
        <f t="shared" si="3"/>
        <v>reserved_byte39</v>
      </c>
      <c r="C41" s="59">
        <v>255</v>
      </c>
      <c r="D41" s="60">
        <v>255</v>
      </c>
      <c r="E41" s="59">
        <v>0</v>
      </c>
      <c r="F41" s="59">
        <v>255</v>
      </c>
      <c r="G41" s="76" t="s">
        <v>59</v>
      </c>
      <c r="H41" s="64" t="str">
        <f t="shared" si="5"/>
        <v>2228</v>
      </c>
      <c r="I41" s="59">
        <v>1</v>
      </c>
      <c r="J41" s="61"/>
    </row>
    <row r="42" spans="1:10" s="25" customFormat="1" ht="27" customHeight="1">
      <c r="A42" s="65">
        <f t="shared" si="4"/>
        <v>40</v>
      </c>
      <c r="B42" s="76" t="str">
        <f t="shared" si="3"/>
        <v>reserved_byte40</v>
      </c>
      <c r="C42" s="59">
        <v>255</v>
      </c>
      <c r="D42" s="60">
        <v>255</v>
      </c>
      <c r="E42" s="59">
        <v>0</v>
      </c>
      <c r="F42" s="59">
        <v>255</v>
      </c>
      <c r="G42" s="76" t="s">
        <v>59</v>
      </c>
      <c r="H42" s="64" t="str">
        <f t="shared" si="5"/>
        <v>2229</v>
      </c>
      <c r="I42" s="59">
        <v>1</v>
      </c>
      <c r="J42" s="61"/>
    </row>
    <row r="43" spans="1:10" s="25" customFormat="1" ht="27" customHeight="1">
      <c r="A43" s="65">
        <f t="shared" si="4"/>
        <v>41</v>
      </c>
      <c r="B43" s="76" t="str">
        <f t="shared" si="3"/>
        <v>reserved_byte41</v>
      </c>
      <c r="C43" s="59">
        <v>255</v>
      </c>
      <c r="D43" s="60">
        <v>255</v>
      </c>
      <c r="E43" s="59">
        <v>0</v>
      </c>
      <c r="F43" s="59">
        <v>255</v>
      </c>
      <c r="G43" s="76" t="s">
        <v>59</v>
      </c>
      <c r="H43" s="64" t="str">
        <f t="shared" si="5"/>
        <v>222A</v>
      </c>
      <c r="I43" s="59">
        <v>1</v>
      </c>
      <c r="J43" s="61"/>
    </row>
    <row r="44" spans="1:10" s="25" customFormat="1" ht="27" customHeight="1">
      <c r="A44" s="65">
        <f t="shared" si="4"/>
        <v>42</v>
      </c>
      <c r="B44" s="76" t="str">
        <f t="shared" si="3"/>
        <v>reserved_byte42</v>
      </c>
      <c r="C44" s="59">
        <v>255</v>
      </c>
      <c r="D44" s="60">
        <v>255</v>
      </c>
      <c r="E44" s="59">
        <v>0</v>
      </c>
      <c r="F44" s="59">
        <v>255</v>
      </c>
      <c r="G44" s="76" t="s">
        <v>59</v>
      </c>
      <c r="H44" s="64" t="str">
        <f t="shared" si="5"/>
        <v>222B</v>
      </c>
      <c r="I44" s="59">
        <v>1</v>
      </c>
      <c r="J44" s="61"/>
    </row>
    <row r="45" spans="1:10" s="25" customFormat="1" ht="27" customHeight="1">
      <c r="A45" s="65">
        <f t="shared" si="4"/>
        <v>43</v>
      </c>
      <c r="B45" s="76" t="str">
        <f t="shared" si="3"/>
        <v>reserved_byte43</v>
      </c>
      <c r="C45" s="59">
        <v>255</v>
      </c>
      <c r="D45" s="60">
        <v>255</v>
      </c>
      <c r="E45" s="59">
        <v>0</v>
      </c>
      <c r="F45" s="59">
        <v>255</v>
      </c>
      <c r="G45" s="76" t="s">
        <v>59</v>
      </c>
      <c r="H45" s="64" t="str">
        <f t="shared" si="5"/>
        <v>222C</v>
      </c>
      <c r="I45" s="59">
        <v>1</v>
      </c>
      <c r="J45" s="61"/>
    </row>
    <row r="46" spans="1:10" s="25" customFormat="1" ht="27" customHeight="1">
      <c r="A46" s="65">
        <f t="shared" si="4"/>
        <v>44</v>
      </c>
      <c r="B46" s="76" t="str">
        <f t="shared" si="3"/>
        <v>reserved_byte44</v>
      </c>
      <c r="C46" s="59">
        <v>255</v>
      </c>
      <c r="D46" s="60">
        <v>255</v>
      </c>
      <c r="E46" s="59">
        <v>0</v>
      </c>
      <c r="F46" s="59">
        <v>255</v>
      </c>
      <c r="G46" s="76" t="s">
        <v>59</v>
      </c>
      <c r="H46" s="64" t="str">
        <f t="shared" si="5"/>
        <v>222D</v>
      </c>
      <c r="I46" s="59">
        <v>1</v>
      </c>
      <c r="J46" s="61"/>
    </row>
    <row r="47" spans="1:10" s="25" customFormat="1" ht="27" customHeight="1">
      <c r="A47" s="65">
        <f t="shared" si="4"/>
        <v>45</v>
      </c>
      <c r="B47" s="76" t="str">
        <f t="shared" si="3"/>
        <v>reserved_byte45</v>
      </c>
      <c r="C47" s="59">
        <v>255</v>
      </c>
      <c r="D47" s="60">
        <v>255</v>
      </c>
      <c r="E47" s="59">
        <v>0</v>
      </c>
      <c r="F47" s="59">
        <v>255</v>
      </c>
      <c r="G47" s="76" t="s">
        <v>59</v>
      </c>
      <c r="H47" s="64" t="str">
        <f t="shared" si="5"/>
        <v>222E</v>
      </c>
      <c r="I47" s="59">
        <v>1</v>
      </c>
      <c r="J47" s="61"/>
    </row>
    <row r="48" spans="1:10" s="25" customFormat="1" ht="27" customHeight="1">
      <c r="A48" s="65">
        <f t="shared" si="4"/>
        <v>46</v>
      </c>
      <c r="B48" s="76" t="str">
        <f t="shared" si="3"/>
        <v>reserved_byte46</v>
      </c>
      <c r="C48" s="59">
        <v>255</v>
      </c>
      <c r="D48" s="60">
        <v>255</v>
      </c>
      <c r="E48" s="59">
        <v>0</v>
      </c>
      <c r="F48" s="59">
        <v>255</v>
      </c>
      <c r="G48" s="76" t="s">
        <v>59</v>
      </c>
      <c r="H48" s="64" t="str">
        <f t="shared" si="5"/>
        <v>222F</v>
      </c>
      <c r="I48" s="59">
        <v>1</v>
      </c>
      <c r="J48" s="61"/>
    </row>
    <row r="49" spans="1:10" s="25" customFormat="1" ht="27" customHeight="1">
      <c r="A49" s="65">
        <f t="shared" si="4"/>
        <v>47</v>
      </c>
      <c r="B49" s="76" t="str">
        <f t="shared" si="3"/>
        <v>reserved_byte47</v>
      </c>
      <c r="C49" s="59">
        <v>255</v>
      </c>
      <c r="D49" s="60">
        <v>255</v>
      </c>
      <c r="E49" s="59">
        <v>0</v>
      </c>
      <c r="F49" s="59">
        <v>255</v>
      </c>
      <c r="G49" s="76" t="s">
        <v>59</v>
      </c>
      <c r="H49" s="64" t="str">
        <f t="shared" si="5"/>
        <v>2230</v>
      </c>
      <c r="I49" s="59">
        <v>1</v>
      </c>
      <c r="J49" s="61"/>
    </row>
    <row r="50" spans="1:10" s="25" customFormat="1" ht="27" customHeight="1">
      <c r="A50" s="65">
        <f t="shared" si="4"/>
        <v>48</v>
      </c>
      <c r="B50" s="76" t="str">
        <f t="shared" si="3"/>
        <v>reserved_byte48</v>
      </c>
      <c r="C50" s="59">
        <v>255</v>
      </c>
      <c r="D50" s="60">
        <v>255</v>
      </c>
      <c r="E50" s="59">
        <v>0</v>
      </c>
      <c r="F50" s="59">
        <v>255</v>
      </c>
      <c r="G50" s="76" t="s">
        <v>59</v>
      </c>
      <c r="H50" s="64" t="str">
        <f t="shared" si="5"/>
        <v>2231</v>
      </c>
      <c r="I50" s="59">
        <v>1</v>
      </c>
      <c r="J50" s="61"/>
    </row>
    <row r="51" spans="1:10" s="25" customFormat="1" ht="27" customHeight="1">
      <c r="A51" s="65">
        <f t="shared" si="4"/>
        <v>49</v>
      </c>
      <c r="B51" s="76" t="str">
        <f t="shared" si="3"/>
        <v>reserved_byte49</v>
      </c>
      <c r="C51" s="59">
        <v>255</v>
      </c>
      <c r="D51" s="60">
        <v>255</v>
      </c>
      <c r="E51" s="59">
        <v>0</v>
      </c>
      <c r="F51" s="59">
        <v>255</v>
      </c>
      <c r="G51" s="76" t="s">
        <v>59</v>
      </c>
      <c r="H51" s="64" t="str">
        <f t="shared" si="5"/>
        <v>2232</v>
      </c>
      <c r="I51" s="59">
        <v>1</v>
      </c>
      <c r="J51" s="61"/>
    </row>
    <row r="52" spans="1:10" s="25" customFormat="1" ht="27" customHeight="1">
      <c r="A52" s="65">
        <f t="shared" si="4"/>
        <v>50</v>
      </c>
      <c r="B52" s="76" t="str">
        <f t="shared" si="3"/>
        <v>reserved_byte50</v>
      </c>
      <c r="C52" s="59">
        <v>255</v>
      </c>
      <c r="D52" s="60">
        <v>255</v>
      </c>
      <c r="E52" s="59">
        <v>0</v>
      </c>
      <c r="F52" s="59">
        <v>255</v>
      </c>
      <c r="G52" s="76" t="s">
        <v>59</v>
      </c>
      <c r="H52" s="64" t="str">
        <f t="shared" si="5"/>
        <v>2233</v>
      </c>
      <c r="I52" s="59">
        <v>1</v>
      </c>
      <c r="J52" s="61"/>
    </row>
    <row r="53" spans="1:10" s="25" customFormat="1" ht="27" customHeight="1">
      <c r="A53" s="65">
        <f t="shared" si="4"/>
        <v>51</v>
      </c>
      <c r="B53" s="76" t="str">
        <f t="shared" si="3"/>
        <v>reserved_byte51</v>
      </c>
      <c r="C53" s="59">
        <v>255</v>
      </c>
      <c r="D53" s="60">
        <v>255</v>
      </c>
      <c r="E53" s="59">
        <v>0</v>
      </c>
      <c r="F53" s="59">
        <v>255</v>
      </c>
      <c r="G53" s="76" t="s">
        <v>59</v>
      </c>
      <c r="H53" s="64" t="str">
        <f t="shared" si="5"/>
        <v>2234</v>
      </c>
      <c r="I53" s="59">
        <v>1</v>
      </c>
      <c r="J53" s="61"/>
    </row>
    <row r="54" spans="1:10" s="25" customFormat="1" ht="27" customHeight="1">
      <c r="A54" s="65">
        <f t="shared" si="4"/>
        <v>52</v>
      </c>
      <c r="B54" s="76" t="str">
        <f t="shared" si="3"/>
        <v>reserved_byte52</v>
      </c>
      <c r="C54" s="59">
        <v>255</v>
      </c>
      <c r="D54" s="60">
        <v>255</v>
      </c>
      <c r="E54" s="59">
        <v>0</v>
      </c>
      <c r="F54" s="59">
        <v>255</v>
      </c>
      <c r="G54" s="76" t="s">
        <v>59</v>
      </c>
      <c r="H54" s="64" t="str">
        <f t="shared" si="5"/>
        <v>2235</v>
      </c>
      <c r="I54" s="59">
        <v>1</v>
      </c>
      <c r="J54" s="61"/>
    </row>
    <row r="55" spans="1:10" s="25" customFormat="1" ht="27" customHeight="1">
      <c r="A55" s="65">
        <f t="shared" si="4"/>
        <v>53</v>
      </c>
      <c r="B55" s="76" t="str">
        <f t="shared" si="3"/>
        <v>reserved_byte53</v>
      </c>
      <c r="C55" s="59">
        <v>255</v>
      </c>
      <c r="D55" s="60">
        <v>255</v>
      </c>
      <c r="E55" s="59">
        <v>0</v>
      </c>
      <c r="F55" s="59">
        <v>255</v>
      </c>
      <c r="G55" s="76" t="s">
        <v>59</v>
      </c>
      <c r="H55" s="64" t="str">
        <f t="shared" si="5"/>
        <v>2236</v>
      </c>
      <c r="I55" s="59">
        <v>1</v>
      </c>
      <c r="J55" s="61"/>
    </row>
    <row r="56" spans="1:10" s="25" customFormat="1" ht="27" customHeight="1">
      <c r="A56" s="65">
        <f t="shared" si="4"/>
        <v>54</v>
      </c>
      <c r="B56" s="76" t="str">
        <f t="shared" si="3"/>
        <v>reserved_byte54</v>
      </c>
      <c r="C56" s="59">
        <v>255</v>
      </c>
      <c r="D56" s="60">
        <v>255</v>
      </c>
      <c r="E56" s="59">
        <v>0</v>
      </c>
      <c r="F56" s="59">
        <v>255</v>
      </c>
      <c r="G56" s="76" t="s">
        <v>59</v>
      </c>
      <c r="H56" s="64" t="str">
        <f t="shared" si="5"/>
        <v>2237</v>
      </c>
      <c r="I56" s="59">
        <v>1</v>
      </c>
      <c r="J56" s="61"/>
    </row>
    <row r="57" spans="1:10" s="25" customFormat="1" ht="27" customHeight="1">
      <c r="A57" s="65">
        <f t="shared" si="4"/>
        <v>55</v>
      </c>
      <c r="B57" s="76" t="str">
        <f t="shared" si="3"/>
        <v>reserved_byte55</v>
      </c>
      <c r="C57" s="59">
        <v>255</v>
      </c>
      <c r="D57" s="60">
        <v>255</v>
      </c>
      <c r="E57" s="59">
        <v>0</v>
      </c>
      <c r="F57" s="59">
        <v>255</v>
      </c>
      <c r="G57" s="76" t="s">
        <v>59</v>
      </c>
      <c r="H57" s="64" t="str">
        <f t="shared" si="5"/>
        <v>2238</v>
      </c>
      <c r="I57" s="59">
        <v>1</v>
      </c>
      <c r="J57" s="61"/>
    </row>
    <row r="58" spans="1:10" s="25" customFormat="1" ht="27" customHeight="1">
      <c r="A58" s="65">
        <f t="shared" si="4"/>
        <v>56</v>
      </c>
      <c r="B58" s="76" t="str">
        <f t="shared" si="3"/>
        <v>reserved_byte56</v>
      </c>
      <c r="C58" s="59">
        <v>255</v>
      </c>
      <c r="D58" s="60">
        <v>255</v>
      </c>
      <c r="E58" s="59">
        <v>0</v>
      </c>
      <c r="F58" s="59">
        <v>255</v>
      </c>
      <c r="G58" s="76" t="s">
        <v>59</v>
      </c>
      <c r="H58" s="64" t="str">
        <f t="shared" si="5"/>
        <v>2239</v>
      </c>
      <c r="I58" s="59">
        <v>1</v>
      </c>
      <c r="J58" s="61"/>
    </row>
    <row r="59" spans="1:10" s="25" customFormat="1" ht="27" customHeight="1">
      <c r="A59" s="65">
        <f t="shared" si="4"/>
        <v>57</v>
      </c>
      <c r="B59" s="76" t="str">
        <f t="shared" si="3"/>
        <v>reserved_byte57</v>
      </c>
      <c r="C59" s="59">
        <v>255</v>
      </c>
      <c r="D59" s="60">
        <v>255</v>
      </c>
      <c r="E59" s="59">
        <v>0</v>
      </c>
      <c r="F59" s="59">
        <v>255</v>
      </c>
      <c r="G59" s="76" t="s">
        <v>59</v>
      </c>
      <c r="H59" s="64" t="str">
        <f t="shared" si="5"/>
        <v>223A</v>
      </c>
      <c r="I59" s="59">
        <v>1</v>
      </c>
      <c r="J59" s="61"/>
    </row>
    <row r="60" spans="1:10" s="25" customFormat="1" ht="27" customHeight="1">
      <c r="A60" s="65">
        <f t="shared" si="4"/>
        <v>58</v>
      </c>
      <c r="B60" s="76" t="str">
        <f t="shared" si="3"/>
        <v>reserved_byte58</v>
      </c>
      <c r="C60" s="59">
        <v>255</v>
      </c>
      <c r="D60" s="60">
        <v>255</v>
      </c>
      <c r="E60" s="59">
        <v>0</v>
      </c>
      <c r="F60" s="59">
        <v>255</v>
      </c>
      <c r="G60" s="76" t="s">
        <v>59</v>
      </c>
      <c r="H60" s="64" t="str">
        <f t="shared" si="5"/>
        <v>223B</v>
      </c>
      <c r="I60" s="59">
        <v>1</v>
      </c>
      <c r="J60" s="61"/>
    </row>
    <row r="61" spans="1:10" s="25" customFormat="1" ht="27" customHeight="1">
      <c r="A61" s="65">
        <f t="shared" si="4"/>
        <v>59</v>
      </c>
      <c r="B61" s="76" t="str">
        <f t="shared" si="3"/>
        <v>reserved_byte59</v>
      </c>
      <c r="C61" s="59">
        <v>255</v>
      </c>
      <c r="D61" s="60">
        <v>255</v>
      </c>
      <c r="E61" s="59">
        <v>0</v>
      </c>
      <c r="F61" s="59">
        <v>255</v>
      </c>
      <c r="G61" s="76" t="s">
        <v>59</v>
      </c>
      <c r="H61" s="64" t="str">
        <f t="shared" si="5"/>
        <v>223C</v>
      </c>
      <c r="I61" s="59">
        <v>1</v>
      </c>
      <c r="J61" s="61"/>
    </row>
    <row r="62" spans="1:10" s="25" customFormat="1" ht="27" customHeight="1">
      <c r="A62" s="65">
        <f t="shared" si="4"/>
        <v>60</v>
      </c>
      <c r="B62" s="76" t="str">
        <f t="shared" si="3"/>
        <v>reserved_byte60</v>
      </c>
      <c r="C62" s="59">
        <v>255</v>
      </c>
      <c r="D62" s="60">
        <v>255</v>
      </c>
      <c r="E62" s="59">
        <v>0</v>
      </c>
      <c r="F62" s="59">
        <v>255</v>
      </c>
      <c r="G62" s="76" t="s">
        <v>59</v>
      </c>
      <c r="H62" s="64" t="str">
        <f t="shared" si="5"/>
        <v>223D</v>
      </c>
      <c r="I62" s="59">
        <v>1</v>
      </c>
      <c r="J62" s="61"/>
    </row>
    <row r="63" spans="1:10" s="25" customFormat="1" ht="27" customHeight="1">
      <c r="A63" s="65">
        <f t="shared" si="4"/>
        <v>61</v>
      </c>
      <c r="B63" s="76" t="str">
        <f t="shared" si="3"/>
        <v>reserved_byte61</v>
      </c>
      <c r="C63" s="59">
        <v>255</v>
      </c>
      <c r="D63" s="60">
        <v>255</v>
      </c>
      <c r="E63" s="59">
        <v>0</v>
      </c>
      <c r="F63" s="59">
        <v>255</v>
      </c>
      <c r="G63" s="76" t="s">
        <v>59</v>
      </c>
      <c r="H63" s="64" t="str">
        <f t="shared" si="5"/>
        <v>223E</v>
      </c>
      <c r="I63" s="59">
        <v>1</v>
      </c>
      <c r="J63" s="61"/>
    </row>
    <row r="64" spans="1:10" s="25" customFormat="1" ht="27" customHeight="1">
      <c r="A64" s="65">
        <f t="shared" si="4"/>
        <v>62</v>
      </c>
      <c r="B64" s="76" t="str">
        <f t="shared" si="3"/>
        <v>reserved_byte62</v>
      </c>
      <c r="C64" s="59">
        <v>255</v>
      </c>
      <c r="D64" s="60">
        <v>255</v>
      </c>
      <c r="E64" s="59">
        <v>0</v>
      </c>
      <c r="F64" s="59">
        <v>255</v>
      </c>
      <c r="G64" s="76" t="s">
        <v>59</v>
      </c>
      <c r="H64" s="64" t="str">
        <f t="shared" si="5"/>
        <v>223F</v>
      </c>
      <c r="I64" s="59">
        <v>1</v>
      </c>
      <c r="J64" s="61"/>
    </row>
    <row r="65" spans="1:10" s="25" customFormat="1" ht="27" customHeight="1">
      <c r="A65" s="65">
        <f t="shared" si="4"/>
        <v>63</v>
      </c>
      <c r="B65" s="76" t="str">
        <f t="shared" si="3"/>
        <v>reserved_byte63</v>
      </c>
      <c r="C65" s="59">
        <v>255</v>
      </c>
      <c r="D65" s="60">
        <v>255</v>
      </c>
      <c r="E65" s="59">
        <v>0</v>
      </c>
      <c r="F65" s="59">
        <v>255</v>
      </c>
      <c r="G65" s="76" t="s">
        <v>59</v>
      </c>
      <c r="H65" s="64" t="str">
        <f t="shared" si="5"/>
        <v>2240</v>
      </c>
      <c r="I65" s="59">
        <v>1</v>
      </c>
      <c r="J65" s="61"/>
    </row>
    <row r="66" spans="1:10" s="25" customFormat="1" ht="27" customHeight="1">
      <c r="A66" s="65">
        <f t="shared" si="4"/>
        <v>64</v>
      </c>
      <c r="B66" s="76" t="str">
        <f t="shared" ref="B66:B97" si="6">"reserved_byte" &amp;TEXT(A66,0)</f>
        <v>reserved_byte64</v>
      </c>
      <c r="C66" s="59">
        <v>255</v>
      </c>
      <c r="D66" s="60">
        <v>255</v>
      </c>
      <c r="E66" s="59">
        <v>0</v>
      </c>
      <c r="F66" s="59">
        <v>255</v>
      </c>
      <c r="G66" s="76" t="s">
        <v>59</v>
      </c>
      <c r="H66" s="64" t="str">
        <f t="shared" si="5"/>
        <v>2241</v>
      </c>
      <c r="I66" s="59">
        <v>1</v>
      </c>
      <c r="J66" s="61"/>
    </row>
    <row r="67" spans="1:10" s="25" customFormat="1" ht="27" customHeight="1">
      <c r="A67" s="65">
        <f t="shared" ref="A67:A98" si="7">A66+1</f>
        <v>65</v>
      </c>
      <c r="B67" s="76" t="str">
        <f t="shared" si="6"/>
        <v>reserved_byte65</v>
      </c>
      <c r="C67" s="59">
        <v>255</v>
      </c>
      <c r="D67" s="60">
        <v>255</v>
      </c>
      <c r="E67" s="59">
        <v>0</v>
      </c>
      <c r="F67" s="59">
        <v>255</v>
      </c>
      <c r="G67" s="76" t="s">
        <v>59</v>
      </c>
      <c r="H67" s="64" t="str">
        <f t="shared" ref="H67:H98" si="8">DEC2HEX((HEX2DEC(H66)+1),4)</f>
        <v>2242</v>
      </c>
      <c r="I67" s="59">
        <v>1</v>
      </c>
      <c r="J67" s="61"/>
    </row>
    <row r="68" spans="1:10" s="25" customFormat="1" ht="27" customHeight="1">
      <c r="A68" s="65">
        <f t="shared" si="7"/>
        <v>66</v>
      </c>
      <c r="B68" s="76" t="str">
        <f t="shared" si="6"/>
        <v>reserved_byte66</v>
      </c>
      <c r="C68" s="59">
        <v>255</v>
      </c>
      <c r="D68" s="60">
        <v>255</v>
      </c>
      <c r="E68" s="59">
        <v>0</v>
      </c>
      <c r="F68" s="59">
        <v>255</v>
      </c>
      <c r="G68" s="76" t="s">
        <v>59</v>
      </c>
      <c r="H68" s="64" t="str">
        <f t="shared" si="8"/>
        <v>2243</v>
      </c>
      <c r="I68" s="59">
        <v>1</v>
      </c>
      <c r="J68" s="61"/>
    </row>
    <row r="69" spans="1:10" s="25" customFormat="1" ht="27" customHeight="1">
      <c r="A69" s="65">
        <f t="shared" si="7"/>
        <v>67</v>
      </c>
      <c r="B69" s="76" t="str">
        <f t="shared" si="6"/>
        <v>reserved_byte67</v>
      </c>
      <c r="C69" s="59">
        <v>255</v>
      </c>
      <c r="D69" s="60">
        <v>255</v>
      </c>
      <c r="E69" s="59">
        <v>0</v>
      </c>
      <c r="F69" s="59">
        <v>255</v>
      </c>
      <c r="G69" s="76" t="s">
        <v>59</v>
      </c>
      <c r="H69" s="64" t="str">
        <f t="shared" si="8"/>
        <v>2244</v>
      </c>
      <c r="I69" s="59">
        <v>1</v>
      </c>
      <c r="J69" s="61"/>
    </row>
    <row r="70" spans="1:10" s="25" customFormat="1" ht="27" customHeight="1">
      <c r="A70" s="65">
        <f t="shared" si="7"/>
        <v>68</v>
      </c>
      <c r="B70" s="76" t="str">
        <f t="shared" si="6"/>
        <v>reserved_byte68</v>
      </c>
      <c r="C70" s="59">
        <v>255</v>
      </c>
      <c r="D70" s="60">
        <v>255</v>
      </c>
      <c r="E70" s="59">
        <v>0</v>
      </c>
      <c r="F70" s="59">
        <v>255</v>
      </c>
      <c r="G70" s="76" t="s">
        <v>59</v>
      </c>
      <c r="H70" s="64" t="str">
        <f t="shared" si="8"/>
        <v>2245</v>
      </c>
      <c r="I70" s="59">
        <v>1</v>
      </c>
      <c r="J70" s="61"/>
    </row>
    <row r="71" spans="1:10" s="25" customFormat="1" ht="27" customHeight="1">
      <c r="A71" s="65">
        <f t="shared" si="7"/>
        <v>69</v>
      </c>
      <c r="B71" s="76" t="str">
        <f t="shared" si="6"/>
        <v>reserved_byte69</v>
      </c>
      <c r="C71" s="59">
        <v>255</v>
      </c>
      <c r="D71" s="60">
        <v>255</v>
      </c>
      <c r="E71" s="59">
        <v>0</v>
      </c>
      <c r="F71" s="59">
        <v>255</v>
      </c>
      <c r="G71" s="76" t="s">
        <v>59</v>
      </c>
      <c r="H71" s="64" t="str">
        <f t="shared" si="8"/>
        <v>2246</v>
      </c>
      <c r="I71" s="59">
        <v>1</v>
      </c>
      <c r="J71" s="61"/>
    </row>
    <row r="72" spans="1:10" s="25" customFormat="1" ht="27" customHeight="1">
      <c r="A72" s="65">
        <f t="shared" si="7"/>
        <v>70</v>
      </c>
      <c r="B72" s="76" t="str">
        <f t="shared" si="6"/>
        <v>reserved_byte70</v>
      </c>
      <c r="C72" s="59">
        <v>255</v>
      </c>
      <c r="D72" s="60">
        <v>255</v>
      </c>
      <c r="E72" s="59">
        <v>0</v>
      </c>
      <c r="F72" s="59">
        <v>255</v>
      </c>
      <c r="G72" s="76" t="s">
        <v>59</v>
      </c>
      <c r="H72" s="64" t="str">
        <f t="shared" si="8"/>
        <v>2247</v>
      </c>
      <c r="I72" s="59">
        <v>1</v>
      </c>
      <c r="J72" s="61"/>
    </row>
    <row r="73" spans="1:10" s="25" customFormat="1" ht="27" customHeight="1">
      <c r="A73" s="65">
        <f t="shared" si="7"/>
        <v>71</v>
      </c>
      <c r="B73" s="76" t="str">
        <f t="shared" si="6"/>
        <v>reserved_byte71</v>
      </c>
      <c r="C73" s="59">
        <v>255</v>
      </c>
      <c r="D73" s="60">
        <v>255</v>
      </c>
      <c r="E73" s="59">
        <v>0</v>
      </c>
      <c r="F73" s="59">
        <v>255</v>
      </c>
      <c r="G73" s="76" t="s">
        <v>59</v>
      </c>
      <c r="H73" s="64" t="str">
        <f t="shared" si="8"/>
        <v>2248</v>
      </c>
      <c r="I73" s="59">
        <v>1</v>
      </c>
      <c r="J73" s="61"/>
    </row>
    <row r="74" spans="1:10" s="25" customFormat="1" ht="27" customHeight="1">
      <c r="A74" s="65">
        <f t="shared" si="7"/>
        <v>72</v>
      </c>
      <c r="B74" s="76" t="str">
        <f t="shared" si="6"/>
        <v>reserved_byte72</v>
      </c>
      <c r="C74" s="59">
        <v>255</v>
      </c>
      <c r="D74" s="60">
        <v>255</v>
      </c>
      <c r="E74" s="59">
        <v>0</v>
      </c>
      <c r="F74" s="59">
        <v>255</v>
      </c>
      <c r="G74" s="76" t="s">
        <v>59</v>
      </c>
      <c r="H74" s="64" t="str">
        <f t="shared" si="8"/>
        <v>2249</v>
      </c>
      <c r="I74" s="59">
        <v>1</v>
      </c>
      <c r="J74" s="61"/>
    </row>
    <row r="75" spans="1:10" s="25" customFormat="1" ht="27" customHeight="1">
      <c r="A75" s="65">
        <f t="shared" si="7"/>
        <v>73</v>
      </c>
      <c r="B75" s="76" t="str">
        <f t="shared" si="6"/>
        <v>reserved_byte73</v>
      </c>
      <c r="C75" s="59">
        <v>255</v>
      </c>
      <c r="D75" s="60">
        <v>255</v>
      </c>
      <c r="E75" s="59">
        <v>0</v>
      </c>
      <c r="F75" s="59">
        <v>255</v>
      </c>
      <c r="G75" s="76" t="s">
        <v>59</v>
      </c>
      <c r="H75" s="64" t="str">
        <f t="shared" si="8"/>
        <v>224A</v>
      </c>
      <c r="I75" s="59">
        <v>1</v>
      </c>
      <c r="J75" s="61"/>
    </row>
    <row r="76" spans="1:10" s="25" customFormat="1" ht="27" customHeight="1">
      <c r="A76" s="65">
        <f t="shared" si="7"/>
        <v>74</v>
      </c>
      <c r="B76" s="76" t="str">
        <f t="shared" si="6"/>
        <v>reserved_byte74</v>
      </c>
      <c r="C76" s="59">
        <v>255</v>
      </c>
      <c r="D76" s="60">
        <v>255</v>
      </c>
      <c r="E76" s="59">
        <v>0</v>
      </c>
      <c r="F76" s="59">
        <v>255</v>
      </c>
      <c r="G76" s="76" t="s">
        <v>59</v>
      </c>
      <c r="H76" s="64" t="str">
        <f t="shared" si="8"/>
        <v>224B</v>
      </c>
      <c r="I76" s="59">
        <v>1</v>
      </c>
      <c r="J76" s="61"/>
    </row>
    <row r="77" spans="1:10" s="25" customFormat="1" ht="27" customHeight="1">
      <c r="A77" s="65">
        <f t="shared" si="7"/>
        <v>75</v>
      </c>
      <c r="B77" s="76" t="str">
        <f t="shared" si="6"/>
        <v>reserved_byte75</v>
      </c>
      <c r="C77" s="59">
        <v>255</v>
      </c>
      <c r="D77" s="60">
        <v>255</v>
      </c>
      <c r="E77" s="59">
        <v>0</v>
      </c>
      <c r="F77" s="59">
        <v>255</v>
      </c>
      <c r="G77" s="76" t="s">
        <v>59</v>
      </c>
      <c r="H77" s="64" t="str">
        <f t="shared" si="8"/>
        <v>224C</v>
      </c>
      <c r="I77" s="59">
        <v>1</v>
      </c>
      <c r="J77" s="61"/>
    </row>
    <row r="78" spans="1:10" s="25" customFormat="1" ht="27" customHeight="1">
      <c r="A78" s="65">
        <f t="shared" si="7"/>
        <v>76</v>
      </c>
      <c r="B78" s="76" t="str">
        <f t="shared" si="6"/>
        <v>reserved_byte76</v>
      </c>
      <c r="C78" s="59">
        <v>255</v>
      </c>
      <c r="D78" s="60">
        <v>255</v>
      </c>
      <c r="E78" s="59">
        <v>0</v>
      </c>
      <c r="F78" s="59">
        <v>255</v>
      </c>
      <c r="G78" s="76" t="s">
        <v>59</v>
      </c>
      <c r="H78" s="64" t="str">
        <f t="shared" si="8"/>
        <v>224D</v>
      </c>
      <c r="I78" s="59">
        <v>1</v>
      </c>
      <c r="J78" s="61"/>
    </row>
    <row r="79" spans="1:10" s="25" customFormat="1" ht="27" customHeight="1">
      <c r="A79" s="65">
        <f t="shared" si="7"/>
        <v>77</v>
      </c>
      <c r="B79" s="76" t="str">
        <f t="shared" si="6"/>
        <v>reserved_byte77</v>
      </c>
      <c r="C79" s="59">
        <v>255</v>
      </c>
      <c r="D79" s="60">
        <v>255</v>
      </c>
      <c r="E79" s="59">
        <v>0</v>
      </c>
      <c r="F79" s="59">
        <v>255</v>
      </c>
      <c r="G79" s="76" t="s">
        <v>59</v>
      </c>
      <c r="H79" s="64" t="str">
        <f t="shared" si="8"/>
        <v>224E</v>
      </c>
      <c r="I79" s="59">
        <v>1</v>
      </c>
      <c r="J79" s="61"/>
    </row>
    <row r="80" spans="1:10" s="25" customFormat="1" ht="27" customHeight="1">
      <c r="A80" s="65">
        <f t="shared" si="7"/>
        <v>78</v>
      </c>
      <c r="B80" s="76" t="str">
        <f t="shared" si="6"/>
        <v>reserved_byte78</v>
      </c>
      <c r="C80" s="59">
        <v>255</v>
      </c>
      <c r="D80" s="60">
        <v>255</v>
      </c>
      <c r="E80" s="59">
        <v>0</v>
      </c>
      <c r="F80" s="59">
        <v>255</v>
      </c>
      <c r="G80" s="76" t="s">
        <v>59</v>
      </c>
      <c r="H80" s="64" t="str">
        <f t="shared" si="8"/>
        <v>224F</v>
      </c>
      <c r="I80" s="59">
        <v>1</v>
      </c>
      <c r="J80" s="61"/>
    </row>
    <row r="81" spans="1:10" s="25" customFormat="1" ht="27" customHeight="1">
      <c r="A81" s="65">
        <f t="shared" si="7"/>
        <v>79</v>
      </c>
      <c r="B81" s="76" t="str">
        <f t="shared" si="6"/>
        <v>reserved_byte79</v>
      </c>
      <c r="C81" s="59">
        <v>255</v>
      </c>
      <c r="D81" s="60">
        <v>255</v>
      </c>
      <c r="E81" s="59">
        <v>0</v>
      </c>
      <c r="F81" s="59">
        <v>255</v>
      </c>
      <c r="G81" s="76" t="s">
        <v>59</v>
      </c>
      <c r="H81" s="64" t="str">
        <f t="shared" si="8"/>
        <v>2250</v>
      </c>
      <c r="I81" s="59">
        <v>1</v>
      </c>
      <c r="J81" s="61"/>
    </row>
    <row r="82" spans="1:10" s="25" customFormat="1" ht="27" customHeight="1">
      <c r="A82" s="65">
        <f t="shared" si="7"/>
        <v>80</v>
      </c>
      <c r="B82" s="76" t="str">
        <f t="shared" si="6"/>
        <v>reserved_byte80</v>
      </c>
      <c r="C82" s="59">
        <v>255</v>
      </c>
      <c r="D82" s="60">
        <v>255</v>
      </c>
      <c r="E82" s="59">
        <v>0</v>
      </c>
      <c r="F82" s="59">
        <v>255</v>
      </c>
      <c r="G82" s="76" t="s">
        <v>59</v>
      </c>
      <c r="H82" s="64" t="str">
        <f t="shared" si="8"/>
        <v>2251</v>
      </c>
      <c r="I82" s="59">
        <v>1</v>
      </c>
      <c r="J82" s="61"/>
    </row>
    <row r="83" spans="1:10" s="25" customFormat="1" ht="27" customHeight="1">
      <c r="A83" s="65">
        <f t="shared" si="7"/>
        <v>81</v>
      </c>
      <c r="B83" s="76" t="str">
        <f t="shared" si="6"/>
        <v>reserved_byte81</v>
      </c>
      <c r="C83" s="59">
        <v>255</v>
      </c>
      <c r="D83" s="60">
        <v>255</v>
      </c>
      <c r="E83" s="59">
        <v>0</v>
      </c>
      <c r="F83" s="59">
        <v>255</v>
      </c>
      <c r="G83" s="76" t="s">
        <v>59</v>
      </c>
      <c r="H83" s="64" t="str">
        <f t="shared" si="8"/>
        <v>2252</v>
      </c>
      <c r="I83" s="59">
        <v>1</v>
      </c>
      <c r="J83" s="61"/>
    </row>
    <row r="84" spans="1:10" s="25" customFormat="1" ht="27" customHeight="1">
      <c r="A84" s="65">
        <f t="shared" si="7"/>
        <v>82</v>
      </c>
      <c r="B84" s="76" t="str">
        <f t="shared" si="6"/>
        <v>reserved_byte82</v>
      </c>
      <c r="C84" s="59">
        <v>255</v>
      </c>
      <c r="D84" s="60">
        <v>255</v>
      </c>
      <c r="E84" s="59">
        <v>0</v>
      </c>
      <c r="F84" s="59">
        <v>255</v>
      </c>
      <c r="G84" s="76" t="s">
        <v>59</v>
      </c>
      <c r="H84" s="64" t="str">
        <f t="shared" si="8"/>
        <v>2253</v>
      </c>
      <c r="I84" s="59">
        <v>1</v>
      </c>
      <c r="J84" s="61"/>
    </row>
    <row r="85" spans="1:10" s="25" customFormat="1" ht="27" customHeight="1">
      <c r="A85" s="65">
        <f t="shared" si="7"/>
        <v>83</v>
      </c>
      <c r="B85" s="76" t="str">
        <f t="shared" si="6"/>
        <v>reserved_byte83</v>
      </c>
      <c r="C85" s="59">
        <v>255</v>
      </c>
      <c r="D85" s="60">
        <v>255</v>
      </c>
      <c r="E85" s="59">
        <v>0</v>
      </c>
      <c r="F85" s="59">
        <v>255</v>
      </c>
      <c r="G85" s="76" t="s">
        <v>59</v>
      </c>
      <c r="H85" s="64" t="str">
        <f t="shared" si="8"/>
        <v>2254</v>
      </c>
      <c r="I85" s="59">
        <v>1</v>
      </c>
      <c r="J85" s="61"/>
    </row>
    <row r="86" spans="1:10" s="25" customFormat="1" ht="27" customHeight="1">
      <c r="A86" s="65">
        <f t="shared" si="7"/>
        <v>84</v>
      </c>
      <c r="B86" s="76" t="str">
        <f t="shared" si="6"/>
        <v>reserved_byte84</v>
      </c>
      <c r="C86" s="59">
        <v>255</v>
      </c>
      <c r="D86" s="60">
        <v>255</v>
      </c>
      <c r="E86" s="59">
        <v>0</v>
      </c>
      <c r="F86" s="59">
        <v>255</v>
      </c>
      <c r="G86" s="76" t="s">
        <v>59</v>
      </c>
      <c r="H86" s="64" t="str">
        <f t="shared" si="8"/>
        <v>2255</v>
      </c>
      <c r="I86" s="59">
        <v>1</v>
      </c>
      <c r="J86" s="61"/>
    </row>
    <row r="87" spans="1:10" s="25" customFormat="1" ht="27" customHeight="1">
      <c r="A87" s="65">
        <f t="shared" si="7"/>
        <v>85</v>
      </c>
      <c r="B87" s="76" t="str">
        <f t="shared" si="6"/>
        <v>reserved_byte85</v>
      </c>
      <c r="C87" s="59">
        <v>255</v>
      </c>
      <c r="D87" s="60">
        <v>255</v>
      </c>
      <c r="E87" s="59">
        <v>0</v>
      </c>
      <c r="F87" s="59">
        <v>255</v>
      </c>
      <c r="G87" s="76" t="s">
        <v>59</v>
      </c>
      <c r="H87" s="64" t="str">
        <f t="shared" si="8"/>
        <v>2256</v>
      </c>
      <c r="I87" s="59">
        <v>1</v>
      </c>
      <c r="J87" s="61"/>
    </row>
    <row r="88" spans="1:10" s="25" customFormat="1" ht="27" customHeight="1">
      <c r="A88" s="65">
        <f t="shared" si="7"/>
        <v>86</v>
      </c>
      <c r="B88" s="76" t="str">
        <f t="shared" si="6"/>
        <v>reserved_byte86</v>
      </c>
      <c r="C88" s="59">
        <v>255</v>
      </c>
      <c r="D88" s="60">
        <v>255</v>
      </c>
      <c r="E88" s="59">
        <v>0</v>
      </c>
      <c r="F88" s="59">
        <v>255</v>
      </c>
      <c r="G88" s="76" t="s">
        <v>59</v>
      </c>
      <c r="H88" s="64" t="str">
        <f t="shared" si="8"/>
        <v>2257</v>
      </c>
      <c r="I88" s="59">
        <v>1</v>
      </c>
      <c r="J88" s="61"/>
    </row>
    <row r="89" spans="1:10" s="25" customFormat="1" ht="27" customHeight="1">
      <c r="A89" s="65">
        <f t="shared" si="7"/>
        <v>87</v>
      </c>
      <c r="B89" s="76" t="str">
        <f t="shared" si="6"/>
        <v>reserved_byte87</v>
      </c>
      <c r="C89" s="59">
        <v>255</v>
      </c>
      <c r="D89" s="60">
        <v>255</v>
      </c>
      <c r="E89" s="59">
        <v>0</v>
      </c>
      <c r="F89" s="59">
        <v>255</v>
      </c>
      <c r="G89" s="76" t="s">
        <v>59</v>
      </c>
      <c r="H89" s="64" t="str">
        <f t="shared" si="8"/>
        <v>2258</v>
      </c>
      <c r="I89" s="59">
        <v>1</v>
      </c>
      <c r="J89" s="61"/>
    </row>
    <row r="90" spans="1:10" s="25" customFormat="1" ht="27" customHeight="1">
      <c r="A90" s="65">
        <f t="shared" si="7"/>
        <v>88</v>
      </c>
      <c r="B90" s="76" t="str">
        <f t="shared" si="6"/>
        <v>reserved_byte88</v>
      </c>
      <c r="C90" s="59">
        <v>255</v>
      </c>
      <c r="D90" s="60">
        <v>255</v>
      </c>
      <c r="E90" s="59">
        <v>0</v>
      </c>
      <c r="F90" s="59">
        <v>255</v>
      </c>
      <c r="G90" s="76" t="s">
        <v>59</v>
      </c>
      <c r="H90" s="64" t="str">
        <f t="shared" si="8"/>
        <v>2259</v>
      </c>
      <c r="I90" s="59">
        <v>1</v>
      </c>
      <c r="J90" s="61"/>
    </row>
    <row r="91" spans="1:10" s="25" customFormat="1" ht="27" customHeight="1">
      <c r="A91" s="65">
        <f t="shared" si="7"/>
        <v>89</v>
      </c>
      <c r="B91" s="76" t="str">
        <f t="shared" si="6"/>
        <v>reserved_byte89</v>
      </c>
      <c r="C91" s="59">
        <v>255</v>
      </c>
      <c r="D91" s="60">
        <v>255</v>
      </c>
      <c r="E91" s="59">
        <v>0</v>
      </c>
      <c r="F91" s="59">
        <v>255</v>
      </c>
      <c r="G91" s="76" t="s">
        <v>59</v>
      </c>
      <c r="H91" s="64" t="str">
        <f t="shared" si="8"/>
        <v>225A</v>
      </c>
      <c r="I91" s="59">
        <v>1</v>
      </c>
      <c r="J91" s="61"/>
    </row>
    <row r="92" spans="1:10" s="25" customFormat="1" ht="27" customHeight="1">
      <c r="A92" s="65">
        <f t="shared" si="7"/>
        <v>90</v>
      </c>
      <c r="B92" s="76" t="str">
        <f t="shared" si="6"/>
        <v>reserved_byte90</v>
      </c>
      <c r="C92" s="59">
        <v>255</v>
      </c>
      <c r="D92" s="60">
        <v>255</v>
      </c>
      <c r="E92" s="59">
        <v>0</v>
      </c>
      <c r="F92" s="59">
        <v>255</v>
      </c>
      <c r="G92" s="76" t="s">
        <v>59</v>
      </c>
      <c r="H92" s="64" t="str">
        <f t="shared" si="8"/>
        <v>225B</v>
      </c>
      <c r="I92" s="59">
        <v>1</v>
      </c>
      <c r="J92" s="61"/>
    </row>
    <row r="93" spans="1:10" s="25" customFormat="1" ht="27" customHeight="1">
      <c r="A93" s="65">
        <f t="shared" si="7"/>
        <v>91</v>
      </c>
      <c r="B93" s="76" t="str">
        <f t="shared" si="6"/>
        <v>reserved_byte91</v>
      </c>
      <c r="C93" s="59">
        <v>255</v>
      </c>
      <c r="D93" s="60">
        <v>255</v>
      </c>
      <c r="E93" s="59">
        <v>0</v>
      </c>
      <c r="F93" s="59">
        <v>255</v>
      </c>
      <c r="G93" s="76" t="s">
        <v>59</v>
      </c>
      <c r="H93" s="64" t="str">
        <f t="shared" si="8"/>
        <v>225C</v>
      </c>
      <c r="I93" s="59">
        <v>1</v>
      </c>
      <c r="J93" s="61"/>
    </row>
    <row r="94" spans="1:10" s="25" customFormat="1" ht="27" customHeight="1">
      <c r="A94" s="65">
        <f t="shared" si="7"/>
        <v>92</v>
      </c>
      <c r="B94" s="76" t="str">
        <f t="shared" si="6"/>
        <v>reserved_byte92</v>
      </c>
      <c r="C94" s="59">
        <v>255</v>
      </c>
      <c r="D94" s="60">
        <v>255</v>
      </c>
      <c r="E94" s="59">
        <v>0</v>
      </c>
      <c r="F94" s="59">
        <v>255</v>
      </c>
      <c r="G94" s="76" t="s">
        <v>59</v>
      </c>
      <c r="H94" s="64" t="str">
        <f t="shared" si="8"/>
        <v>225D</v>
      </c>
      <c r="I94" s="59">
        <v>1</v>
      </c>
      <c r="J94" s="61"/>
    </row>
    <row r="95" spans="1:10" s="25" customFormat="1" ht="27" customHeight="1">
      <c r="A95" s="65">
        <f t="shared" si="7"/>
        <v>93</v>
      </c>
      <c r="B95" s="76" t="str">
        <f t="shared" si="6"/>
        <v>reserved_byte93</v>
      </c>
      <c r="C95" s="59">
        <v>255</v>
      </c>
      <c r="D95" s="60">
        <v>255</v>
      </c>
      <c r="E95" s="59">
        <v>0</v>
      </c>
      <c r="F95" s="59">
        <v>255</v>
      </c>
      <c r="G95" s="76" t="s">
        <v>59</v>
      </c>
      <c r="H95" s="64" t="str">
        <f t="shared" si="8"/>
        <v>225E</v>
      </c>
      <c r="I95" s="59">
        <v>1</v>
      </c>
      <c r="J95" s="61"/>
    </row>
    <row r="96" spans="1:10" s="25" customFormat="1" ht="27" customHeight="1">
      <c r="A96" s="65">
        <f t="shared" si="7"/>
        <v>94</v>
      </c>
      <c r="B96" s="76" t="str">
        <f t="shared" si="6"/>
        <v>reserved_byte94</v>
      </c>
      <c r="C96" s="59">
        <v>255</v>
      </c>
      <c r="D96" s="60">
        <v>255</v>
      </c>
      <c r="E96" s="59">
        <v>0</v>
      </c>
      <c r="F96" s="59">
        <v>255</v>
      </c>
      <c r="G96" s="76" t="s">
        <v>59</v>
      </c>
      <c r="H96" s="64" t="str">
        <f t="shared" si="8"/>
        <v>225F</v>
      </c>
      <c r="I96" s="59">
        <v>1</v>
      </c>
      <c r="J96" s="61"/>
    </row>
    <row r="97" spans="1:10" s="25" customFormat="1" ht="27" customHeight="1">
      <c r="A97" s="65">
        <f t="shared" si="7"/>
        <v>95</v>
      </c>
      <c r="B97" s="76" t="str">
        <f t="shared" si="6"/>
        <v>reserved_byte95</v>
      </c>
      <c r="C97" s="59">
        <v>255</v>
      </c>
      <c r="D97" s="60">
        <v>255</v>
      </c>
      <c r="E97" s="59">
        <v>0</v>
      </c>
      <c r="F97" s="59">
        <v>255</v>
      </c>
      <c r="G97" s="76" t="s">
        <v>59</v>
      </c>
      <c r="H97" s="64" t="str">
        <f t="shared" si="8"/>
        <v>2260</v>
      </c>
      <c r="I97" s="59">
        <v>1</v>
      </c>
      <c r="J97" s="61"/>
    </row>
    <row r="98" spans="1:10" s="25" customFormat="1" ht="27" customHeight="1">
      <c r="A98" s="65">
        <f t="shared" si="7"/>
        <v>96</v>
      </c>
      <c r="B98" s="76" t="str">
        <f t="shared" ref="B98:B129" si="9">"reserved_byte" &amp;TEXT(A98,0)</f>
        <v>reserved_byte96</v>
      </c>
      <c r="C98" s="59">
        <v>255</v>
      </c>
      <c r="D98" s="60">
        <v>255</v>
      </c>
      <c r="E98" s="59">
        <v>0</v>
      </c>
      <c r="F98" s="59">
        <v>255</v>
      </c>
      <c r="G98" s="76" t="s">
        <v>59</v>
      </c>
      <c r="H98" s="64" t="str">
        <f t="shared" si="8"/>
        <v>2261</v>
      </c>
      <c r="I98" s="59">
        <v>1</v>
      </c>
      <c r="J98" s="61"/>
    </row>
    <row r="99" spans="1:10" s="25" customFormat="1" ht="27" customHeight="1">
      <c r="A99" s="65">
        <f t="shared" ref="A99:A130" si="10">A98+1</f>
        <v>97</v>
      </c>
      <c r="B99" s="76" t="str">
        <f t="shared" si="9"/>
        <v>reserved_byte97</v>
      </c>
      <c r="C99" s="59">
        <v>255</v>
      </c>
      <c r="D99" s="60">
        <v>255</v>
      </c>
      <c r="E99" s="59">
        <v>0</v>
      </c>
      <c r="F99" s="59">
        <v>255</v>
      </c>
      <c r="G99" s="76" t="s">
        <v>59</v>
      </c>
      <c r="H99" s="64" t="str">
        <f t="shared" ref="H99:H130" si="11">DEC2HEX((HEX2DEC(H98)+1),4)</f>
        <v>2262</v>
      </c>
      <c r="I99" s="59">
        <v>1</v>
      </c>
      <c r="J99" s="61"/>
    </row>
    <row r="100" spans="1:10" s="25" customFormat="1" ht="27" customHeight="1">
      <c r="A100" s="65">
        <f t="shared" si="10"/>
        <v>98</v>
      </c>
      <c r="B100" s="76" t="str">
        <f t="shared" si="9"/>
        <v>reserved_byte98</v>
      </c>
      <c r="C100" s="59">
        <v>255</v>
      </c>
      <c r="D100" s="60">
        <v>255</v>
      </c>
      <c r="E100" s="59">
        <v>0</v>
      </c>
      <c r="F100" s="59">
        <v>255</v>
      </c>
      <c r="G100" s="76" t="s">
        <v>59</v>
      </c>
      <c r="H100" s="64" t="str">
        <f t="shared" si="11"/>
        <v>2263</v>
      </c>
      <c r="I100" s="59">
        <v>1</v>
      </c>
      <c r="J100" s="61"/>
    </row>
    <row r="101" spans="1:10" s="25" customFormat="1" ht="27" customHeight="1">
      <c r="A101" s="65">
        <f t="shared" si="10"/>
        <v>99</v>
      </c>
      <c r="B101" s="76" t="str">
        <f t="shared" si="9"/>
        <v>reserved_byte99</v>
      </c>
      <c r="C101" s="59">
        <v>255</v>
      </c>
      <c r="D101" s="60">
        <v>255</v>
      </c>
      <c r="E101" s="59">
        <v>0</v>
      </c>
      <c r="F101" s="59">
        <v>255</v>
      </c>
      <c r="G101" s="76" t="s">
        <v>59</v>
      </c>
      <c r="H101" s="64" t="str">
        <f t="shared" si="11"/>
        <v>2264</v>
      </c>
      <c r="I101" s="59">
        <v>1</v>
      </c>
      <c r="J101" s="61"/>
    </row>
    <row r="102" spans="1:10" s="25" customFormat="1" ht="27" customHeight="1">
      <c r="A102" s="65">
        <f t="shared" si="10"/>
        <v>100</v>
      </c>
      <c r="B102" s="76" t="str">
        <f t="shared" si="9"/>
        <v>reserved_byte100</v>
      </c>
      <c r="C102" s="59">
        <v>255</v>
      </c>
      <c r="D102" s="60">
        <v>255</v>
      </c>
      <c r="E102" s="59">
        <v>0</v>
      </c>
      <c r="F102" s="59">
        <v>255</v>
      </c>
      <c r="G102" s="76" t="s">
        <v>59</v>
      </c>
      <c r="H102" s="64" t="str">
        <f t="shared" si="11"/>
        <v>2265</v>
      </c>
      <c r="I102" s="59">
        <v>1</v>
      </c>
      <c r="J102" s="61"/>
    </row>
    <row r="103" spans="1:10" s="25" customFormat="1" ht="27" customHeight="1">
      <c r="A103" s="65">
        <f t="shared" si="10"/>
        <v>101</v>
      </c>
      <c r="B103" s="76" t="str">
        <f t="shared" si="9"/>
        <v>reserved_byte101</v>
      </c>
      <c r="C103" s="59">
        <v>255</v>
      </c>
      <c r="D103" s="60">
        <v>255</v>
      </c>
      <c r="E103" s="59">
        <v>0</v>
      </c>
      <c r="F103" s="59">
        <v>255</v>
      </c>
      <c r="G103" s="76" t="s">
        <v>59</v>
      </c>
      <c r="H103" s="64" t="str">
        <f t="shared" si="11"/>
        <v>2266</v>
      </c>
      <c r="I103" s="59">
        <v>1</v>
      </c>
      <c r="J103" s="61"/>
    </row>
    <row r="104" spans="1:10" s="25" customFormat="1" ht="27" customHeight="1">
      <c r="A104" s="65">
        <f t="shared" si="10"/>
        <v>102</v>
      </c>
      <c r="B104" s="76" t="str">
        <f t="shared" si="9"/>
        <v>reserved_byte102</v>
      </c>
      <c r="C104" s="59">
        <v>255</v>
      </c>
      <c r="D104" s="60">
        <v>255</v>
      </c>
      <c r="E104" s="59">
        <v>0</v>
      </c>
      <c r="F104" s="59">
        <v>255</v>
      </c>
      <c r="G104" s="76" t="s">
        <v>59</v>
      </c>
      <c r="H104" s="64" t="str">
        <f t="shared" si="11"/>
        <v>2267</v>
      </c>
      <c r="I104" s="59">
        <v>1</v>
      </c>
      <c r="J104" s="61"/>
    </row>
    <row r="105" spans="1:10" s="25" customFormat="1" ht="27" customHeight="1">
      <c r="A105" s="65">
        <f t="shared" si="10"/>
        <v>103</v>
      </c>
      <c r="B105" s="76" t="str">
        <f t="shared" si="9"/>
        <v>reserved_byte103</v>
      </c>
      <c r="C105" s="59">
        <v>255</v>
      </c>
      <c r="D105" s="60">
        <v>255</v>
      </c>
      <c r="E105" s="59">
        <v>0</v>
      </c>
      <c r="F105" s="59">
        <v>255</v>
      </c>
      <c r="G105" s="76" t="s">
        <v>59</v>
      </c>
      <c r="H105" s="64" t="str">
        <f t="shared" si="11"/>
        <v>2268</v>
      </c>
      <c r="I105" s="59">
        <v>1</v>
      </c>
      <c r="J105" s="61"/>
    </row>
    <row r="106" spans="1:10" s="25" customFormat="1" ht="27" customHeight="1">
      <c r="A106" s="65">
        <f t="shared" si="10"/>
        <v>104</v>
      </c>
      <c r="B106" s="76" t="str">
        <f t="shared" si="9"/>
        <v>reserved_byte104</v>
      </c>
      <c r="C106" s="59">
        <v>255</v>
      </c>
      <c r="D106" s="60">
        <v>255</v>
      </c>
      <c r="E106" s="59">
        <v>0</v>
      </c>
      <c r="F106" s="59">
        <v>255</v>
      </c>
      <c r="G106" s="76" t="s">
        <v>59</v>
      </c>
      <c r="H106" s="64" t="str">
        <f t="shared" si="11"/>
        <v>2269</v>
      </c>
      <c r="I106" s="59">
        <v>1</v>
      </c>
      <c r="J106" s="61"/>
    </row>
    <row r="107" spans="1:10" s="25" customFormat="1" ht="27" customHeight="1">
      <c r="A107" s="65">
        <f t="shared" si="10"/>
        <v>105</v>
      </c>
      <c r="B107" s="76" t="str">
        <f t="shared" si="9"/>
        <v>reserved_byte105</v>
      </c>
      <c r="C107" s="59">
        <v>255</v>
      </c>
      <c r="D107" s="60">
        <v>255</v>
      </c>
      <c r="E107" s="59">
        <v>0</v>
      </c>
      <c r="F107" s="59">
        <v>255</v>
      </c>
      <c r="G107" s="76" t="s">
        <v>59</v>
      </c>
      <c r="H107" s="64" t="str">
        <f t="shared" si="11"/>
        <v>226A</v>
      </c>
      <c r="I107" s="59">
        <v>1</v>
      </c>
      <c r="J107" s="61"/>
    </row>
    <row r="108" spans="1:10" s="25" customFormat="1" ht="27" customHeight="1">
      <c r="A108" s="65">
        <f t="shared" si="10"/>
        <v>106</v>
      </c>
      <c r="B108" s="76" t="str">
        <f t="shared" si="9"/>
        <v>reserved_byte106</v>
      </c>
      <c r="C108" s="59">
        <v>255</v>
      </c>
      <c r="D108" s="60">
        <v>255</v>
      </c>
      <c r="E108" s="59">
        <v>0</v>
      </c>
      <c r="F108" s="59">
        <v>255</v>
      </c>
      <c r="G108" s="76" t="s">
        <v>59</v>
      </c>
      <c r="H108" s="64" t="str">
        <f t="shared" si="11"/>
        <v>226B</v>
      </c>
      <c r="I108" s="59">
        <v>1</v>
      </c>
      <c r="J108" s="61"/>
    </row>
    <row r="109" spans="1:10" s="25" customFormat="1" ht="27" customHeight="1">
      <c r="A109" s="65">
        <f t="shared" si="10"/>
        <v>107</v>
      </c>
      <c r="B109" s="76" t="str">
        <f t="shared" si="9"/>
        <v>reserved_byte107</v>
      </c>
      <c r="C109" s="59">
        <v>255</v>
      </c>
      <c r="D109" s="60">
        <v>255</v>
      </c>
      <c r="E109" s="59">
        <v>0</v>
      </c>
      <c r="F109" s="59">
        <v>255</v>
      </c>
      <c r="G109" s="76" t="s">
        <v>59</v>
      </c>
      <c r="H109" s="64" t="str">
        <f t="shared" si="11"/>
        <v>226C</v>
      </c>
      <c r="I109" s="59">
        <v>1</v>
      </c>
      <c r="J109" s="61"/>
    </row>
    <row r="110" spans="1:10" s="25" customFormat="1" ht="27" customHeight="1">
      <c r="A110" s="65">
        <f t="shared" si="10"/>
        <v>108</v>
      </c>
      <c r="B110" s="76" t="str">
        <f t="shared" si="9"/>
        <v>reserved_byte108</v>
      </c>
      <c r="C110" s="59">
        <v>255</v>
      </c>
      <c r="D110" s="60">
        <v>255</v>
      </c>
      <c r="E110" s="59">
        <v>0</v>
      </c>
      <c r="F110" s="59">
        <v>255</v>
      </c>
      <c r="G110" s="76" t="s">
        <v>59</v>
      </c>
      <c r="H110" s="64" t="str">
        <f t="shared" si="11"/>
        <v>226D</v>
      </c>
      <c r="I110" s="59">
        <v>1</v>
      </c>
      <c r="J110" s="61"/>
    </row>
    <row r="111" spans="1:10" s="25" customFormat="1" ht="27" customHeight="1">
      <c r="A111" s="65">
        <f t="shared" si="10"/>
        <v>109</v>
      </c>
      <c r="B111" s="76" t="str">
        <f t="shared" si="9"/>
        <v>reserved_byte109</v>
      </c>
      <c r="C111" s="59">
        <v>255</v>
      </c>
      <c r="D111" s="60">
        <v>255</v>
      </c>
      <c r="E111" s="59">
        <v>0</v>
      </c>
      <c r="F111" s="59">
        <v>255</v>
      </c>
      <c r="G111" s="76" t="s">
        <v>59</v>
      </c>
      <c r="H111" s="64" t="str">
        <f t="shared" si="11"/>
        <v>226E</v>
      </c>
      <c r="I111" s="59">
        <v>1</v>
      </c>
      <c r="J111" s="61"/>
    </row>
    <row r="112" spans="1:10" s="25" customFormat="1" ht="27" customHeight="1">
      <c r="A112" s="65">
        <f t="shared" si="10"/>
        <v>110</v>
      </c>
      <c r="B112" s="76" t="str">
        <f t="shared" si="9"/>
        <v>reserved_byte110</v>
      </c>
      <c r="C112" s="59">
        <v>255</v>
      </c>
      <c r="D112" s="60">
        <v>255</v>
      </c>
      <c r="E112" s="59">
        <v>0</v>
      </c>
      <c r="F112" s="59">
        <v>255</v>
      </c>
      <c r="G112" s="76" t="s">
        <v>59</v>
      </c>
      <c r="H112" s="64" t="str">
        <f t="shared" si="11"/>
        <v>226F</v>
      </c>
      <c r="I112" s="59">
        <v>1</v>
      </c>
      <c r="J112" s="61"/>
    </row>
    <row r="113" spans="1:10" s="25" customFormat="1" ht="27" customHeight="1">
      <c r="A113" s="65">
        <f t="shared" si="10"/>
        <v>111</v>
      </c>
      <c r="B113" s="76" t="str">
        <f t="shared" si="9"/>
        <v>reserved_byte111</v>
      </c>
      <c r="C113" s="59">
        <v>255</v>
      </c>
      <c r="D113" s="60">
        <v>255</v>
      </c>
      <c r="E113" s="59">
        <v>0</v>
      </c>
      <c r="F113" s="59">
        <v>255</v>
      </c>
      <c r="G113" s="76" t="s">
        <v>59</v>
      </c>
      <c r="H113" s="64" t="str">
        <f t="shared" si="11"/>
        <v>2270</v>
      </c>
      <c r="I113" s="59">
        <v>1</v>
      </c>
      <c r="J113" s="61"/>
    </row>
    <row r="114" spans="1:10" s="25" customFormat="1" ht="27" customHeight="1">
      <c r="A114" s="65">
        <f t="shared" si="10"/>
        <v>112</v>
      </c>
      <c r="B114" s="76" t="str">
        <f t="shared" si="9"/>
        <v>reserved_byte112</v>
      </c>
      <c r="C114" s="59">
        <v>255</v>
      </c>
      <c r="D114" s="60">
        <v>255</v>
      </c>
      <c r="E114" s="59">
        <v>0</v>
      </c>
      <c r="F114" s="59">
        <v>255</v>
      </c>
      <c r="G114" s="76" t="s">
        <v>59</v>
      </c>
      <c r="H114" s="64" t="str">
        <f t="shared" si="11"/>
        <v>2271</v>
      </c>
      <c r="I114" s="59">
        <v>1</v>
      </c>
      <c r="J114" s="61"/>
    </row>
    <row r="115" spans="1:10" s="25" customFormat="1" ht="27" customHeight="1">
      <c r="A115" s="65">
        <f t="shared" si="10"/>
        <v>113</v>
      </c>
      <c r="B115" s="76" t="str">
        <f t="shared" si="9"/>
        <v>reserved_byte113</v>
      </c>
      <c r="C115" s="59">
        <v>255</v>
      </c>
      <c r="D115" s="60">
        <v>255</v>
      </c>
      <c r="E115" s="59">
        <v>0</v>
      </c>
      <c r="F115" s="59">
        <v>255</v>
      </c>
      <c r="G115" s="76" t="s">
        <v>59</v>
      </c>
      <c r="H115" s="64" t="str">
        <f t="shared" si="11"/>
        <v>2272</v>
      </c>
      <c r="I115" s="59">
        <v>1</v>
      </c>
      <c r="J115" s="61"/>
    </row>
    <row r="116" spans="1:10" s="25" customFormat="1" ht="27" customHeight="1">
      <c r="A116" s="65">
        <f t="shared" si="10"/>
        <v>114</v>
      </c>
      <c r="B116" s="76" t="str">
        <f t="shared" si="9"/>
        <v>reserved_byte114</v>
      </c>
      <c r="C116" s="59">
        <v>255</v>
      </c>
      <c r="D116" s="60">
        <v>255</v>
      </c>
      <c r="E116" s="59">
        <v>0</v>
      </c>
      <c r="F116" s="59">
        <v>255</v>
      </c>
      <c r="G116" s="76" t="s">
        <v>59</v>
      </c>
      <c r="H116" s="64" t="str">
        <f t="shared" si="11"/>
        <v>2273</v>
      </c>
      <c r="I116" s="59">
        <v>1</v>
      </c>
      <c r="J116" s="61"/>
    </row>
    <row r="117" spans="1:10" s="25" customFormat="1" ht="27" customHeight="1">
      <c r="A117" s="65">
        <f t="shared" si="10"/>
        <v>115</v>
      </c>
      <c r="B117" s="76" t="str">
        <f t="shared" si="9"/>
        <v>reserved_byte115</v>
      </c>
      <c r="C117" s="59">
        <v>255</v>
      </c>
      <c r="D117" s="60">
        <v>255</v>
      </c>
      <c r="E117" s="59">
        <v>0</v>
      </c>
      <c r="F117" s="59">
        <v>255</v>
      </c>
      <c r="G117" s="76" t="s">
        <v>59</v>
      </c>
      <c r="H117" s="64" t="str">
        <f t="shared" si="11"/>
        <v>2274</v>
      </c>
      <c r="I117" s="59">
        <v>1</v>
      </c>
      <c r="J117" s="61"/>
    </row>
    <row r="118" spans="1:10" s="25" customFormat="1" ht="27" customHeight="1">
      <c r="A118" s="65">
        <f t="shared" si="10"/>
        <v>116</v>
      </c>
      <c r="B118" s="76" t="str">
        <f t="shared" si="9"/>
        <v>reserved_byte116</v>
      </c>
      <c r="C118" s="59">
        <v>255</v>
      </c>
      <c r="D118" s="60">
        <v>255</v>
      </c>
      <c r="E118" s="59">
        <v>0</v>
      </c>
      <c r="F118" s="59">
        <v>255</v>
      </c>
      <c r="G118" s="76" t="s">
        <v>59</v>
      </c>
      <c r="H118" s="64" t="str">
        <f t="shared" si="11"/>
        <v>2275</v>
      </c>
      <c r="I118" s="59">
        <v>1</v>
      </c>
      <c r="J118" s="61"/>
    </row>
    <row r="119" spans="1:10" s="25" customFormat="1" ht="27" customHeight="1">
      <c r="A119" s="65">
        <f t="shared" si="10"/>
        <v>117</v>
      </c>
      <c r="B119" s="76" t="str">
        <f t="shared" si="9"/>
        <v>reserved_byte117</v>
      </c>
      <c r="C119" s="59">
        <v>255</v>
      </c>
      <c r="D119" s="60">
        <v>255</v>
      </c>
      <c r="E119" s="59">
        <v>0</v>
      </c>
      <c r="F119" s="59">
        <v>255</v>
      </c>
      <c r="G119" s="76" t="s">
        <v>59</v>
      </c>
      <c r="H119" s="64" t="str">
        <f t="shared" si="11"/>
        <v>2276</v>
      </c>
      <c r="I119" s="59">
        <v>1</v>
      </c>
      <c r="J119" s="61"/>
    </row>
    <row r="120" spans="1:10" s="25" customFormat="1" ht="27" customHeight="1">
      <c r="A120" s="65">
        <f t="shared" si="10"/>
        <v>118</v>
      </c>
      <c r="B120" s="76" t="str">
        <f t="shared" si="9"/>
        <v>reserved_byte118</v>
      </c>
      <c r="C120" s="59">
        <v>255</v>
      </c>
      <c r="D120" s="60">
        <v>255</v>
      </c>
      <c r="E120" s="59">
        <v>0</v>
      </c>
      <c r="F120" s="59">
        <v>255</v>
      </c>
      <c r="G120" s="76" t="s">
        <v>59</v>
      </c>
      <c r="H120" s="64" t="str">
        <f t="shared" si="11"/>
        <v>2277</v>
      </c>
      <c r="I120" s="59">
        <v>1</v>
      </c>
      <c r="J120" s="61"/>
    </row>
    <row r="121" spans="1:10" s="25" customFormat="1" ht="27" customHeight="1">
      <c r="A121" s="65">
        <f t="shared" si="10"/>
        <v>119</v>
      </c>
      <c r="B121" s="76" t="str">
        <f t="shared" si="9"/>
        <v>reserved_byte119</v>
      </c>
      <c r="C121" s="59">
        <v>255</v>
      </c>
      <c r="D121" s="60">
        <v>255</v>
      </c>
      <c r="E121" s="59">
        <v>0</v>
      </c>
      <c r="F121" s="59">
        <v>255</v>
      </c>
      <c r="G121" s="76" t="s">
        <v>59</v>
      </c>
      <c r="H121" s="64" t="str">
        <f t="shared" si="11"/>
        <v>2278</v>
      </c>
      <c r="I121" s="59">
        <v>1</v>
      </c>
      <c r="J121" s="61"/>
    </row>
    <row r="122" spans="1:10" s="25" customFormat="1" ht="27" customHeight="1">
      <c r="A122" s="65">
        <f t="shared" si="10"/>
        <v>120</v>
      </c>
      <c r="B122" s="76" t="str">
        <f t="shared" si="9"/>
        <v>reserved_byte120</v>
      </c>
      <c r="C122" s="59">
        <v>255</v>
      </c>
      <c r="D122" s="60">
        <v>255</v>
      </c>
      <c r="E122" s="59">
        <v>0</v>
      </c>
      <c r="F122" s="59">
        <v>255</v>
      </c>
      <c r="G122" s="76" t="s">
        <v>59</v>
      </c>
      <c r="H122" s="64" t="str">
        <f t="shared" si="11"/>
        <v>2279</v>
      </c>
      <c r="I122" s="59">
        <v>1</v>
      </c>
      <c r="J122" s="61"/>
    </row>
    <row r="123" spans="1:10" s="25" customFormat="1" ht="27" customHeight="1">
      <c r="A123" s="65">
        <f t="shared" si="10"/>
        <v>121</v>
      </c>
      <c r="B123" s="76" t="str">
        <f t="shared" si="9"/>
        <v>reserved_byte121</v>
      </c>
      <c r="C123" s="59">
        <v>255</v>
      </c>
      <c r="D123" s="60">
        <v>255</v>
      </c>
      <c r="E123" s="59">
        <v>0</v>
      </c>
      <c r="F123" s="59">
        <v>255</v>
      </c>
      <c r="G123" s="76" t="s">
        <v>59</v>
      </c>
      <c r="H123" s="64" t="str">
        <f t="shared" si="11"/>
        <v>227A</v>
      </c>
      <c r="I123" s="59">
        <v>1</v>
      </c>
      <c r="J123" s="61"/>
    </row>
    <row r="124" spans="1:10" s="25" customFormat="1" ht="27" customHeight="1">
      <c r="A124" s="65">
        <f t="shared" si="10"/>
        <v>122</v>
      </c>
      <c r="B124" s="76" t="str">
        <f t="shared" si="9"/>
        <v>reserved_byte122</v>
      </c>
      <c r="C124" s="59">
        <v>255</v>
      </c>
      <c r="D124" s="60">
        <v>255</v>
      </c>
      <c r="E124" s="59">
        <v>0</v>
      </c>
      <c r="F124" s="59">
        <v>255</v>
      </c>
      <c r="G124" s="76" t="s">
        <v>59</v>
      </c>
      <c r="H124" s="64" t="str">
        <f t="shared" si="11"/>
        <v>227B</v>
      </c>
      <c r="I124" s="59">
        <v>1</v>
      </c>
      <c r="J124" s="61"/>
    </row>
    <row r="125" spans="1:10" s="25" customFormat="1" ht="27" customHeight="1">
      <c r="A125" s="65">
        <f t="shared" si="10"/>
        <v>123</v>
      </c>
      <c r="B125" s="76" t="str">
        <f t="shared" si="9"/>
        <v>reserved_byte123</v>
      </c>
      <c r="C125" s="59">
        <v>255</v>
      </c>
      <c r="D125" s="60">
        <v>255</v>
      </c>
      <c r="E125" s="59">
        <v>0</v>
      </c>
      <c r="F125" s="59">
        <v>255</v>
      </c>
      <c r="G125" s="76" t="s">
        <v>59</v>
      </c>
      <c r="H125" s="64" t="str">
        <f t="shared" si="11"/>
        <v>227C</v>
      </c>
      <c r="I125" s="59">
        <v>1</v>
      </c>
      <c r="J125" s="61"/>
    </row>
    <row r="126" spans="1:10" s="25" customFormat="1" ht="27" customHeight="1">
      <c r="A126" s="65">
        <f t="shared" si="10"/>
        <v>124</v>
      </c>
      <c r="B126" s="76" t="str">
        <f t="shared" si="9"/>
        <v>reserved_byte124</v>
      </c>
      <c r="C126" s="59">
        <v>255</v>
      </c>
      <c r="D126" s="60">
        <v>255</v>
      </c>
      <c r="E126" s="59">
        <v>0</v>
      </c>
      <c r="F126" s="59">
        <v>255</v>
      </c>
      <c r="G126" s="76" t="s">
        <v>59</v>
      </c>
      <c r="H126" s="64" t="str">
        <f t="shared" si="11"/>
        <v>227D</v>
      </c>
      <c r="I126" s="59">
        <v>1</v>
      </c>
      <c r="J126" s="61"/>
    </row>
    <row r="127" spans="1:10" s="25" customFormat="1" ht="27" customHeight="1">
      <c r="A127" s="65">
        <f t="shared" si="10"/>
        <v>125</v>
      </c>
      <c r="B127" s="76" t="str">
        <f t="shared" si="9"/>
        <v>reserved_byte125</v>
      </c>
      <c r="C127" s="59">
        <v>255</v>
      </c>
      <c r="D127" s="60">
        <v>255</v>
      </c>
      <c r="E127" s="59">
        <v>0</v>
      </c>
      <c r="F127" s="59">
        <v>255</v>
      </c>
      <c r="G127" s="76" t="s">
        <v>59</v>
      </c>
      <c r="H127" s="64" t="str">
        <f t="shared" si="11"/>
        <v>227E</v>
      </c>
      <c r="I127" s="59">
        <v>1</v>
      </c>
      <c r="J127" s="61"/>
    </row>
    <row r="128" spans="1:10" s="25" customFormat="1" ht="27" customHeight="1">
      <c r="A128" s="65">
        <f t="shared" si="10"/>
        <v>126</v>
      </c>
      <c r="B128" s="76" t="str">
        <f t="shared" si="9"/>
        <v>reserved_byte126</v>
      </c>
      <c r="C128" s="59">
        <v>255</v>
      </c>
      <c r="D128" s="60">
        <v>255</v>
      </c>
      <c r="E128" s="59">
        <v>0</v>
      </c>
      <c r="F128" s="59">
        <v>255</v>
      </c>
      <c r="G128" s="76" t="s">
        <v>59</v>
      </c>
      <c r="H128" s="64" t="str">
        <f t="shared" si="11"/>
        <v>227F</v>
      </c>
      <c r="I128" s="59">
        <v>1</v>
      </c>
      <c r="J128" s="61"/>
    </row>
    <row r="129" spans="1:10" s="25" customFormat="1" ht="27" customHeight="1">
      <c r="A129" s="65">
        <f t="shared" si="10"/>
        <v>127</v>
      </c>
      <c r="B129" s="76" t="str">
        <f t="shared" si="9"/>
        <v>reserved_byte127</v>
      </c>
      <c r="C129" s="59">
        <v>255</v>
      </c>
      <c r="D129" s="60">
        <v>255</v>
      </c>
      <c r="E129" s="59">
        <v>0</v>
      </c>
      <c r="F129" s="59">
        <v>255</v>
      </c>
      <c r="G129" s="76" t="s">
        <v>59</v>
      </c>
      <c r="H129" s="64" t="str">
        <f t="shared" si="11"/>
        <v>2280</v>
      </c>
      <c r="I129" s="59">
        <v>1</v>
      </c>
      <c r="J129" s="61"/>
    </row>
    <row r="130" spans="1:10" s="25" customFormat="1" ht="27" customHeight="1">
      <c r="A130" s="65">
        <f t="shared" si="10"/>
        <v>128</v>
      </c>
      <c r="B130" s="76" t="str">
        <f t="shared" ref="B130:B161" si="12">"reserved_byte" &amp;TEXT(A130,0)</f>
        <v>reserved_byte128</v>
      </c>
      <c r="C130" s="59">
        <v>255</v>
      </c>
      <c r="D130" s="60">
        <v>255</v>
      </c>
      <c r="E130" s="59">
        <v>0</v>
      </c>
      <c r="F130" s="59">
        <v>255</v>
      </c>
      <c r="G130" s="76" t="s">
        <v>59</v>
      </c>
      <c r="H130" s="64" t="str">
        <f t="shared" si="11"/>
        <v>2281</v>
      </c>
      <c r="I130" s="59">
        <v>1</v>
      </c>
      <c r="J130" s="61"/>
    </row>
    <row r="131" spans="1:10" s="25" customFormat="1" ht="27" customHeight="1">
      <c r="A131" s="65">
        <f t="shared" ref="A131:A162" si="13">A130+1</f>
        <v>129</v>
      </c>
      <c r="B131" s="76" t="str">
        <f t="shared" si="12"/>
        <v>reserved_byte129</v>
      </c>
      <c r="C131" s="59">
        <v>255</v>
      </c>
      <c r="D131" s="60">
        <v>255</v>
      </c>
      <c r="E131" s="59">
        <v>0</v>
      </c>
      <c r="F131" s="59">
        <v>255</v>
      </c>
      <c r="G131" s="76" t="s">
        <v>59</v>
      </c>
      <c r="H131" s="64" t="str">
        <f t="shared" ref="H131:H162" si="14">DEC2HEX((HEX2DEC(H130)+1),4)</f>
        <v>2282</v>
      </c>
      <c r="I131" s="59">
        <v>1</v>
      </c>
      <c r="J131" s="61"/>
    </row>
    <row r="132" spans="1:10" s="25" customFormat="1" ht="27" customHeight="1">
      <c r="A132" s="65">
        <f t="shared" si="13"/>
        <v>130</v>
      </c>
      <c r="B132" s="76" t="str">
        <f t="shared" si="12"/>
        <v>reserved_byte130</v>
      </c>
      <c r="C132" s="59">
        <v>255</v>
      </c>
      <c r="D132" s="60">
        <v>255</v>
      </c>
      <c r="E132" s="59">
        <v>0</v>
      </c>
      <c r="F132" s="59">
        <v>255</v>
      </c>
      <c r="G132" s="76" t="s">
        <v>59</v>
      </c>
      <c r="H132" s="64" t="str">
        <f t="shared" si="14"/>
        <v>2283</v>
      </c>
      <c r="I132" s="59">
        <v>1</v>
      </c>
      <c r="J132" s="61"/>
    </row>
    <row r="133" spans="1:10" s="25" customFormat="1" ht="27" customHeight="1">
      <c r="A133" s="65">
        <f t="shared" si="13"/>
        <v>131</v>
      </c>
      <c r="B133" s="76" t="str">
        <f t="shared" si="12"/>
        <v>reserved_byte131</v>
      </c>
      <c r="C133" s="59">
        <v>255</v>
      </c>
      <c r="D133" s="60">
        <v>255</v>
      </c>
      <c r="E133" s="59">
        <v>0</v>
      </c>
      <c r="F133" s="59">
        <v>255</v>
      </c>
      <c r="G133" s="76" t="s">
        <v>59</v>
      </c>
      <c r="H133" s="64" t="str">
        <f t="shared" si="14"/>
        <v>2284</v>
      </c>
      <c r="I133" s="59">
        <v>1</v>
      </c>
      <c r="J133" s="61"/>
    </row>
    <row r="134" spans="1:10" s="25" customFormat="1" ht="27" customHeight="1">
      <c r="A134" s="65">
        <f t="shared" si="13"/>
        <v>132</v>
      </c>
      <c r="B134" s="76" t="str">
        <f t="shared" si="12"/>
        <v>reserved_byte132</v>
      </c>
      <c r="C134" s="59">
        <v>255</v>
      </c>
      <c r="D134" s="60">
        <v>255</v>
      </c>
      <c r="E134" s="59">
        <v>0</v>
      </c>
      <c r="F134" s="59">
        <v>255</v>
      </c>
      <c r="G134" s="76" t="s">
        <v>59</v>
      </c>
      <c r="H134" s="64" t="str">
        <f t="shared" si="14"/>
        <v>2285</v>
      </c>
      <c r="I134" s="59">
        <v>1</v>
      </c>
      <c r="J134" s="61"/>
    </row>
    <row r="135" spans="1:10" s="25" customFormat="1" ht="27" customHeight="1">
      <c r="A135" s="65">
        <f t="shared" si="13"/>
        <v>133</v>
      </c>
      <c r="B135" s="76" t="str">
        <f t="shared" si="12"/>
        <v>reserved_byte133</v>
      </c>
      <c r="C135" s="59">
        <v>255</v>
      </c>
      <c r="D135" s="60">
        <v>255</v>
      </c>
      <c r="E135" s="59">
        <v>0</v>
      </c>
      <c r="F135" s="59">
        <v>255</v>
      </c>
      <c r="G135" s="76" t="s">
        <v>59</v>
      </c>
      <c r="H135" s="64" t="str">
        <f t="shared" si="14"/>
        <v>2286</v>
      </c>
      <c r="I135" s="59">
        <v>1</v>
      </c>
      <c r="J135" s="61"/>
    </row>
    <row r="136" spans="1:10" s="25" customFormat="1" ht="27" customHeight="1">
      <c r="A136" s="65">
        <f t="shared" si="13"/>
        <v>134</v>
      </c>
      <c r="B136" s="76" t="str">
        <f t="shared" si="12"/>
        <v>reserved_byte134</v>
      </c>
      <c r="C136" s="59">
        <v>255</v>
      </c>
      <c r="D136" s="60">
        <v>255</v>
      </c>
      <c r="E136" s="59">
        <v>0</v>
      </c>
      <c r="F136" s="59">
        <v>255</v>
      </c>
      <c r="G136" s="76" t="s">
        <v>59</v>
      </c>
      <c r="H136" s="64" t="str">
        <f t="shared" si="14"/>
        <v>2287</v>
      </c>
      <c r="I136" s="59">
        <v>1</v>
      </c>
      <c r="J136" s="61"/>
    </row>
    <row r="137" spans="1:10" s="25" customFormat="1" ht="27" customHeight="1">
      <c r="A137" s="65">
        <f t="shared" si="13"/>
        <v>135</v>
      </c>
      <c r="B137" s="76" t="str">
        <f t="shared" si="12"/>
        <v>reserved_byte135</v>
      </c>
      <c r="C137" s="59">
        <v>255</v>
      </c>
      <c r="D137" s="60">
        <v>255</v>
      </c>
      <c r="E137" s="59">
        <v>0</v>
      </c>
      <c r="F137" s="59">
        <v>255</v>
      </c>
      <c r="G137" s="76" t="s">
        <v>59</v>
      </c>
      <c r="H137" s="64" t="str">
        <f t="shared" si="14"/>
        <v>2288</v>
      </c>
      <c r="I137" s="59">
        <v>1</v>
      </c>
      <c r="J137" s="61"/>
    </row>
    <row r="138" spans="1:10" s="25" customFormat="1" ht="27" customHeight="1">
      <c r="A138" s="65">
        <f t="shared" si="13"/>
        <v>136</v>
      </c>
      <c r="B138" s="76" t="str">
        <f t="shared" si="12"/>
        <v>reserved_byte136</v>
      </c>
      <c r="C138" s="59">
        <v>255</v>
      </c>
      <c r="D138" s="60">
        <v>255</v>
      </c>
      <c r="E138" s="59">
        <v>0</v>
      </c>
      <c r="F138" s="59">
        <v>255</v>
      </c>
      <c r="G138" s="76" t="s">
        <v>59</v>
      </c>
      <c r="H138" s="64" t="str">
        <f t="shared" si="14"/>
        <v>2289</v>
      </c>
      <c r="I138" s="59">
        <v>1</v>
      </c>
      <c r="J138" s="61"/>
    </row>
    <row r="139" spans="1:10" s="25" customFormat="1" ht="27" customHeight="1">
      <c r="A139" s="65">
        <f t="shared" si="13"/>
        <v>137</v>
      </c>
      <c r="B139" s="76" t="str">
        <f t="shared" si="12"/>
        <v>reserved_byte137</v>
      </c>
      <c r="C139" s="59">
        <v>255</v>
      </c>
      <c r="D139" s="60">
        <v>255</v>
      </c>
      <c r="E139" s="59">
        <v>0</v>
      </c>
      <c r="F139" s="59">
        <v>255</v>
      </c>
      <c r="G139" s="76" t="s">
        <v>59</v>
      </c>
      <c r="H139" s="64" t="str">
        <f t="shared" si="14"/>
        <v>228A</v>
      </c>
      <c r="I139" s="59">
        <v>1</v>
      </c>
      <c r="J139" s="61"/>
    </row>
    <row r="140" spans="1:10" s="25" customFormat="1" ht="27" customHeight="1">
      <c r="A140" s="65">
        <f t="shared" si="13"/>
        <v>138</v>
      </c>
      <c r="B140" s="76" t="str">
        <f t="shared" si="12"/>
        <v>reserved_byte138</v>
      </c>
      <c r="C140" s="59">
        <v>255</v>
      </c>
      <c r="D140" s="60">
        <v>255</v>
      </c>
      <c r="E140" s="59">
        <v>0</v>
      </c>
      <c r="F140" s="59">
        <v>255</v>
      </c>
      <c r="G140" s="76" t="s">
        <v>59</v>
      </c>
      <c r="H140" s="64" t="str">
        <f t="shared" si="14"/>
        <v>228B</v>
      </c>
      <c r="I140" s="59">
        <v>1</v>
      </c>
      <c r="J140" s="61"/>
    </row>
    <row r="141" spans="1:10" s="25" customFormat="1" ht="27" customHeight="1">
      <c r="A141" s="65">
        <f t="shared" si="13"/>
        <v>139</v>
      </c>
      <c r="B141" s="76" t="str">
        <f t="shared" si="12"/>
        <v>reserved_byte139</v>
      </c>
      <c r="C141" s="59">
        <v>255</v>
      </c>
      <c r="D141" s="60">
        <v>255</v>
      </c>
      <c r="E141" s="59">
        <v>0</v>
      </c>
      <c r="F141" s="59">
        <v>255</v>
      </c>
      <c r="G141" s="76" t="s">
        <v>59</v>
      </c>
      <c r="H141" s="64" t="str">
        <f t="shared" si="14"/>
        <v>228C</v>
      </c>
      <c r="I141" s="59">
        <v>1</v>
      </c>
      <c r="J141" s="61"/>
    </row>
    <row r="142" spans="1:10" s="25" customFormat="1" ht="27" customHeight="1">
      <c r="A142" s="65">
        <f t="shared" si="13"/>
        <v>140</v>
      </c>
      <c r="B142" s="76" t="str">
        <f t="shared" si="12"/>
        <v>reserved_byte140</v>
      </c>
      <c r="C142" s="59">
        <v>255</v>
      </c>
      <c r="D142" s="60">
        <v>255</v>
      </c>
      <c r="E142" s="59">
        <v>0</v>
      </c>
      <c r="F142" s="59">
        <v>255</v>
      </c>
      <c r="G142" s="76" t="s">
        <v>59</v>
      </c>
      <c r="H142" s="64" t="str">
        <f t="shared" si="14"/>
        <v>228D</v>
      </c>
      <c r="I142" s="59">
        <v>1</v>
      </c>
      <c r="J142" s="61"/>
    </row>
    <row r="143" spans="1:10" s="25" customFormat="1" ht="27" customHeight="1">
      <c r="A143" s="65">
        <f t="shared" si="13"/>
        <v>141</v>
      </c>
      <c r="B143" s="76" t="str">
        <f t="shared" si="12"/>
        <v>reserved_byte141</v>
      </c>
      <c r="C143" s="59">
        <v>255</v>
      </c>
      <c r="D143" s="60">
        <v>255</v>
      </c>
      <c r="E143" s="59">
        <v>0</v>
      </c>
      <c r="F143" s="59">
        <v>255</v>
      </c>
      <c r="G143" s="76" t="s">
        <v>59</v>
      </c>
      <c r="H143" s="64" t="str">
        <f t="shared" si="14"/>
        <v>228E</v>
      </c>
      <c r="I143" s="59">
        <v>1</v>
      </c>
      <c r="J143" s="61"/>
    </row>
    <row r="144" spans="1:10" s="25" customFormat="1" ht="27" customHeight="1">
      <c r="A144" s="65">
        <f t="shared" si="13"/>
        <v>142</v>
      </c>
      <c r="B144" s="76" t="str">
        <f t="shared" si="12"/>
        <v>reserved_byte142</v>
      </c>
      <c r="C144" s="59">
        <v>255</v>
      </c>
      <c r="D144" s="60">
        <v>255</v>
      </c>
      <c r="E144" s="59">
        <v>0</v>
      </c>
      <c r="F144" s="59">
        <v>255</v>
      </c>
      <c r="G144" s="76" t="s">
        <v>59</v>
      </c>
      <c r="H144" s="64" t="str">
        <f t="shared" si="14"/>
        <v>228F</v>
      </c>
      <c r="I144" s="59">
        <v>1</v>
      </c>
      <c r="J144" s="61"/>
    </row>
    <row r="145" spans="1:10" s="25" customFormat="1" ht="27" customHeight="1">
      <c r="A145" s="65">
        <f t="shared" si="13"/>
        <v>143</v>
      </c>
      <c r="B145" s="76" t="str">
        <f t="shared" si="12"/>
        <v>reserved_byte143</v>
      </c>
      <c r="C145" s="59">
        <v>255</v>
      </c>
      <c r="D145" s="60">
        <v>255</v>
      </c>
      <c r="E145" s="59">
        <v>0</v>
      </c>
      <c r="F145" s="59">
        <v>255</v>
      </c>
      <c r="G145" s="76" t="s">
        <v>59</v>
      </c>
      <c r="H145" s="64" t="str">
        <f t="shared" si="14"/>
        <v>2290</v>
      </c>
      <c r="I145" s="59">
        <v>1</v>
      </c>
      <c r="J145" s="61"/>
    </row>
    <row r="146" spans="1:10" s="25" customFormat="1" ht="27" customHeight="1">
      <c r="A146" s="65">
        <f t="shared" si="13"/>
        <v>144</v>
      </c>
      <c r="B146" s="76" t="str">
        <f t="shared" si="12"/>
        <v>reserved_byte144</v>
      </c>
      <c r="C146" s="59">
        <v>255</v>
      </c>
      <c r="D146" s="60">
        <v>255</v>
      </c>
      <c r="E146" s="59">
        <v>0</v>
      </c>
      <c r="F146" s="59">
        <v>255</v>
      </c>
      <c r="G146" s="76" t="s">
        <v>59</v>
      </c>
      <c r="H146" s="64" t="str">
        <f t="shared" si="14"/>
        <v>2291</v>
      </c>
      <c r="I146" s="59">
        <v>1</v>
      </c>
      <c r="J146" s="61"/>
    </row>
    <row r="147" spans="1:10" s="25" customFormat="1" ht="27" customHeight="1">
      <c r="A147" s="65">
        <f t="shared" si="13"/>
        <v>145</v>
      </c>
      <c r="B147" s="76" t="str">
        <f t="shared" si="12"/>
        <v>reserved_byte145</v>
      </c>
      <c r="C147" s="59">
        <v>255</v>
      </c>
      <c r="D147" s="60">
        <v>255</v>
      </c>
      <c r="E147" s="59">
        <v>0</v>
      </c>
      <c r="F147" s="59">
        <v>255</v>
      </c>
      <c r="G147" s="76" t="s">
        <v>59</v>
      </c>
      <c r="H147" s="64" t="str">
        <f t="shared" si="14"/>
        <v>2292</v>
      </c>
      <c r="I147" s="59">
        <v>1</v>
      </c>
      <c r="J147" s="61"/>
    </row>
    <row r="148" spans="1:10" s="25" customFormat="1" ht="27" customHeight="1">
      <c r="A148" s="65">
        <f t="shared" si="13"/>
        <v>146</v>
      </c>
      <c r="B148" s="76" t="str">
        <f t="shared" si="12"/>
        <v>reserved_byte146</v>
      </c>
      <c r="C148" s="59">
        <v>255</v>
      </c>
      <c r="D148" s="60">
        <v>255</v>
      </c>
      <c r="E148" s="59">
        <v>0</v>
      </c>
      <c r="F148" s="59">
        <v>255</v>
      </c>
      <c r="G148" s="76" t="s">
        <v>59</v>
      </c>
      <c r="H148" s="64" t="str">
        <f t="shared" si="14"/>
        <v>2293</v>
      </c>
      <c r="I148" s="59">
        <v>1</v>
      </c>
      <c r="J148" s="61"/>
    </row>
    <row r="149" spans="1:10" s="25" customFormat="1" ht="27" customHeight="1">
      <c r="A149" s="65">
        <f t="shared" si="13"/>
        <v>147</v>
      </c>
      <c r="B149" s="76" t="str">
        <f t="shared" si="12"/>
        <v>reserved_byte147</v>
      </c>
      <c r="C149" s="59">
        <v>255</v>
      </c>
      <c r="D149" s="60">
        <v>255</v>
      </c>
      <c r="E149" s="59">
        <v>0</v>
      </c>
      <c r="F149" s="59">
        <v>255</v>
      </c>
      <c r="G149" s="76" t="s">
        <v>59</v>
      </c>
      <c r="H149" s="64" t="str">
        <f t="shared" si="14"/>
        <v>2294</v>
      </c>
      <c r="I149" s="59">
        <v>1</v>
      </c>
      <c r="J149" s="61"/>
    </row>
    <row r="150" spans="1:10" s="25" customFormat="1" ht="27" customHeight="1">
      <c r="A150" s="65">
        <f t="shared" si="13"/>
        <v>148</v>
      </c>
      <c r="B150" s="76" t="str">
        <f t="shared" si="12"/>
        <v>reserved_byte148</v>
      </c>
      <c r="C150" s="59">
        <v>255</v>
      </c>
      <c r="D150" s="60">
        <v>255</v>
      </c>
      <c r="E150" s="59">
        <v>0</v>
      </c>
      <c r="F150" s="59">
        <v>255</v>
      </c>
      <c r="G150" s="76" t="s">
        <v>59</v>
      </c>
      <c r="H150" s="64" t="str">
        <f t="shared" si="14"/>
        <v>2295</v>
      </c>
      <c r="I150" s="59">
        <v>1</v>
      </c>
      <c r="J150" s="61"/>
    </row>
    <row r="151" spans="1:10" s="25" customFormat="1" ht="27" customHeight="1">
      <c r="A151" s="65">
        <f t="shared" si="13"/>
        <v>149</v>
      </c>
      <c r="B151" s="76" t="str">
        <f t="shared" si="12"/>
        <v>reserved_byte149</v>
      </c>
      <c r="C151" s="59">
        <v>255</v>
      </c>
      <c r="D151" s="60">
        <v>255</v>
      </c>
      <c r="E151" s="59">
        <v>0</v>
      </c>
      <c r="F151" s="59">
        <v>255</v>
      </c>
      <c r="G151" s="76" t="s">
        <v>59</v>
      </c>
      <c r="H151" s="64" t="str">
        <f t="shared" si="14"/>
        <v>2296</v>
      </c>
      <c r="I151" s="59">
        <v>1</v>
      </c>
      <c r="J151" s="61"/>
    </row>
    <row r="152" spans="1:10" s="25" customFormat="1" ht="27" customHeight="1">
      <c r="A152" s="65">
        <f t="shared" si="13"/>
        <v>150</v>
      </c>
      <c r="B152" s="76" t="str">
        <f t="shared" si="12"/>
        <v>reserved_byte150</v>
      </c>
      <c r="C152" s="59">
        <v>255</v>
      </c>
      <c r="D152" s="60">
        <v>255</v>
      </c>
      <c r="E152" s="59">
        <v>0</v>
      </c>
      <c r="F152" s="59">
        <v>255</v>
      </c>
      <c r="G152" s="76" t="s">
        <v>59</v>
      </c>
      <c r="H152" s="64" t="str">
        <f t="shared" si="14"/>
        <v>2297</v>
      </c>
      <c r="I152" s="59">
        <v>1</v>
      </c>
      <c r="J152" s="61"/>
    </row>
    <row r="153" spans="1:10" s="25" customFormat="1" ht="27" customHeight="1">
      <c r="A153" s="65">
        <f t="shared" si="13"/>
        <v>151</v>
      </c>
      <c r="B153" s="76" t="str">
        <f t="shared" si="12"/>
        <v>reserved_byte151</v>
      </c>
      <c r="C153" s="59">
        <v>255</v>
      </c>
      <c r="D153" s="60">
        <v>255</v>
      </c>
      <c r="E153" s="59">
        <v>0</v>
      </c>
      <c r="F153" s="59">
        <v>255</v>
      </c>
      <c r="G153" s="76" t="s">
        <v>59</v>
      </c>
      <c r="H153" s="64" t="str">
        <f t="shared" si="14"/>
        <v>2298</v>
      </c>
      <c r="I153" s="59">
        <v>1</v>
      </c>
      <c r="J153" s="61"/>
    </row>
    <row r="154" spans="1:10" s="25" customFormat="1" ht="27" customHeight="1">
      <c r="A154" s="65">
        <f t="shared" si="13"/>
        <v>152</v>
      </c>
      <c r="B154" s="76" t="str">
        <f t="shared" si="12"/>
        <v>reserved_byte152</v>
      </c>
      <c r="C154" s="59">
        <v>255</v>
      </c>
      <c r="D154" s="60">
        <v>255</v>
      </c>
      <c r="E154" s="59">
        <v>0</v>
      </c>
      <c r="F154" s="59">
        <v>255</v>
      </c>
      <c r="G154" s="76" t="s">
        <v>59</v>
      </c>
      <c r="H154" s="64" t="str">
        <f t="shared" si="14"/>
        <v>2299</v>
      </c>
      <c r="I154" s="59">
        <v>1</v>
      </c>
      <c r="J154" s="61"/>
    </row>
    <row r="155" spans="1:10" s="25" customFormat="1" ht="27" customHeight="1">
      <c r="A155" s="65">
        <f t="shared" si="13"/>
        <v>153</v>
      </c>
      <c r="B155" s="76" t="str">
        <f t="shared" si="12"/>
        <v>reserved_byte153</v>
      </c>
      <c r="C155" s="59">
        <v>255</v>
      </c>
      <c r="D155" s="60">
        <v>255</v>
      </c>
      <c r="E155" s="59">
        <v>0</v>
      </c>
      <c r="F155" s="59">
        <v>255</v>
      </c>
      <c r="G155" s="76" t="s">
        <v>59</v>
      </c>
      <c r="H155" s="64" t="str">
        <f t="shared" si="14"/>
        <v>229A</v>
      </c>
      <c r="I155" s="59">
        <v>1</v>
      </c>
      <c r="J155" s="61"/>
    </row>
    <row r="156" spans="1:10" s="25" customFormat="1" ht="27" customHeight="1">
      <c r="A156" s="65">
        <f t="shared" si="13"/>
        <v>154</v>
      </c>
      <c r="B156" s="76" t="str">
        <f t="shared" si="12"/>
        <v>reserved_byte154</v>
      </c>
      <c r="C156" s="59">
        <v>255</v>
      </c>
      <c r="D156" s="60">
        <v>255</v>
      </c>
      <c r="E156" s="59">
        <v>0</v>
      </c>
      <c r="F156" s="59">
        <v>255</v>
      </c>
      <c r="G156" s="76" t="s">
        <v>59</v>
      </c>
      <c r="H156" s="64" t="str">
        <f t="shared" si="14"/>
        <v>229B</v>
      </c>
      <c r="I156" s="59">
        <v>1</v>
      </c>
      <c r="J156" s="61"/>
    </row>
    <row r="157" spans="1:10" s="25" customFormat="1" ht="27" customHeight="1">
      <c r="A157" s="65">
        <f t="shared" si="13"/>
        <v>155</v>
      </c>
      <c r="B157" s="76" t="str">
        <f t="shared" si="12"/>
        <v>reserved_byte155</v>
      </c>
      <c r="C157" s="59">
        <v>255</v>
      </c>
      <c r="D157" s="60">
        <v>255</v>
      </c>
      <c r="E157" s="59">
        <v>0</v>
      </c>
      <c r="F157" s="59">
        <v>255</v>
      </c>
      <c r="G157" s="76" t="s">
        <v>59</v>
      </c>
      <c r="H157" s="64" t="str">
        <f t="shared" si="14"/>
        <v>229C</v>
      </c>
      <c r="I157" s="59">
        <v>1</v>
      </c>
      <c r="J157" s="61"/>
    </row>
    <row r="158" spans="1:10" s="25" customFormat="1" ht="27" customHeight="1">
      <c r="A158" s="65">
        <f t="shared" si="13"/>
        <v>156</v>
      </c>
      <c r="B158" s="76" t="str">
        <f t="shared" si="12"/>
        <v>reserved_byte156</v>
      </c>
      <c r="C158" s="59">
        <v>255</v>
      </c>
      <c r="D158" s="60">
        <v>255</v>
      </c>
      <c r="E158" s="59">
        <v>0</v>
      </c>
      <c r="F158" s="59">
        <v>255</v>
      </c>
      <c r="G158" s="76" t="s">
        <v>59</v>
      </c>
      <c r="H158" s="64" t="str">
        <f t="shared" si="14"/>
        <v>229D</v>
      </c>
      <c r="I158" s="59">
        <v>1</v>
      </c>
      <c r="J158" s="61"/>
    </row>
    <row r="159" spans="1:10" s="25" customFormat="1" ht="27" customHeight="1">
      <c r="A159" s="65">
        <f t="shared" si="13"/>
        <v>157</v>
      </c>
      <c r="B159" s="76" t="str">
        <f t="shared" si="12"/>
        <v>reserved_byte157</v>
      </c>
      <c r="C159" s="59">
        <v>255</v>
      </c>
      <c r="D159" s="60">
        <v>255</v>
      </c>
      <c r="E159" s="59">
        <v>0</v>
      </c>
      <c r="F159" s="59">
        <v>255</v>
      </c>
      <c r="G159" s="76" t="s">
        <v>59</v>
      </c>
      <c r="H159" s="64" t="str">
        <f t="shared" si="14"/>
        <v>229E</v>
      </c>
      <c r="I159" s="59">
        <v>1</v>
      </c>
      <c r="J159" s="61"/>
    </row>
    <row r="160" spans="1:10" s="25" customFormat="1" ht="27" customHeight="1">
      <c r="A160" s="65">
        <f t="shared" si="13"/>
        <v>158</v>
      </c>
      <c r="B160" s="76" t="str">
        <f t="shared" si="12"/>
        <v>reserved_byte158</v>
      </c>
      <c r="C160" s="59">
        <v>255</v>
      </c>
      <c r="D160" s="60">
        <v>255</v>
      </c>
      <c r="E160" s="59">
        <v>0</v>
      </c>
      <c r="F160" s="59">
        <v>255</v>
      </c>
      <c r="G160" s="76" t="s">
        <v>59</v>
      </c>
      <c r="H160" s="64" t="str">
        <f t="shared" si="14"/>
        <v>229F</v>
      </c>
      <c r="I160" s="59">
        <v>1</v>
      </c>
      <c r="J160" s="61"/>
    </row>
    <row r="161" spans="1:10" s="25" customFormat="1" ht="27" customHeight="1">
      <c r="A161" s="65">
        <f t="shared" si="13"/>
        <v>159</v>
      </c>
      <c r="B161" s="76" t="str">
        <f t="shared" si="12"/>
        <v>reserved_byte159</v>
      </c>
      <c r="C161" s="59">
        <v>255</v>
      </c>
      <c r="D161" s="60">
        <v>255</v>
      </c>
      <c r="E161" s="59">
        <v>0</v>
      </c>
      <c r="F161" s="59">
        <v>255</v>
      </c>
      <c r="G161" s="76" t="s">
        <v>59</v>
      </c>
      <c r="H161" s="64" t="str">
        <f t="shared" si="14"/>
        <v>22A0</v>
      </c>
      <c r="I161" s="59">
        <v>1</v>
      </c>
      <c r="J161" s="61"/>
    </row>
    <row r="162" spans="1:10" s="25" customFormat="1" ht="27" customHeight="1">
      <c r="A162" s="65">
        <f t="shared" si="13"/>
        <v>160</v>
      </c>
      <c r="B162" s="76" t="str">
        <f t="shared" ref="B162:B193" si="15">"reserved_byte" &amp;TEXT(A162,0)</f>
        <v>reserved_byte160</v>
      </c>
      <c r="C162" s="59">
        <v>255</v>
      </c>
      <c r="D162" s="60">
        <v>255</v>
      </c>
      <c r="E162" s="59">
        <v>0</v>
      </c>
      <c r="F162" s="59">
        <v>255</v>
      </c>
      <c r="G162" s="76" t="s">
        <v>59</v>
      </c>
      <c r="H162" s="64" t="str">
        <f t="shared" si="14"/>
        <v>22A1</v>
      </c>
      <c r="I162" s="59">
        <v>1</v>
      </c>
      <c r="J162" s="61"/>
    </row>
    <row r="163" spans="1:10" s="25" customFormat="1" ht="27" customHeight="1">
      <c r="A163" s="65">
        <f t="shared" ref="A163:A194" si="16">A162+1</f>
        <v>161</v>
      </c>
      <c r="B163" s="76" t="str">
        <f t="shared" si="15"/>
        <v>reserved_byte161</v>
      </c>
      <c r="C163" s="59">
        <v>255</v>
      </c>
      <c r="D163" s="60">
        <v>255</v>
      </c>
      <c r="E163" s="59">
        <v>0</v>
      </c>
      <c r="F163" s="59">
        <v>255</v>
      </c>
      <c r="G163" s="76" t="s">
        <v>59</v>
      </c>
      <c r="H163" s="64" t="str">
        <f t="shared" ref="H163:H194" si="17">DEC2HEX((HEX2DEC(H162)+1),4)</f>
        <v>22A2</v>
      </c>
      <c r="I163" s="59">
        <v>1</v>
      </c>
      <c r="J163" s="61"/>
    </row>
    <row r="164" spans="1:10" s="25" customFormat="1" ht="27" customHeight="1">
      <c r="A164" s="65">
        <f t="shared" si="16"/>
        <v>162</v>
      </c>
      <c r="B164" s="76" t="str">
        <f t="shared" si="15"/>
        <v>reserved_byte162</v>
      </c>
      <c r="C164" s="59">
        <v>255</v>
      </c>
      <c r="D164" s="60">
        <v>255</v>
      </c>
      <c r="E164" s="59">
        <v>0</v>
      </c>
      <c r="F164" s="59">
        <v>255</v>
      </c>
      <c r="G164" s="76" t="s">
        <v>59</v>
      </c>
      <c r="H164" s="64" t="str">
        <f t="shared" si="17"/>
        <v>22A3</v>
      </c>
      <c r="I164" s="59">
        <v>1</v>
      </c>
      <c r="J164" s="61"/>
    </row>
    <row r="165" spans="1:10" s="25" customFormat="1" ht="27" customHeight="1">
      <c r="A165" s="65">
        <f t="shared" si="16"/>
        <v>163</v>
      </c>
      <c r="B165" s="76" t="str">
        <f t="shared" si="15"/>
        <v>reserved_byte163</v>
      </c>
      <c r="C165" s="59">
        <v>255</v>
      </c>
      <c r="D165" s="60">
        <v>255</v>
      </c>
      <c r="E165" s="59">
        <v>0</v>
      </c>
      <c r="F165" s="59">
        <v>255</v>
      </c>
      <c r="G165" s="76" t="s">
        <v>59</v>
      </c>
      <c r="H165" s="64" t="str">
        <f t="shared" si="17"/>
        <v>22A4</v>
      </c>
      <c r="I165" s="59">
        <v>1</v>
      </c>
      <c r="J165" s="61"/>
    </row>
    <row r="166" spans="1:10" s="25" customFormat="1" ht="27" customHeight="1">
      <c r="A166" s="65">
        <f t="shared" si="16"/>
        <v>164</v>
      </c>
      <c r="B166" s="76" t="str">
        <f t="shared" si="15"/>
        <v>reserved_byte164</v>
      </c>
      <c r="C166" s="59">
        <v>255</v>
      </c>
      <c r="D166" s="60">
        <v>255</v>
      </c>
      <c r="E166" s="59">
        <v>0</v>
      </c>
      <c r="F166" s="59">
        <v>255</v>
      </c>
      <c r="G166" s="76" t="s">
        <v>59</v>
      </c>
      <c r="H166" s="64" t="str">
        <f t="shared" si="17"/>
        <v>22A5</v>
      </c>
      <c r="I166" s="59">
        <v>1</v>
      </c>
      <c r="J166" s="61"/>
    </row>
    <row r="167" spans="1:10" s="25" customFormat="1" ht="27" customHeight="1">
      <c r="A167" s="65">
        <f t="shared" si="16"/>
        <v>165</v>
      </c>
      <c r="B167" s="76" t="str">
        <f t="shared" si="15"/>
        <v>reserved_byte165</v>
      </c>
      <c r="C167" s="59">
        <v>255</v>
      </c>
      <c r="D167" s="60">
        <v>255</v>
      </c>
      <c r="E167" s="59">
        <v>0</v>
      </c>
      <c r="F167" s="59">
        <v>255</v>
      </c>
      <c r="G167" s="76" t="s">
        <v>59</v>
      </c>
      <c r="H167" s="64" t="str">
        <f t="shared" si="17"/>
        <v>22A6</v>
      </c>
      <c r="I167" s="59">
        <v>1</v>
      </c>
      <c r="J167" s="61"/>
    </row>
    <row r="168" spans="1:10" s="25" customFormat="1" ht="27" customHeight="1">
      <c r="A168" s="65">
        <f t="shared" si="16"/>
        <v>166</v>
      </c>
      <c r="B168" s="76" t="str">
        <f t="shared" si="15"/>
        <v>reserved_byte166</v>
      </c>
      <c r="C168" s="59">
        <v>255</v>
      </c>
      <c r="D168" s="60">
        <v>255</v>
      </c>
      <c r="E168" s="59">
        <v>0</v>
      </c>
      <c r="F168" s="59">
        <v>255</v>
      </c>
      <c r="G168" s="76" t="s">
        <v>59</v>
      </c>
      <c r="H168" s="64" t="str">
        <f t="shared" si="17"/>
        <v>22A7</v>
      </c>
      <c r="I168" s="59">
        <v>1</v>
      </c>
      <c r="J168" s="61"/>
    </row>
    <row r="169" spans="1:10" s="25" customFormat="1" ht="27" customHeight="1">
      <c r="A169" s="65">
        <f t="shared" si="16"/>
        <v>167</v>
      </c>
      <c r="B169" s="76" t="str">
        <f t="shared" si="15"/>
        <v>reserved_byte167</v>
      </c>
      <c r="C169" s="59">
        <v>255</v>
      </c>
      <c r="D169" s="60">
        <v>255</v>
      </c>
      <c r="E169" s="59">
        <v>0</v>
      </c>
      <c r="F169" s="59">
        <v>255</v>
      </c>
      <c r="G169" s="76" t="s">
        <v>59</v>
      </c>
      <c r="H169" s="64" t="str">
        <f t="shared" si="17"/>
        <v>22A8</v>
      </c>
      <c r="I169" s="59">
        <v>1</v>
      </c>
      <c r="J169" s="61"/>
    </row>
    <row r="170" spans="1:10" s="25" customFormat="1" ht="27" customHeight="1">
      <c r="A170" s="65">
        <f t="shared" si="16"/>
        <v>168</v>
      </c>
      <c r="B170" s="76" t="str">
        <f t="shared" si="15"/>
        <v>reserved_byte168</v>
      </c>
      <c r="C170" s="59">
        <v>255</v>
      </c>
      <c r="D170" s="60">
        <v>255</v>
      </c>
      <c r="E170" s="59">
        <v>0</v>
      </c>
      <c r="F170" s="59">
        <v>255</v>
      </c>
      <c r="G170" s="76" t="s">
        <v>59</v>
      </c>
      <c r="H170" s="64" t="str">
        <f t="shared" si="17"/>
        <v>22A9</v>
      </c>
      <c r="I170" s="59">
        <v>1</v>
      </c>
      <c r="J170" s="61"/>
    </row>
    <row r="171" spans="1:10" s="25" customFormat="1" ht="27" customHeight="1">
      <c r="A171" s="65">
        <f t="shared" si="16"/>
        <v>169</v>
      </c>
      <c r="B171" s="76" t="str">
        <f t="shared" si="15"/>
        <v>reserved_byte169</v>
      </c>
      <c r="C171" s="59">
        <v>255</v>
      </c>
      <c r="D171" s="60">
        <v>255</v>
      </c>
      <c r="E171" s="59">
        <v>0</v>
      </c>
      <c r="F171" s="59">
        <v>255</v>
      </c>
      <c r="G171" s="76" t="s">
        <v>59</v>
      </c>
      <c r="H171" s="64" t="str">
        <f t="shared" si="17"/>
        <v>22AA</v>
      </c>
      <c r="I171" s="59">
        <v>1</v>
      </c>
      <c r="J171" s="61"/>
    </row>
    <row r="172" spans="1:10" s="25" customFormat="1" ht="27" customHeight="1">
      <c r="A172" s="65">
        <f t="shared" si="16"/>
        <v>170</v>
      </c>
      <c r="B172" s="76" t="str">
        <f t="shared" si="15"/>
        <v>reserved_byte170</v>
      </c>
      <c r="C172" s="59">
        <v>255</v>
      </c>
      <c r="D172" s="60">
        <v>255</v>
      </c>
      <c r="E172" s="59">
        <v>0</v>
      </c>
      <c r="F172" s="59">
        <v>255</v>
      </c>
      <c r="G172" s="76" t="s">
        <v>59</v>
      </c>
      <c r="H172" s="64" t="str">
        <f t="shared" si="17"/>
        <v>22AB</v>
      </c>
      <c r="I172" s="59">
        <v>1</v>
      </c>
      <c r="J172" s="61"/>
    </row>
    <row r="173" spans="1:10" s="25" customFormat="1" ht="27" customHeight="1">
      <c r="A173" s="65">
        <f t="shared" si="16"/>
        <v>171</v>
      </c>
      <c r="B173" s="76" t="str">
        <f t="shared" si="15"/>
        <v>reserved_byte171</v>
      </c>
      <c r="C173" s="59">
        <v>255</v>
      </c>
      <c r="D173" s="60">
        <v>255</v>
      </c>
      <c r="E173" s="59">
        <v>0</v>
      </c>
      <c r="F173" s="59">
        <v>255</v>
      </c>
      <c r="G173" s="76" t="s">
        <v>59</v>
      </c>
      <c r="H173" s="64" t="str">
        <f t="shared" si="17"/>
        <v>22AC</v>
      </c>
      <c r="I173" s="59">
        <v>1</v>
      </c>
      <c r="J173" s="61"/>
    </row>
    <row r="174" spans="1:10" s="25" customFormat="1" ht="27" customHeight="1">
      <c r="A174" s="65">
        <f t="shared" si="16"/>
        <v>172</v>
      </c>
      <c r="B174" s="76" t="str">
        <f t="shared" si="15"/>
        <v>reserved_byte172</v>
      </c>
      <c r="C174" s="59">
        <v>255</v>
      </c>
      <c r="D174" s="60">
        <v>255</v>
      </c>
      <c r="E174" s="59">
        <v>0</v>
      </c>
      <c r="F174" s="59">
        <v>255</v>
      </c>
      <c r="G174" s="76" t="s">
        <v>59</v>
      </c>
      <c r="H174" s="64" t="str">
        <f t="shared" si="17"/>
        <v>22AD</v>
      </c>
      <c r="I174" s="59">
        <v>1</v>
      </c>
      <c r="J174" s="61"/>
    </row>
    <row r="175" spans="1:10" s="25" customFormat="1" ht="27" customHeight="1">
      <c r="A175" s="65">
        <f t="shared" si="16"/>
        <v>173</v>
      </c>
      <c r="B175" s="76" t="str">
        <f t="shared" si="15"/>
        <v>reserved_byte173</v>
      </c>
      <c r="C175" s="59">
        <v>255</v>
      </c>
      <c r="D175" s="60">
        <v>255</v>
      </c>
      <c r="E175" s="59">
        <v>0</v>
      </c>
      <c r="F175" s="59">
        <v>255</v>
      </c>
      <c r="G175" s="76" t="s">
        <v>59</v>
      </c>
      <c r="H175" s="64" t="str">
        <f t="shared" si="17"/>
        <v>22AE</v>
      </c>
      <c r="I175" s="59">
        <v>1</v>
      </c>
      <c r="J175" s="61"/>
    </row>
    <row r="176" spans="1:10" s="25" customFormat="1" ht="27" customHeight="1">
      <c r="A176" s="65">
        <f t="shared" si="16"/>
        <v>174</v>
      </c>
      <c r="B176" s="76" t="str">
        <f t="shared" si="15"/>
        <v>reserved_byte174</v>
      </c>
      <c r="C176" s="59">
        <v>255</v>
      </c>
      <c r="D176" s="60">
        <v>255</v>
      </c>
      <c r="E176" s="59">
        <v>0</v>
      </c>
      <c r="F176" s="59">
        <v>255</v>
      </c>
      <c r="G176" s="76" t="s">
        <v>59</v>
      </c>
      <c r="H176" s="64" t="str">
        <f t="shared" si="17"/>
        <v>22AF</v>
      </c>
      <c r="I176" s="59">
        <v>1</v>
      </c>
      <c r="J176" s="61"/>
    </row>
    <row r="177" spans="1:10" s="25" customFormat="1" ht="27" customHeight="1">
      <c r="A177" s="65">
        <f t="shared" si="16"/>
        <v>175</v>
      </c>
      <c r="B177" s="76" t="str">
        <f t="shared" si="15"/>
        <v>reserved_byte175</v>
      </c>
      <c r="C177" s="59">
        <v>255</v>
      </c>
      <c r="D177" s="60">
        <v>255</v>
      </c>
      <c r="E177" s="59">
        <v>0</v>
      </c>
      <c r="F177" s="59">
        <v>255</v>
      </c>
      <c r="G177" s="76" t="s">
        <v>59</v>
      </c>
      <c r="H177" s="64" t="str">
        <f t="shared" si="17"/>
        <v>22B0</v>
      </c>
      <c r="I177" s="59">
        <v>1</v>
      </c>
      <c r="J177" s="61"/>
    </row>
    <row r="178" spans="1:10" s="25" customFormat="1" ht="27" customHeight="1">
      <c r="A178" s="65">
        <f t="shared" si="16"/>
        <v>176</v>
      </c>
      <c r="B178" s="76" t="str">
        <f t="shared" si="15"/>
        <v>reserved_byte176</v>
      </c>
      <c r="C178" s="59">
        <v>255</v>
      </c>
      <c r="D178" s="60">
        <v>255</v>
      </c>
      <c r="E178" s="59">
        <v>0</v>
      </c>
      <c r="F178" s="59">
        <v>255</v>
      </c>
      <c r="G178" s="76" t="s">
        <v>59</v>
      </c>
      <c r="H178" s="64" t="str">
        <f t="shared" si="17"/>
        <v>22B1</v>
      </c>
      <c r="I178" s="59">
        <v>1</v>
      </c>
      <c r="J178" s="61"/>
    </row>
    <row r="179" spans="1:10" s="25" customFormat="1" ht="27" customHeight="1">
      <c r="A179" s="65">
        <f t="shared" si="16"/>
        <v>177</v>
      </c>
      <c r="B179" s="76" t="str">
        <f t="shared" si="15"/>
        <v>reserved_byte177</v>
      </c>
      <c r="C179" s="59">
        <v>255</v>
      </c>
      <c r="D179" s="60">
        <v>255</v>
      </c>
      <c r="E179" s="59">
        <v>0</v>
      </c>
      <c r="F179" s="59">
        <v>255</v>
      </c>
      <c r="G179" s="76" t="s">
        <v>59</v>
      </c>
      <c r="H179" s="64" t="str">
        <f t="shared" si="17"/>
        <v>22B2</v>
      </c>
      <c r="I179" s="59">
        <v>1</v>
      </c>
      <c r="J179" s="61"/>
    </row>
    <row r="180" spans="1:10" s="25" customFormat="1" ht="27" customHeight="1">
      <c r="A180" s="65">
        <f t="shared" si="16"/>
        <v>178</v>
      </c>
      <c r="B180" s="76" t="str">
        <f t="shared" si="15"/>
        <v>reserved_byte178</v>
      </c>
      <c r="C180" s="59">
        <v>255</v>
      </c>
      <c r="D180" s="60">
        <v>255</v>
      </c>
      <c r="E180" s="59">
        <v>0</v>
      </c>
      <c r="F180" s="59">
        <v>255</v>
      </c>
      <c r="G180" s="76" t="s">
        <v>59</v>
      </c>
      <c r="H180" s="64" t="str">
        <f t="shared" si="17"/>
        <v>22B3</v>
      </c>
      <c r="I180" s="59">
        <v>1</v>
      </c>
      <c r="J180" s="61"/>
    </row>
    <row r="181" spans="1:10" s="25" customFormat="1" ht="27" customHeight="1">
      <c r="A181" s="65">
        <f t="shared" si="16"/>
        <v>179</v>
      </c>
      <c r="B181" s="76" t="str">
        <f t="shared" si="15"/>
        <v>reserved_byte179</v>
      </c>
      <c r="C181" s="59">
        <v>255</v>
      </c>
      <c r="D181" s="60">
        <v>255</v>
      </c>
      <c r="E181" s="59">
        <v>0</v>
      </c>
      <c r="F181" s="59">
        <v>255</v>
      </c>
      <c r="G181" s="76" t="s">
        <v>59</v>
      </c>
      <c r="H181" s="64" t="str">
        <f t="shared" si="17"/>
        <v>22B4</v>
      </c>
      <c r="I181" s="59">
        <v>1</v>
      </c>
      <c r="J181" s="61"/>
    </row>
    <row r="182" spans="1:10" s="25" customFormat="1" ht="27" customHeight="1">
      <c r="A182" s="65">
        <f t="shared" si="16"/>
        <v>180</v>
      </c>
      <c r="B182" s="76" t="str">
        <f t="shared" si="15"/>
        <v>reserved_byte180</v>
      </c>
      <c r="C182" s="59">
        <v>255</v>
      </c>
      <c r="D182" s="60">
        <v>255</v>
      </c>
      <c r="E182" s="59">
        <v>0</v>
      </c>
      <c r="F182" s="59">
        <v>255</v>
      </c>
      <c r="G182" s="76" t="s">
        <v>59</v>
      </c>
      <c r="H182" s="64" t="str">
        <f t="shared" si="17"/>
        <v>22B5</v>
      </c>
      <c r="I182" s="59">
        <v>1</v>
      </c>
      <c r="J182" s="61"/>
    </row>
    <row r="183" spans="1:10" s="25" customFormat="1" ht="27" customHeight="1">
      <c r="A183" s="65">
        <f t="shared" si="16"/>
        <v>181</v>
      </c>
      <c r="B183" s="76" t="str">
        <f t="shared" si="15"/>
        <v>reserved_byte181</v>
      </c>
      <c r="C183" s="59">
        <v>255</v>
      </c>
      <c r="D183" s="60">
        <v>255</v>
      </c>
      <c r="E183" s="59">
        <v>0</v>
      </c>
      <c r="F183" s="59">
        <v>255</v>
      </c>
      <c r="G183" s="76" t="s">
        <v>59</v>
      </c>
      <c r="H183" s="64" t="str">
        <f t="shared" si="17"/>
        <v>22B6</v>
      </c>
      <c r="I183" s="59">
        <v>1</v>
      </c>
      <c r="J183" s="61"/>
    </row>
    <row r="184" spans="1:10" s="25" customFormat="1" ht="27" customHeight="1">
      <c r="A184" s="65">
        <f t="shared" si="16"/>
        <v>182</v>
      </c>
      <c r="B184" s="76" t="str">
        <f t="shared" si="15"/>
        <v>reserved_byte182</v>
      </c>
      <c r="C184" s="59">
        <v>255</v>
      </c>
      <c r="D184" s="60">
        <v>255</v>
      </c>
      <c r="E184" s="59">
        <v>0</v>
      </c>
      <c r="F184" s="59">
        <v>255</v>
      </c>
      <c r="G184" s="76" t="s">
        <v>59</v>
      </c>
      <c r="H184" s="64" t="str">
        <f t="shared" si="17"/>
        <v>22B7</v>
      </c>
      <c r="I184" s="59">
        <v>1</v>
      </c>
      <c r="J184" s="61"/>
    </row>
    <row r="185" spans="1:10" s="25" customFormat="1" ht="27" customHeight="1">
      <c r="A185" s="65">
        <f t="shared" si="16"/>
        <v>183</v>
      </c>
      <c r="B185" s="76" t="str">
        <f t="shared" si="15"/>
        <v>reserved_byte183</v>
      </c>
      <c r="C185" s="59">
        <v>255</v>
      </c>
      <c r="D185" s="60">
        <v>255</v>
      </c>
      <c r="E185" s="59">
        <v>0</v>
      </c>
      <c r="F185" s="59">
        <v>255</v>
      </c>
      <c r="G185" s="76" t="s">
        <v>59</v>
      </c>
      <c r="H185" s="64" t="str">
        <f t="shared" si="17"/>
        <v>22B8</v>
      </c>
      <c r="I185" s="59">
        <v>1</v>
      </c>
      <c r="J185" s="61"/>
    </row>
    <row r="186" spans="1:10" s="25" customFormat="1" ht="27" customHeight="1">
      <c r="A186" s="65">
        <f t="shared" si="16"/>
        <v>184</v>
      </c>
      <c r="B186" s="76" t="str">
        <f t="shared" si="15"/>
        <v>reserved_byte184</v>
      </c>
      <c r="C186" s="59">
        <v>255</v>
      </c>
      <c r="D186" s="60">
        <v>255</v>
      </c>
      <c r="E186" s="59">
        <v>0</v>
      </c>
      <c r="F186" s="59">
        <v>255</v>
      </c>
      <c r="G186" s="76" t="s">
        <v>59</v>
      </c>
      <c r="H186" s="64" t="str">
        <f t="shared" si="17"/>
        <v>22B9</v>
      </c>
      <c r="I186" s="59">
        <v>1</v>
      </c>
      <c r="J186" s="61"/>
    </row>
    <row r="187" spans="1:10" s="25" customFormat="1" ht="27" customHeight="1">
      <c r="A187" s="65">
        <f t="shared" si="16"/>
        <v>185</v>
      </c>
      <c r="B187" s="76" t="str">
        <f t="shared" si="15"/>
        <v>reserved_byte185</v>
      </c>
      <c r="C187" s="59">
        <v>255</v>
      </c>
      <c r="D187" s="60">
        <v>255</v>
      </c>
      <c r="E187" s="59">
        <v>0</v>
      </c>
      <c r="F187" s="59">
        <v>255</v>
      </c>
      <c r="G187" s="76" t="s">
        <v>59</v>
      </c>
      <c r="H187" s="64" t="str">
        <f t="shared" si="17"/>
        <v>22BA</v>
      </c>
      <c r="I187" s="59">
        <v>1</v>
      </c>
      <c r="J187" s="61"/>
    </row>
    <row r="188" spans="1:10" s="25" customFormat="1" ht="27" customHeight="1">
      <c r="A188" s="65">
        <f t="shared" si="16"/>
        <v>186</v>
      </c>
      <c r="B188" s="76" t="str">
        <f t="shared" si="15"/>
        <v>reserved_byte186</v>
      </c>
      <c r="C188" s="59">
        <v>255</v>
      </c>
      <c r="D188" s="60">
        <v>255</v>
      </c>
      <c r="E188" s="59">
        <v>0</v>
      </c>
      <c r="F188" s="59">
        <v>255</v>
      </c>
      <c r="G188" s="76" t="s">
        <v>59</v>
      </c>
      <c r="H188" s="64" t="str">
        <f t="shared" si="17"/>
        <v>22BB</v>
      </c>
      <c r="I188" s="59">
        <v>1</v>
      </c>
      <c r="J188" s="61"/>
    </row>
    <row r="189" spans="1:10" s="25" customFormat="1" ht="27" customHeight="1">
      <c r="A189" s="65">
        <f t="shared" si="16"/>
        <v>187</v>
      </c>
      <c r="B189" s="76" t="str">
        <f t="shared" si="15"/>
        <v>reserved_byte187</v>
      </c>
      <c r="C189" s="59">
        <v>255</v>
      </c>
      <c r="D189" s="60">
        <v>255</v>
      </c>
      <c r="E189" s="59">
        <v>0</v>
      </c>
      <c r="F189" s="59">
        <v>255</v>
      </c>
      <c r="G189" s="76" t="s">
        <v>59</v>
      </c>
      <c r="H189" s="64" t="str">
        <f t="shared" si="17"/>
        <v>22BC</v>
      </c>
      <c r="I189" s="59">
        <v>1</v>
      </c>
      <c r="J189" s="61"/>
    </row>
    <row r="190" spans="1:10" s="25" customFormat="1" ht="27" customHeight="1">
      <c r="A190" s="65">
        <f t="shared" si="16"/>
        <v>188</v>
      </c>
      <c r="B190" s="76" t="str">
        <f t="shared" si="15"/>
        <v>reserved_byte188</v>
      </c>
      <c r="C190" s="59">
        <v>255</v>
      </c>
      <c r="D190" s="60">
        <v>255</v>
      </c>
      <c r="E190" s="59">
        <v>0</v>
      </c>
      <c r="F190" s="59">
        <v>255</v>
      </c>
      <c r="G190" s="76" t="s">
        <v>59</v>
      </c>
      <c r="H190" s="64" t="str">
        <f t="shared" si="17"/>
        <v>22BD</v>
      </c>
      <c r="I190" s="59">
        <v>1</v>
      </c>
      <c r="J190" s="61"/>
    </row>
    <row r="191" spans="1:10" s="25" customFormat="1" ht="27" customHeight="1">
      <c r="A191" s="65">
        <f t="shared" si="16"/>
        <v>189</v>
      </c>
      <c r="B191" s="76" t="str">
        <f t="shared" si="15"/>
        <v>reserved_byte189</v>
      </c>
      <c r="C191" s="59">
        <v>255</v>
      </c>
      <c r="D191" s="60">
        <v>255</v>
      </c>
      <c r="E191" s="59">
        <v>0</v>
      </c>
      <c r="F191" s="59">
        <v>255</v>
      </c>
      <c r="G191" s="76" t="s">
        <v>59</v>
      </c>
      <c r="H191" s="64" t="str">
        <f t="shared" si="17"/>
        <v>22BE</v>
      </c>
      <c r="I191" s="59">
        <v>1</v>
      </c>
      <c r="J191" s="61"/>
    </row>
    <row r="192" spans="1:10" s="25" customFormat="1" ht="27" customHeight="1">
      <c r="A192" s="65">
        <f t="shared" si="16"/>
        <v>190</v>
      </c>
      <c r="B192" s="76" t="str">
        <f t="shared" si="15"/>
        <v>reserved_byte190</v>
      </c>
      <c r="C192" s="59">
        <v>255</v>
      </c>
      <c r="D192" s="60">
        <v>255</v>
      </c>
      <c r="E192" s="59">
        <v>0</v>
      </c>
      <c r="F192" s="59">
        <v>255</v>
      </c>
      <c r="G192" s="76" t="s">
        <v>59</v>
      </c>
      <c r="H192" s="64" t="str">
        <f t="shared" si="17"/>
        <v>22BF</v>
      </c>
      <c r="I192" s="59">
        <v>1</v>
      </c>
      <c r="J192" s="61"/>
    </row>
    <row r="193" spans="1:10" s="25" customFormat="1" ht="27" customHeight="1">
      <c r="A193" s="65">
        <f t="shared" si="16"/>
        <v>191</v>
      </c>
      <c r="B193" s="76" t="str">
        <f t="shared" si="15"/>
        <v>reserved_byte191</v>
      </c>
      <c r="C193" s="59">
        <v>255</v>
      </c>
      <c r="D193" s="60">
        <v>255</v>
      </c>
      <c r="E193" s="59">
        <v>0</v>
      </c>
      <c r="F193" s="59">
        <v>255</v>
      </c>
      <c r="G193" s="76" t="s">
        <v>59</v>
      </c>
      <c r="H193" s="64" t="str">
        <f t="shared" si="17"/>
        <v>22C0</v>
      </c>
      <c r="I193" s="59">
        <v>1</v>
      </c>
      <c r="J193" s="61"/>
    </row>
    <row r="194" spans="1:10" s="25" customFormat="1" ht="27" customHeight="1">
      <c r="A194" s="65">
        <f t="shared" si="16"/>
        <v>192</v>
      </c>
      <c r="B194" s="76" t="str">
        <f t="shared" ref="B194:B201" si="18">"reserved_byte" &amp;TEXT(A194,0)</f>
        <v>reserved_byte192</v>
      </c>
      <c r="C194" s="59">
        <v>255</v>
      </c>
      <c r="D194" s="60">
        <v>255</v>
      </c>
      <c r="E194" s="59">
        <v>0</v>
      </c>
      <c r="F194" s="59">
        <v>255</v>
      </c>
      <c r="G194" s="76" t="s">
        <v>59</v>
      </c>
      <c r="H194" s="64" t="str">
        <f t="shared" si="17"/>
        <v>22C1</v>
      </c>
      <c r="I194" s="59">
        <v>1</v>
      </c>
      <c r="J194" s="61"/>
    </row>
    <row r="195" spans="1:10" s="25" customFormat="1" ht="27" customHeight="1">
      <c r="A195" s="65">
        <f t="shared" ref="A195:A201" si="19">A194+1</f>
        <v>193</v>
      </c>
      <c r="B195" s="76" t="str">
        <f t="shared" si="18"/>
        <v>reserved_byte193</v>
      </c>
      <c r="C195" s="59">
        <v>255</v>
      </c>
      <c r="D195" s="60">
        <v>255</v>
      </c>
      <c r="E195" s="59">
        <v>0</v>
      </c>
      <c r="F195" s="59">
        <v>255</v>
      </c>
      <c r="G195" s="76" t="s">
        <v>59</v>
      </c>
      <c r="H195" s="64" t="str">
        <f t="shared" ref="H195:H201" si="20">DEC2HEX((HEX2DEC(H194)+1),4)</f>
        <v>22C2</v>
      </c>
      <c r="I195" s="59">
        <v>1</v>
      </c>
      <c r="J195" s="61"/>
    </row>
    <row r="196" spans="1:10" s="25" customFormat="1" ht="27" customHeight="1">
      <c r="A196" s="65">
        <f t="shared" si="19"/>
        <v>194</v>
      </c>
      <c r="B196" s="76" t="str">
        <f t="shared" si="18"/>
        <v>reserved_byte194</v>
      </c>
      <c r="C196" s="59">
        <v>255</v>
      </c>
      <c r="D196" s="60">
        <v>255</v>
      </c>
      <c r="E196" s="59">
        <v>0</v>
      </c>
      <c r="F196" s="59">
        <v>255</v>
      </c>
      <c r="G196" s="76" t="s">
        <v>59</v>
      </c>
      <c r="H196" s="64" t="str">
        <f t="shared" si="20"/>
        <v>22C3</v>
      </c>
      <c r="I196" s="59">
        <v>1</v>
      </c>
      <c r="J196" s="61"/>
    </row>
    <row r="197" spans="1:10" s="25" customFormat="1" ht="27" customHeight="1">
      <c r="A197" s="65">
        <f t="shared" si="19"/>
        <v>195</v>
      </c>
      <c r="B197" s="76" t="str">
        <f t="shared" si="18"/>
        <v>reserved_byte195</v>
      </c>
      <c r="C197" s="59">
        <v>255</v>
      </c>
      <c r="D197" s="60">
        <v>255</v>
      </c>
      <c r="E197" s="59">
        <v>0</v>
      </c>
      <c r="F197" s="59">
        <v>255</v>
      </c>
      <c r="G197" s="76" t="s">
        <v>59</v>
      </c>
      <c r="H197" s="64" t="str">
        <f t="shared" si="20"/>
        <v>22C4</v>
      </c>
      <c r="I197" s="59">
        <v>1</v>
      </c>
      <c r="J197" s="61"/>
    </row>
    <row r="198" spans="1:10" s="25" customFormat="1" ht="27" customHeight="1">
      <c r="A198" s="65">
        <f t="shared" si="19"/>
        <v>196</v>
      </c>
      <c r="B198" s="76" t="str">
        <f t="shared" si="18"/>
        <v>reserved_byte196</v>
      </c>
      <c r="C198" s="59">
        <v>255</v>
      </c>
      <c r="D198" s="60">
        <v>255</v>
      </c>
      <c r="E198" s="59">
        <v>0</v>
      </c>
      <c r="F198" s="59">
        <v>255</v>
      </c>
      <c r="G198" s="76" t="s">
        <v>59</v>
      </c>
      <c r="H198" s="64" t="str">
        <f t="shared" si="20"/>
        <v>22C5</v>
      </c>
      <c r="I198" s="59">
        <v>1</v>
      </c>
      <c r="J198" s="61"/>
    </row>
    <row r="199" spans="1:10" s="25" customFormat="1" ht="27" customHeight="1">
      <c r="A199" s="65">
        <f t="shared" si="19"/>
        <v>197</v>
      </c>
      <c r="B199" s="76" t="str">
        <f t="shared" si="18"/>
        <v>reserved_byte197</v>
      </c>
      <c r="C199" s="59">
        <v>255</v>
      </c>
      <c r="D199" s="60">
        <v>255</v>
      </c>
      <c r="E199" s="59">
        <v>0</v>
      </c>
      <c r="F199" s="59">
        <v>255</v>
      </c>
      <c r="G199" s="76" t="s">
        <v>59</v>
      </c>
      <c r="H199" s="64" t="str">
        <f t="shared" si="20"/>
        <v>22C6</v>
      </c>
      <c r="I199" s="59">
        <v>1</v>
      </c>
      <c r="J199" s="61"/>
    </row>
    <row r="200" spans="1:10" s="25" customFormat="1" ht="27" customHeight="1">
      <c r="A200" s="65">
        <f t="shared" si="19"/>
        <v>198</v>
      </c>
      <c r="B200" s="76" t="str">
        <f t="shared" si="18"/>
        <v>reserved_byte198</v>
      </c>
      <c r="C200" s="59">
        <v>255</v>
      </c>
      <c r="D200" s="60">
        <v>255</v>
      </c>
      <c r="E200" s="59">
        <v>0</v>
      </c>
      <c r="F200" s="59">
        <v>255</v>
      </c>
      <c r="G200" s="76" t="s">
        <v>59</v>
      </c>
      <c r="H200" s="64" t="str">
        <f t="shared" si="20"/>
        <v>22C7</v>
      </c>
      <c r="I200" s="59">
        <v>1</v>
      </c>
      <c r="J200" s="61"/>
    </row>
    <row r="201" spans="1:10" s="25" customFormat="1" ht="27" customHeight="1">
      <c r="A201" s="65">
        <f t="shared" si="19"/>
        <v>199</v>
      </c>
      <c r="B201" s="76" t="str">
        <f t="shared" si="18"/>
        <v>reserved_byte199</v>
      </c>
      <c r="C201" s="59">
        <v>255</v>
      </c>
      <c r="D201" s="60">
        <v>255</v>
      </c>
      <c r="E201" s="59">
        <v>0</v>
      </c>
      <c r="F201" s="59">
        <v>255</v>
      </c>
      <c r="G201" s="76" t="s">
        <v>59</v>
      </c>
      <c r="H201" s="64" t="str">
        <f t="shared" si="20"/>
        <v>22C8</v>
      </c>
      <c r="I201" s="59">
        <v>1</v>
      </c>
      <c r="J201" s="61"/>
    </row>
  </sheetData>
  <dataValidations count="3">
    <dataValidation type="decimal" operator="lessThanOrEqual" allowBlank="1" showInputMessage="1" showErrorMessage="1" sqref="F2:F201">
      <formula1>255</formula1>
    </dataValidation>
    <dataValidation type="decimal" allowBlank="1" showInputMessage="1" showErrorMessage="1" sqref="D2:D201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76" fitToHeight="0" orientation="landscape" r:id="rId1"/>
  <headerFooter alignWithMargins="0">
    <oddHeader>&amp;R&amp;"Arial"&amp;9&amp;K737373 Information Classification: Internal&amp;1#</oddHeader>
    <oddFooter>&amp;L&amp;"Arial,Fett"Hella KG Hueck &amp;&amp; Co. Vertraulich&amp;C&amp;F - &amp;A
&amp;D&amp;RSeite &amp;P von &amp;N Seiten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1">
    <tabColor rgb="FFFF0000"/>
    <pageSetUpPr fitToPage="1"/>
  </sheetPr>
  <dimension ref="A1:J101"/>
  <sheetViews>
    <sheetView topLeftCell="A121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 t="shared" ref="B2:B33" si="0"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6" t="s">
        <v>59</v>
      </c>
      <c r="H2" s="63">
        <v>2301</v>
      </c>
      <c r="I2" s="59">
        <v>1</v>
      </c>
      <c r="J2" s="61"/>
    </row>
    <row r="3" spans="1:10" s="25" customFormat="1" ht="27" customHeight="1">
      <c r="A3" s="65">
        <f t="shared" ref="A3:A34" si="1">A2+1</f>
        <v>1</v>
      </c>
      <c r="B3" s="76" t="str">
        <f t="shared" si="0"/>
        <v>reserved_byte1</v>
      </c>
      <c r="C3" s="59">
        <v>255</v>
      </c>
      <c r="D3" s="60">
        <v>255</v>
      </c>
      <c r="E3" s="59">
        <v>0</v>
      </c>
      <c r="F3" s="59">
        <v>255</v>
      </c>
      <c r="G3" s="76" t="s">
        <v>59</v>
      </c>
      <c r="H3" s="64" t="str">
        <f t="shared" ref="H3:H34" si="2">DEC2HEX((HEX2DEC(H2)+1),4)</f>
        <v>2302</v>
      </c>
      <c r="I3" s="59">
        <v>1</v>
      </c>
      <c r="J3" s="61"/>
    </row>
    <row r="4" spans="1:10" s="25" customFormat="1" ht="27" customHeight="1">
      <c r="A4" s="65">
        <f t="shared" si="1"/>
        <v>2</v>
      </c>
      <c r="B4" s="76" t="str">
        <f t="shared" si="0"/>
        <v>reserved_byte2</v>
      </c>
      <c r="C4" s="59">
        <v>255</v>
      </c>
      <c r="D4" s="60">
        <v>255</v>
      </c>
      <c r="E4" s="59">
        <v>0</v>
      </c>
      <c r="F4" s="59">
        <v>255</v>
      </c>
      <c r="G4" s="76" t="s">
        <v>59</v>
      </c>
      <c r="H4" s="64" t="str">
        <f t="shared" si="2"/>
        <v>2303</v>
      </c>
      <c r="I4" s="59">
        <v>1</v>
      </c>
      <c r="J4" s="61"/>
    </row>
    <row r="5" spans="1:10" s="25" customFormat="1" ht="27" customHeight="1">
      <c r="A5" s="65">
        <f t="shared" si="1"/>
        <v>3</v>
      </c>
      <c r="B5" s="76" t="str">
        <f t="shared" si="0"/>
        <v>reserved_byte3</v>
      </c>
      <c r="C5" s="59">
        <v>255</v>
      </c>
      <c r="D5" s="60">
        <v>255</v>
      </c>
      <c r="E5" s="59">
        <v>0</v>
      </c>
      <c r="F5" s="59">
        <v>255</v>
      </c>
      <c r="G5" s="76" t="s">
        <v>59</v>
      </c>
      <c r="H5" s="64" t="str">
        <f t="shared" si="2"/>
        <v>2304</v>
      </c>
      <c r="I5" s="59">
        <v>1</v>
      </c>
      <c r="J5" s="61"/>
    </row>
    <row r="6" spans="1:10" s="25" customFormat="1" ht="27" customHeight="1">
      <c r="A6" s="65">
        <f t="shared" si="1"/>
        <v>4</v>
      </c>
      <c r="B6" s="76" t="str">
        <f t="shared" si="0"/>
        <v>reserved_byte4</v>
      </c>
      <c r="C6" s="59">
        <v>255</v>
      </c>
      <c r="D6" s="60">
        <v>255</v>
      </c>
      <c r="E6" s="59">
        <v>0</v>
      </c>
      <c r="F6" s="59">
        <v>255</v>
      </c>
      <c r="G6" s="76" t="s">
        <v>59</v>
      </c>
      <c r="H6" s="64" t="str">
        <f t="shared" si="2"/>
        <v>2305</v>
      </c>
      <c r="I6" s="59">
        <v>1</v>
      </c>
      <c r="J6" s="61"/>
    </row>
    <row r="7" spans="1:10" s="25" customFormat="1" ht="27" customHeight="1">
      <c r="A7" s="65">
        <f t="shared" si="1"/>
        <v>5</v>
      </c>
      <c r="B7" s="76" t="str">
        <f t="shared" si="0"/>
        <v>reserved_byte5</v>
      </c>
      <c r="C7" s="59">
        <v>255</v>
      </c>
      <c r="D7" s="60">
        <v>255</v>
      </c>
      <c r="E7" s="59">
        <v>0</v>
      </c>
      <c r="F7" s="59">
        <v>255</v>
      </c>
      <c r="G7" s="76" t="s">
        <v>59</v>
      </c>
      <c r="H7" s="64" t="str">
        <f t="shared" si="2"/>
        <v>2306</v>
      </c>
      <c r="I7" s="59">
        <v>1</v>
      </c>
      <c r="J7" s="61"/>
    </row>
    <row r="8" spans="1:10" s="25" customFormat="1" ht="27" customHeight="1">
      <c r="A8" s="65">
        <f t="shared" si="1"/>
        <v>6</v>
      </c>
      <c r="B8" s="76" t="str">
        <f t="shared" si="0"/>
        <v>reserved_byte6</v>
      </c>
      <c r="C8" s="59">
        <v>255</v>
      </c>
      <c r="D8" s="60">
        <v>255</v>
      </c>
      <c r="E8" s="59">
        <v>0</v>
      </c>
      <c r="F8" s="59">
        <v>255</v>
      </c>
      <c r="G8" s="76" t="s">
        <v>59</v>
      </c>
      <c r="H8" s="64" t="str">
        <f t="shared" si="2"/>
        <v>2307</v>
      </c>
      <c r="I8" s="59">
        <v>1</v>
      </c>
      <c r="J8" s="61"/>
    </row>
    <row r="9" spans="1:10" s="25" customFormat="1" ht="27" customHeight="1">
      <c r="A9" s="65">
        <f t="shared" si="1"/>
        <v>7</v>
      </c>
      <c r="B9" s="76" t="str">
        <f t="shared" si="0"/>
        <v>reserved_byte7</v>
      </c>
      <c r="C9" s="59">
        <v>255</v>
      </c>
      <c r="D9" s="60">
        <v>255</v>
      </c>
      <c r="E9" s="59">
        <v>0</v>
      </c>
      <c r="F9" s="59">
        <v>255</v>
      </c>
      <c r="G9" s="76" t="s">
        <v>59</v>
      </c>
      <c r="H9" s="64" t="str">
        <f t="shared" si="2"/>
        <v>2308</v>
      </c>
      <c r="I9" s="59">
        <v>1</v>
      </c>
      <c r="J9" s="61"/>
    </row>
    <row r="10" spans="1:10" s="25" customFormat="1" ht="27" customHeight="1">
      <c r="A10" s="65">
        <f t="shared" si="1"/>
        <v>8</v>
      </c>
      <c r="B10" s="76" t="str">
        <f t="shared" si="0"/>
        <v>reserved_byte8</v>
      </c>
      <c r="C10" s="59">
        <v>255</v>
      </c>
      <c r="D10" s="60">
        <v>255</v>
      </c>
      <c r="E10" s="59">
        <v>0</v>
      </c>
      <c r="F10" s="59">
        <v>255</v>
      </c>
      <c r="G10" s="76" t="s">
        <v>59</v>
      </c>
      <c r="H10" s="64" t="str">
        <f t="shared" si="2"/>
        <v>2309</v>
      </c>
      <c r="I10" s="59">
        <v>1</v>
      </c>
      <c r="J10" s="61"/>
    </row>
    <row r="11" spans="1:10" s="25" customFormat="1" ht="27" customHeight="1">
      <c r="A11" s="65">
        <f t="shared" si="1"/>
        <v>9</v>
      </c>
      <c r="B11" s="76" t="str">
        <f t="shared" si="0"/>
        <v>reserved_byte9</v>
      </c>
      <c r="C11" s="59">
        <v>255</v>
      </c>
      <c r="D11" s="60">
        <v>255</v>
      </c>
      <c r="E11" s="59">
        <v>0</v>
      </c>
      <c r="F11" s="59">
        <v>255</v>
      </c>
      <c r="G11" s="76" t="s">
        <v>59</v>
      </c>
      <c r="H11" s="64" t="str">
        <f t="shared" si="2"/>
        <v>230A</v>
      </c>
      <c r="I11" s="59">
        <v>1</v>
      </c>
      <c r="J11" s="61"/>
    </row>
    <row r="12" spans="1:10" s="25" customFormat="1" ht="27" customHeight="1">
      <c r="A12" s="65">
        <f t="shared" si="1"/>
        <v>10</v>
      </c>
      <c r="B12" s="76" t="str">
        <f t="shared" si="0"/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6" t="s">
        <v>59</v>
      </c>
      <c r="H12" s="64" t="str">
        <f t="shared" si="2"/>
        <v>230B</v>
      </c>
      <c r="I12" s="59">
        <v>1</v>
      </c>
      <c r="J12" s="61"/>
    </row>
    <row r="13" spans="1:10" s="25" customFormat="1" ht="27" customHeight="1">
      <c r="A13" s="65">
        <f t="shared" si="1"/>
        <v>11</v>
      </c>
      <c r="B13" s="76" t="str">
        <f t="shared" si="0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6" t="s">
        <v>59</v>
      </c>
      <c r="H13" s="64" t="str">
        <f t="shared" si="2"/>
        <v>230C</v>
      </c>
      <c r="I13" s="59">
        <v>1</v>
      </c>
      <c r="J13" s="61"/>
    </row>
    <row r="14" spans="1:10" s="25" customFormat="1" ht="27" customHeight="1">
      <c r="A14" s="65">
        <f t="shared" si="1"/>
        <v>12</v>
      </c>
      <c r="B14" s="76" t="str">
        <f t="shared" si="0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6" t="s">
        <v>59</v>
      </c>
      <c r="H14" s="64" t="str">
        <f t="shared" si="2"/>
        <v>230D</v>
      </c>
      <c r="I14" s="59">
        <v>1</v>
      </c>
      <c r="J14" s="61"/>
    </row>
    <row r="15" spans="1:10" s="25" customFormat="1" ht="27" customHeight="1">
      <c r="A15" s="65">
        <f t="shared" si="1"/>
        <v>13</v>
      </c>
      <c r="B15" s="76" t="str">
        <f t="shared" si="0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6" t="s">
        <v>59</v>
      </c>
      <c r="H15" s="64" t="str">
        <f t="shared" si="2"/>
        <v>230E</v>
      </c>
      <c r="I15" s="59">
        <v>1</v>
      </c>
      <c r="J15" s="61"/>
    </row>
    <row r="16" spans="1:10" s="25" customFormat="1" ht="27" customHeight="1">
      <c r="A16" s="65">
        <f t="shared" si="1"/>
        <v>14</v>
      </c>
      <c r="B16" s="76" t="str">
        <f t="shared" si="0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6" t="s">
        <v>59</v>
      </c>
      <c r="H16" s="64" t="str">
        <f t="shared" si="2"/>
        <v>230F</v>
      </c>
      <c r="I16" s="59">
        <v>1</v>
      </c>
      <c r="J16" s="61"/>
    </row>
    <row r="17" spans="1:10" s="25" customFormat="1" ht="27" customHeight="1">
      <c r="A17" s="65">
        <f t="shared" si="1"/>
        <v>15</v>
      </c>
      <c r="B17" s="76" t="str">
        <f t="shared" si="0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6" t="s">
        <v>59</v>
      </c>
      <c r="H17" s="64" t="str">
        <f t="shared" si="2"/>
        <v>2310</v>
      </c>
      <c r="I17" s="59">
        <v>1</v>
      </c>
      <c r="J17" s="61"/>
    </row>
    <row r="18" spans="1:10" s="25" customFormat="1" ht="27" customHeight="1">
      <c r="A18" s="65">
        <f t="shared" si="1"/>
        <v>16</v>
      </c>
      <c r="B18" s="76" t="str">
        <f t="shared" si="0"/>
        <v>reserved_byte16</v>
      </c>
      <c r="C18" s="59">
        <v>255</v>
      </c>
      <c r="D18" s="60">
        <v>255</v>
      </c>
      <c r="E18" s="59">
        <v>0</v>
      </c>
      <c r="F18" s="59">
        <v>255</v>
      </c>
      <c r="G18" s="76" t="s">
        <v>59</v>
      </c>
      <c r="H18" s="64" t="str">
        <f t="shared" si="2"/>
        <v>2311</v>
      </c>
      <c r="I18" s="59">
        <v>1</v>
      </c>
      <c r="J18" s="61"/>
    </row>
    <row r="19" spans="1:10" s="25" customFormat="1" ht="27" customHeight="1">
      <c r="A19" s="65">
        <f t="shared" si="1"/>
        <v>17</v>
      </c>
      <c r="B19" s="76" t="str">
        <f t="shared" si="0"/>
        <v>reserved_byte17</v>
      </c>
      <c r="C19" s="59">
        <v>255</v>
      </c>
      <c r="D19" s="60">
        <v>255</v>
      </c>
      <c r="E19" s="59">
        <v>0</v>
      </c>
      <c r="F19" s="59">
        <v>255</v>
      </c>
      <c r="G19" s="76" t="s">
        <v>59</v>
      </c>
      <c r="H19" s="64" t="str">
        <f t="shared" si="2"/>
        <v>2312</v>
      </c>
      <c r="I19" s="59">
        <v>1</v>
      </c>
      <c r="J19" s="61"/>
    </row>
    <row r="20" spans="1:10" s="25" customFormat="1" ht="27" customHeight="1">
      <c r="A20" s="65">
        <f t="shared" si="1"/>
        <v>18</v>
      </c>
      <c r="B20" s="76" t="str">
        <f t="shared" si="0"/>
        <v>reserved_byte18</v>
      </c>
      <c r="C20" s="59">
        <v>255</v>
      </c>
      <c r="D20" s="60">
        <v>255</v>
      </c>
      <c r="E20" s="59">
        <v>0</v>
      </c>
      <c r="F20" s="59">
        <v>255</v>
      </c>
      <c r="G20" s="76" t="s">
        <v>59</v>
      </c>
      <c r="H20" s="64" t="str">
        <f t="shared" si="2"/>
        <v>2313</v>
      </c>
      <c r="I20" s="59">
        <v>1</v>
      </c>
      <c r="J20" s="61"/>
    </row>
    <row r="21" spans="1:10" s="25" customFormat="1" ht="27" customHeight="1">
      <c r="A21" s="65">
        <f t="shared" si="1"/>
        <v>19</v>
      </c>
      <c r="B21" s="76" t="str">
        <f t="shared" si="0"/>
        <v>reserved_byte19</v>
      </c>
      <c r="C21" s="59">
        <v>255</v>
      </c>
      <c r="D21" s="60">
        <v>255</v>
      </c>
      <c r="E21" s="59">
        <v>0</v>
      </c>
      <c r="F21" s="59">
        <v>255</v>
      </c>
      <c r="G21" s="76" t="s">
        <v>59</v>
      </c>
      <c r="H21" s="64" t="str">
        <f t="shared" si="2"/>
        <v>2314</v>
      </c>
      <c r="I21" s="59">
        <v>1</v>
      </c>
      <c r="J21" s="61"/>
    </row>
    <row r="22" spans="1:10" s="25" customFormat="1" ht="27" customHeight="1">
      <c r="A22" s="65">
        <f t="shared" si="1"/>
        <v>20</v>
      </c>
      <c r="B22" s="76" t="str">
        <f t="shared" si="0"/>
        <v>reserved_byte20</v>
      </c>
      <c r="C22" s="59">
        <v>255</v>
      </c>
      <c r="D22" s="60">
        <v>255</v>
      </c>
      <c r="E22" s="59">
        <v>0</v>
      </c>
      <c r="F22" s="59">
        <v>255</v>
      </c>
      <c r="G22" s="76" t="s">
        <v>59</v>
      </c>
      <c r="H22" s="64" t="str">
        <f t="shared" si="2"/>
        <v>2315</v>
      </c>
      <c r="I22" s="59">
        <v>1</v>
      </c>
      <c r="J22" s="61"/>
    </row>
    <row r="23" spans="1:10" s="25" customFormat="1" ht="27" customHeight="1">
      <c r="A23" s="65">
        <f t="shared" si="1"/>
        <v>21</v>
      </c>
      <c r="B23" s="76" t="str">
        <f t="shared" si="0"/>
        <v>reserved_byte21</v>
      </c>
      <c r="C23" s="59">
        <v>255</v>
      </c>
      <c r="D23" s="60">
        <v>255</v>
      </c>
      <c r="E23" s="59">
        <v>0</v>
      </c>
      <c r="F23" s="59">
        <v>255</v>
      </c>
      <c r="G23" s="76" t="s">
        <v>59</v>
      </c>
      <c r="H23" s="64" t="str">
        <f t="shared" si="2"/>
        <v>2316</v>
      </c>
      <c r="I23" s="59">
        <v>1</v>
      </c>
      <c r="J23" s="61"/>
    </row>
    <row r="24" spans="1:10" s="25" customFormat="1" ht="27" customHeight="1">
      <c r="A24" s="65">
        <f t="shared" si="1"/>
        <v>22</v>
      </c>
      <c r="B24" s="76" t="str">
        <f t="shared" si="0"/>
        <v>reserved_byte22</v>
      </c>
      <c r="C24" s="59">
        <v>255</v>
      </c>
      <c r="D24" s="60">
        <v>255</v>
      </c>
      <c r="E24" s="59">
        <v>0</v>
      </c>
      <c r="F24" s="59">
        <v>255</v>
      </c>
      <c r="G24" s="76" t="s">
        <v>59</v>
      </c>
      <c r="H24" s="64" t="str">
        <f t="shared" si="2"/>
        <v>2317</v>
      </c>
      <c r="I24" s="59">
        <v>1</v>
      </c>
      <c r="J24" s="61"/>
    </row>
    <row r="25" spans="1:10" s="25" customFormat="1" ht="27" customHeight="1">
      <c r="A25" s="65">
        <f t="shared" si="1"/>
        <v>23</v>
      </c>
      <c r="B25" s="76" t="str">
        <f t="shared" si="0"/>
        <v>reserved_byte23</v>
      </c>
      <c r="C25" s="59">
        <v>255</v>
      </c>
      <c r="D25" s="60">
        <v>255</v>
      </c>
      <c r="E25" s="59">
        <v>0</v>
      </c>
      <c r="F25" s="59">
        <v>255</v>
      </c>
      <c r="G25" s="76" t="s">
        <v>59</v>
      </c>
      <c r="H25" s="64" t="str">
        <f t="shared" si="2"/>
        <v>2318</v>
      </c>
      <c r="I25" s="59">
        <v>1</v>
      </c>
      <c r="J25" s="61"/>
    </row>
    <row r="26" spans="1:10" s="25" customFormat="1" ht="27" customHeight="1">
      <c r="A26" s="65">
        <f t="shared" si="1"/>
        <v>24</v>
      </c>
      <c r="B26" s="76" t="str">
        <f t="shared" si="0"/>
        <v>reserved_byte24</v>
      </c>
      <c r="C26" s="59">
        <v>255</v>
      </c>
      <c r="D26" s="60">
        <v>255</v>
      </c>
      <c r="E26" s="59">
        <v>0</v>
      </c>
      <c r="F26" s="59">
        <v>255</v>
      </c>
      <c r="G26" s="76" t="s">
        <v>59</v>
      </c>
      <c r="H26" s="64" t="str">
        <f t="shared" si="2"/>
        <v>2319</v>
      </c>
      <c r="I26" s="59">
        <v>1</v>
      </c>
      <c r="J26" s="61"/>
    </row>
    <row r="27" spans="1:10" s="25" customFormat="1" ht="27" customHeight="1">
      <c r="A27" s="65">
        <f t="shared" si="1"/>
        <v>25</v>
      </c>
      <c r="B27" s="76" t="str">
        <f t="shared" si="0"/>
        <v>reserved_byte25</v>
      </c>
      <c r="C27" s="59">
        <v>255</v>
      </c>
      <c r="D27" s="60">
        <v>255</v>
      </c>
      <c r="E27" s="59">
        <v>0</v>
      </c>
      <c r="F27" s="59">
        <v>255</v>
      </c>
      <c r="G27" s="76" t="s">
        <v>59</v>
      </c>
      <c r="H27" s="64" t="str">
        <f t="shared" si="2"/>
        <v>231A</v>
      </c>
      <c r="I27" s="59">
        <v>1</v>
      </c>
      <c r="J27" s="61"/>
    </row>
    <row r="28" spans="1:10" s="25" customFormat="1" ht="27" customHeight="1">
      <c r="A28" s="65">
        <f t="shared" si="1"/>
        <v>26</v>
      </c>
      <c r="B28" s="76" t="str">
        <f t="shared" si="0"/>
        <v>reserved_byte26</v>
      </c>
      <c r="C28" s="59">
        <v>255</v>
      </c>
      <c r="D28" s="60">
        <v>255</v>
      </c>
      <c r="E28" s="59">
        <v>0</v>
      </c>
      <c r="F28" s="59">
        <v>255</v>
      </c>
      <c r="G28" s="76" t="s">
        <v>59</v>
      </c>
      <c r="H28" s="64" t="str">
        <f t="shared" si="2"/>
        <v>231B</v>
      </c>
      <c r="I28" s="59">
        <v>1</v>
      </c>
      <c r="J28" s="61"/>
    </row>
    <row r="29" spans="1:10" s="25" customFormat="1" ht="27" customHeight="1">
      <c r="A29" s="65">
        <f t="shared" si="1"/>
        <v>27</v>
      </c>
      <c r="B29" s="76" t="str">
        <f t="shared" si="0"/>
        <v>reserved_byte27</v>
      </c>
      <c r="C29" s="59">
        <v>255</v>
      </c>
      <c r="D29" s="60">
        <v>255</v>
      </c>
      <c r="E29" s="59">
        <v>0</v>
      </c>
      <c r="F29" s="59">
        <v>255</v>
      </c>
      <c r="G29" s="76" t="s">
        <v>59</v>
      </c>
      <c r="H29" s="64" t="str">
        <f t="shared" si="2"/>
        <v>231C</v>
      </c>
      <c r="I29" s="59">
        <v>1</v>
      </c>
      <c r="J29" s="61"/>
    </row>
    <row r="30" spans="1:10" s="25" customFormat="1" ht="27" customHeight="1">
      <c r="A30" s="65">
        <f t="shared" si="1"/>
        <v>28</v>
      </c>
      <c r="B30" s="76" t="str">
        <f t="shared" si="0"/>
        <v>reserved_byte28</v>
      </c>
      <c r="C30" s="59">
        <v>255</v>
      </c>
      <c r="D30" s="60">
        <v>255</v>
      </c>
      <c r="E30" s="59">
        <v>0</v>
      </c>
      <c r="F30" s="59">
        <v>255</v>
      </c>
      <c r="G30" s="76" t="s">
        <v>59</v>
      </c>
      <c r="H30" s="64" t="str">
        <f t="shared" si="2"/>
        <v>231D</v>
      </c>
      <c r="I30" s="59">
        <v>1</v>
      </c>
      <c r="J30" s="61"/>
    </row>
    <row r="31" spans="1:10" s="25" customFormat="1" ht="27" customHeight="1">
      <c r="A31" s="65">
        <f t="shared" si="1"/>
        <v>29</v>
      </c>
      <c r="B31" s="76" t="str">
        <f t="shared" si="0"/>
        <v>reserved_byte29</v>
      </c>
      <c r="C31" s="59">
        <v>255</v>
      </c>
      <c r="D31" s="60">
        <v>255</v>
      </c>
      <c r="E31" s="59">
        <v>0</v>
      </c>
      <c r="F31" s="59">
        <v>255</v>
      </c>
      <c r="G31" s="76" t="s">
        <v>59</v>
      </c>
      <c r="H31" s="64" t="str">
        <f t="shared" si="2"/>
        <v>231E</v>
      </c>
      <c r="I31" s="59">
        <v>1</v>
      </c>
      <c r="J31" s="61"/>
    </row>
    <row r="32" spans="1:10" s="25" customFormat="1" ht="27" customHeight="1">
      <c r="A32" s="65">
        <f t="shared" si="1"/>
        <v>30</v>
      </c>
      <c r="B32" s="76" t="str">
        <f t="shared" si="0"/>
        <v>reserved_byte30</v>
      </c>
      <c r="C32" s="59">
        <v>255</v>
      </c>
      <c r="D32" s="60">
        <v>255</v>
      </c>
      <c r="E32" s="59">
        <v>0</v>
      </c>
      <c r="F32" s="59">
        <v>255</v>
      </c>
      <c r="G32" s="76" t="s">
        <v>59</v>
      </c>
      <c r="H32" s="64" t="str">
        <f t="shared" si="2"/>
        <v>231F</v>
      </c>
      <c r="I32" s="59">
        <v>1</v>
      </c>
      <c r="J32" s="61"/>
    </row>
    <row r="33" spans="1:10" s="25" customFormat="1" ht="27" customHeight="1">
      <c r="A33" s="65">
        <f t="shared" si="1"/>
        <v>31</v>
      </c>
      <c r="B33" s="76" t="str">
        <f t="shared" si="0"/>
        <v>reserved_byte31</v>
      </c>
      <c r="C33" s="59">
        <v>255</v>
      </c>
      <c r="D33" s="60">
        <v>255</v>
      </c>
      <c r="E33" s="59">
        <v>0</v>
      </c>
      <c r="F33" s="59">
        <v>255</v>
      </c>
      <c r="G33" s="76" t="s">
        <v>59</v>
      </c>
      <c r="H33" s="64" t="str">
        <f t="shared" si="2"/>
        <v>2320</v>
      </c>
      <c r="I33" s="59">
        <v>1</v>
      </c>
      <c r="J33" s="61"/>
    </row>
    <row r="34" spans="1:10" s="25" customFormat="1" ht="27" customHeight="1">
      <c r="A34" s="65">
        <f t="shared" si="1"/>
        <v>32</v>
      </c>
      <c r="B34" s="76" t="str">
        <f t="shared" ref="B34:B65" si="3">"reserved_byte" &amp;TEXT(A34,0)</f>
        <v>reserved_byte32</v>
      </c>
      <c r="C34" s="59">
        <v>255</v>
      </c>
      <c r="D34" s="60">
        <v>255</v>
      </c>
      <c r="E34" s="59">
        <v>0</v>
      </c>
      <c r="F34" s="59">
        <v>255</v>
      </c>
      <c r="G34" s="76" t="s">
        <v>59</v>
      </c>
      <c r="H34" s="64" t="str">
        <f t="shared" si="2"/>
        <v>2321</v>
      </c>
      <c r="I34" s="59">
        <v>1</v>
      </c>
      <c r="J34" s="61"/>
    </row>
    <row r="35" spans="1:10" s="25" customFormat="1" ht="27" customHeight="1">
      <c r="A35" s="65">
        <f t="shared" ref="A35:A66" si="4">A34+1</f>
        <v>33</v>
      </c>
      <c r="B35" s="76" t="str">
        <f t="shared" si="3"/>
        <v>reserved_byte33</v>
      </c>
      <c r="C35" s="59">
        <v>255</v>
      </c>
      <c r="D35" s="60">
        <v>255</v>
      </c>
      <c r="E35" s="59">
        <v>0</v>
      </c>
      <c r="F35" s="59">
        <v>255</v>
      </c>
      <c r="G35" s="76" t="s">
        <v>59</v>
      </c>
      <c r="H35" s="64" t="str">
        <f t="shared" ref="H35:H66" si="5">DEC2HEX((HEX2DEC(H34)+1),4)</f>
        <v>2322</v>
      </c>
      <c r="I35" s="59">
        <v>1</v>
      </c>
      <c r="J35" s="61"/>
    </row>
    <row r="36" spans="1:10" s="25" customFormat="1" ht="27" customHeight="1">
      <c r="A36" s="65">
        <f t="shared" si="4"/>
        <v>34</v>
      </c>
      <c r="B36" s="76" t="str">
        <f t="shared" si="3"/>
        <v>reserved_byte34</v>
      </c>
      <c r="C36" s="59">
        <v>255</v>
      </c>
      <c r="D36" s="60">
        <v>255</v>
      </c>
      <c r="E36" s="59">
        <v>0</v>
      </c>
      <c r="F36" s="59">
        <v>255</v>
      </c>
      <c r="G36" s="76" t="s">
        <v>59</v>
      </c>
      <c r="H36" s="64" t="str">
        <f t="shared" si="5"/>
        <v>2323</v>
      </c>
      <c r="I36" s="59">
        <v>1</v>
      </c>
      <c r="J36" s="61"/>
    </row>
    <row r="37" spans="1:10" s="25" customFormat="1" ht="27" customHeight="1">
      <c r="A37" s="65">
        <f t="shared" si="4"/>
        <v>35</v>
      </c>
      <c r="B37" s="76" t="str">
        <f t="shared" si="3"/>
        <v>reserved_byte35</v>
      </c>
      <c r="C37" s="59">
        <v>255</v>
      </c>
      <c r="D37" s="60">
        <v>255</v>
      </c>
      <c r="E37" s="59">
        <v>0</v>
      </c>
      <c r="F37" s="59">
        <v>255</v>
      </c>
      <c r="G37" s="76" t="s">
        <v>59</v>
      </c>
      <c r="H37" s="64" t="str">
        <f t="shared" si="5"/>
        <v>2324</v>
      </c>
      <c r="I37" s="59">
        <v>1</v>
      </c>
      <c r="J37" s="61"/>
    </row>
    <row r="38" spans="1:10" s="25" customFormat="1" ht="27" customHeight="1">
      <c r="A38" s="65">
        <f t="shared" si="4"/>
        <v>36</v>
      </c>
      <c r="B38" s="76" t="str">
        <f t="shared" si="3"/>
        <v>reserved_byte36</v>
      </c>
      <c r="C38" s="59">
        <v>255</v>
      </c>
      <c r="D38" s="60">
        <v>255</v>
      </c>
      <c r="E38" s="59">
        <v>0</v>
      </c>
      <c r="F38" s="59">
        <v>255</v>
      </c>
      <c r="G38" s="76" t="s">
        <v>59</v>
      </c>
      <c r="H38" s="64" t="str">
        <f t="shared" si="5"/>
        <v>2325</v>
      </c>
      <c r="I38" s="59">
        <v>1</v>
      </c>
      <c r="J38" s="61"/>
    </row>
    <row r="39" spans="1:10" s="25" customFormat="1" ht="27" customHeight="1">
      <c r="A39" s="65">
        <f t="shared" si="4"/>
        <v>37</v>
      </c>
      <c r="B39" s="76" t="str">
        <f t="shared" si="3"/>
        <v>reserved_byte37</v>
      </c>
      <c r="C39" s="59">
        <v>255</v>
      </c>
      <c r="D39" s="60">
        <v>255</v>
      </c>
      <c r="E39" s="59">
        <v>0</v>
      </c>
      <c r="F39" s="59">
        <v>255</v>
      </c>
      <c r="G39" s="76" t="s">
        <v>59</v>
      </c>
      <c r="H39" s="64" t="str">
        <f t="shared" si="5"/>
        <v>2326</v>
      </c>
      <c r="I39" s="59">
        <v>1</v>
      </c>
      <c r="J39" s="61"/>
    </row>
    <row r="40" spans="1:10" s="25" customFormat="1" ht="27" customHeight="1">
      <c r="A40" s="65">
        <f t="shared" si="4"/>
        <v>38</v>
      </c>
      <c r="B40" s="76" t="str">
        <f t="shared" si="3"/>
        <v>reserved_byte38</v>
      </c>
      <c r="C40" s="59">
        <v>255</v>
      </c>
      <c r="D40" s="60">
        <v>255</v>
      </c>
      <c r="E40" s="59">
        <v>0</v>
      </c>
      <c r="F40" s="59">
        <v>255</v>
      </c>
      <c r="G40" s="76" t="s">
        <v>59</v>
      </c>
      <c r="H40" s="64" t="str">
        <f t="shared" si="5"/>
        <v>2327</v>
      </c>
      <c r="I40" s="59">
        <v>1</v>
      </c>
      <c r="J40" s="61"/>
    </row>
    <row r="41" spans="1:10" s="25" customFormat="1" ht="27" customHeight="1">
      <c r="A41" s="65">
        <f t="shared" si="4"/>
        <v>39</v>
      </c>
      <c r="B41" s="76" t="str">
        <f t="shared" si="3"/>
        <v>reserved_byte39</v>
      </c>
      <c r="C41" s="59">
        <v>255</v>
      </c>
      <c r="D41" s="60">
        <v>255</v>
      </c>
      <c r="E41" s="59">
        <v>0</v>
      </c>
      <c r="F41" s="59">
        <v>255</v>
      </c>
      <c r="G41" s="76" t="s">
        <v>59</v>
      </c>
      <c r="H41" s="64" t="str">
        <f t="shared" si="5"/>
        <v>2328</v>
      </c>
      <c r="I41" s="59">
        <v>1</v>
      </c>
      <c r="J41" s="61"/>
    </row>
    <row r="42" spans="1:10" s="25" customFormat="1" ht="27" customHeight="1">
      <c r="A42" s="65">
        <f t="shared" si="4"/>
        <v>40</v>
      </c>
      <c r="B42" s="76" t="str">
        <f t="shared" si="3"/>
        <v>reserved_byte40</v>
      </c>
      <c r="C42" s="59">
        <v>255</v>
      </c>
      <c r="D42" s="60">
        <v>255</v>
      </c>
      <c r="E42" s="59">
        <v>0</v>
      </c>
      <c r="F42" s="59">
        <v>255</v>
      </c>
      <c r="G42" s="76" t="s">
        <v>59</v>
      </c>
      <c r="H42" s="64" t="str">
        <f t="shared" si="5"/>
        <v>2329</v>
      </c>
      <c r="I42" s="59">
        <v>1</v>
      </c>
      <c r="J42" s="61"/>
    </row>
    <row r="43" spans="1:10" s="25" customFormat="1" ht="27" customHeight="1">
      <c r="A43" s="65">
        <f t="shared" si="4"/>
        <v>41</v>
      </c>
      <c r="B43" s="76" t="str">
        <f t="shared" si="3"/>
        <v>reserved_byte41</v>
      </c>
      <c r="C43" s="59">
        <v>255</v>
      </c>
      <c r="D43" s="60">
        <v>255</v>
      </c>
      <c r="E43" s="59">
        <v>0</v>
      </c>
      <c r="F43" s="59">
        <v>255</v>
      </c>
      <c r="G43" s="76" t="s">
        <v>59</v>
      </c>
      <c r="H43" s="64" t="str">
        <f t="shared" si="5"/>
        <v>232A</v>
      </c>
      <c r="I43" s="59">
        <v>1</v>
      </c>
      <c r="J43" s="61"/>
    </row>
    <row r="44" spans="1:10" s="25" customFormat="1" ht="27" customHeight="1">
      <c r="A44" s="65">
        <f t="shared" si="4"/>
        <v>42</v>
      </c>
      <c r="B44" s="76" t="str">
        <f t="shared" si="3"/>
        <v>reserved_byte42</v>
      </c>
      <c r="C44" s="59">
        <v>255</v>
      </c>
      <c r="D44" s="60">
        <v>255</v>
      </c>
      <c r="E44" s="59">
        <v>0</v>
      </c>
      <c r="F44" s="59">
        <v>255</v>
      </c>
      <c r="G44" s="76" t="s">
        <v>59</v>
      </c>
      <c r="H44" s="64" t="str">
        <f t="shared" si="5"/>
        <v>232B</v>
      </c>
      <c r="I44" s="59">
        <v>1</v>
      </c>
      <c r="J44" s="61"/>
    </row>
    <row r="45" spans="1:10" s="25" customFormat="1" ht="27" customHeight="1">
      <c r="A45" s="65">
        <f t="shared" si="4"/>
        <v>43</v>
      </c>
      <c r="B45" s="76" t="str">
        <f t="shared" si="3"/>
        <v>reserved_byte43</v>
      </c>
      <c r="C45" s="59">
        <v>255</v>
      </c>
      <c r="D45" s="60">
        <v>255</v>
      </c>
      <c r="E45" s="59">
        <v>0</v>
      </c>
      <c r="F45" s="59">
        <v>255</v>
      </c>
      <c r="G45" s="76" t="s">
        <v>59</v>
      </c>
      <c r="H45" s="64" t="str">
        <f t="shared" si="5"/>
        <v>232C</v>
      </c>
      <c r="I45" s="59">
        <v>1</v>
      </c>
      <c r="J45" s="61"/>
    </row>
    <row r="46" spans="1:10" s="25" customFormat="1" ht="27" customHeight="1">
      <c r="A46" s="65">
        <f t="shared" si="4"/>
        <v>44</v>
      </c>
      <c r="B46" s="76" t="str">
        <f t="shared" si="3"/>
        <v>reserved_byte44</v>
      </c>
      <c r="C46" s="59">
        <v>255</v>
      </c>
      <c r="D46" s="60">
        <v>255</v>
      </c>
      <c r="E46" s="59">
        <v>0</v>
      </c>
      <c r="F46" s="59">
        <v>255</v>
      </c>
      <c r="G46" s="76" t="s">
        <v>59</v>
      </c>
      <c r="H46" s="64" t="str">
        <f t="shared" si="5"/>
        <v>232D</v>
      </c>
      <c r="I46" s="59">
        <v>1</v>
      </c>
      <c r="J46" s="61"/>
    </row>
    <row r="47" spans="1:10" s="25" customFormat="1" ht="27" customHeight="1">
      <c r="A47" s="65">
        <f t="shared" si="4"/>
        <v>45</v>
      </c>
      <c r="B47" s="76" t="str">
        <f t="shared" si="3"/>
        <v>reserved_byte45</v>
      </c>
      <c r="C47" s="59">
        <v>255</v>
      </c>
      <c r="D47" s="60">
        <v>255</v>
      </c>
      <c r="E47" s="59">
        <v>0</v>
      </c>
      <c r="F47" s="59">
        <v>255</v>
      </c>
      <c r="G47" s="76" t="s">
        <v>59</v>
      </c>
      <c r="H47" s="64" t="str">
        <f t="shared" si="5"/>
        <v>232E</v>
      </c>
      <c r="I47" s="59">
        <v>1</v>
      </c>
      <c r="J47" s="61"/>
    </row>
    <row r="48" spans="1:10" s="25" customFormat="1" ht="27" customHeight="1">
      <c r="A48" s="65">
        <f t="shared" si="4"/>
        <v>46</v>
      </c>
      <c r="B48" s="76" t="str">
        <f t="shared" si="3"/>
        <v>reserved_byte46</v>
      </c>
      <c r="C48" s="59">
        <v>255</v>
      </c>
      <c r="D48" s="60">
        <v>255</v>
      </c>
      <c r="E48" s="59">
        <v>0</v>
      </c>
      <c r="F48" s="59">
        <v>255</v>
      </c>
      <c r="G48" s="76" t="s">
        <v>59</v>
      </c>
      <c r="H48" s="64" t="str">
        <f t="shared" si="5"/>
        <v>232F</v>
      </c>
      <c r="I48" s="59">
        <v>1</v>
      </c>
      <c r="J48" s="61"/>
    </row>
    <row r="49" spans="1:10" s="25" customFormat="1" ht="27" customHeight="1">
      <c r="A49" s="65">
        <f t="shared" si="4"/>
        <v>47</v>
      </c>
      <c r="B49" s="76" t="str">
        <f t="shared" si="3"/>
        <v>reserved_byte47</v>
      </c>
      <c r="C49" s="59">
        <v>255</v>
      </c>
      <c r="D49" s="60">
        <v>255</v>
      </c>
      <c r="E49" s="59">
        <v>0</v>
      </c>
      <c r="F49" s="59">
        <v>255</v>
      </c>
      <c r="G49" s="76" t="s">
        <v>59</v>
      </c>
      <c r="H49" s="64" t="str">
        <f t="shared" si="5"/>
        <v>2330</v>
      </c>
      <c r="I49" s="59">
        <v>1</v>
      </c>
      <c r="J49" s="61"/>
    </row>
    <row r="50" spans="1:10" s="25" customFormat="1" ht="27" customHeight="1">
      <c r="A50" s="65">
        <f t="shared" si="4"/>
        <v>48</v>
      </c>
      <c r="B50" s="76" t="str">
        <f t="shared" si="3"/>
        <v>reserved_byte48</v>
      </c>
      <c r="C50" s="59">
        <v>255</v>
      </c>
      <c r="D50" s="60">
        <v>255</v>
      </c>
      <c r="E50" s="59">
        <v>0</v>
      </c>
      <c r="F50" s="59">
        <v>255</v>
      </c>
      <c r="G50" s="76" t="s">
        <v>59</v>
      </c>
      <c r="H50" s="64" t="str">
        <f t="shared" si="5"/>
        <v>2331</v>
      </c>
      <c r="I50" s="59">
        <v>1</v>
      </c>
      <c r="J50" s="61"/>
    </row>
    <row r="51" spans="1:10" s="25" customFormat="1" ht="27" customHeight="1">
      <c r="A51" s="65">
        <f t="shared" si="4"/>
        <v>49</v>
      </c>
      <c r="B51" s="76" t="str">
        <f t="shared" si="3"/>
        <v>reserved_byte49</v>
      </c>
      <c r="C51" s="59">
        <v>255</v>
      </c>
      <c r="D51" s="60">
        <v>255</v>
      </c>
      <c r="E51" s="59">
        <v>0</v>
      </c>
      <c r="F51" s="59">
        <v>255</v>
      </c>
      <c r="G51" s="76" t="s">
        <v>59</v>
      </c>
      <c r="H51" s="64" t="str">
        <f t="shared" si="5"/>
        <v>2332</v>
      </c>
      <c r="I51" s="59">
        <v>1</v>
      </c>
      <c r="J51" s="61"/>
    </row>
    <row r="52" spans="1:10" s="25" customFormat="1" ht="27" customHeight="1">
      <c r="A52" s="65">
        <f t="shared" si="4"/>
        <v>50</v>
      </c>
      <c r="B52" s="76" t="str">
        <f t="shared" si="3"/>
        <v>reserved_byte50</v>
      </c>
      <c r="C52" s="59">
        <v>255</v>
      </c>
      <c r="D52" s="60">
        <v>255</v>
      </c>
      <c r="E52" s="59">
        <v>0</v>
      </c>
      <c r="F52" s="59">
        <v>255</v>
      </c>
      <c r="G52" s="76" t="s">
        <v>59</v>
      </c>
      <c r="H52" s="64" t="str">
        <f t="shared" si="5"/>
        <v>2333</v>
      </c>
      <c r="I52" s="59">
        <v>1</v>
      </c>
      <c r="J52" s="61"/>
    </row>
    <row r="53" spans="1:10" s="25" customFormat="1" ht="27" customHeight="1">
      <c r="A53" s="65">
        <f t="shared" si="4"/>
        <v>51</v>
      </c>
      <c r="B53" s="76" t="str">
        <f t="shared" si="3"/>
        <v>reserved_byte51</v>
      </c>
      <c r="C53" s="59">
        <v>255</v>
      </c>
      <c r="D53" s="60">
        <v>255</v>
      </c>
      <c r="E53" s="59">
        <v>0</v>
      </c>
      <c r="F53" s="59">
        <v>255</v>
      </c>
      <c r="G53" s="76" t="s">
        <v>59</v>
      </c>
      <c r="H53" s="64" t="str">
        <f t="shared" si="5"/>
        <v>2334</v>
      </c>
      <c r="I53" s="59">
        <v>1</v>
      </c>
      <c r="J53" s="61"/>
    </row>
    <row r="54" spans="1:10" s="25" customFormat="1" ht="27" customHeight="1">
      <c r="A54" s="65">
        <f t="shared" si="4"/>
        <v>52</v>
      </c>
      <c r="B54" s="76" t="str">
        <f t="shared" si="3"/>
        <v>reserved_byte52</v>
      </c>
      <c r="C54" s="59">
        <v>255</v>
      </c>
      <c r="D54" s="60">
        <v>255</v>
      </c>
      <c r="E54" s="59">
        <v>0</v>
      </c>
      <c r="F54" s="59">
        <v>255</v>
      </c>
      <c r="G54" s="76" t="s">
        <v>59</v>
      </c>
      <c r="H54" s="64" t="str">
        <f t="shared" si="5"/>
        <v>2335</v>
      </c>
      <c r="I54" s="59">
        <v>1</v>
      </c>
      <c r="J54" s="61"/>
    </row>
    <row r="55" spans="1:10" s="25" customFormat="1" ht="27" customHeight="1">
      <c r="A55" s="65">
        <f t="shared" si="4"/>
        <v>53</v>
      </c>
      <c r="B55" s="76" t="str">
        <f t="shared" si="3"/>
        <v>reserved_byte53</v>
      </c>
      <c r="C55" s="59">
        <v>255</v>
      </c>
      <c r="D55" s="60">
        <v>255</v>
      </c>
      <c r="E55" s="59">
        <v>0</v>
      </c>
      <c r="F55" s="59">
        <v>255</v>
      </c>
      <c r="G55" s="76" t="s">
        <v>59</v>
      </c>
      <c r="H55" s="64" t="str">
        <f t="shared" si="5"/>
        <v>2336</v>
      </c>
      <c r="I55" s="59">
        <v>1</v>
      </c>
      <c r="J55" s="61"/>
    </row>
    <row r="56" spans="1:10" s="25" customFormat="1" ht="27" customHeight="1">
      <c r="A56" s="65">
        <f t="shared" si="4"/>
        <v>54</v>
      </c>
      <c r="B56" s="76" t="str">
        <f t="shared" si="3"/>
        <v>reserved_byte54</v>
      </c>
      <c r="C56" s="59">
        <v>255</v>
      </c>
      <c r="D56" s="60">
        <v>255</v>
      </c>
      <c r="E56" s="59">
        <v>0</v>
      </c>
      <c r="F56" s="59">
        <v>255</v>
      </c>
      <c r="G56" s="76" t="s">
        <v>59</v>
      </c>
      <c r="H56" s="64" t="str">
        <f t="shared" si="5"/>
        <v>2337</v>
      </c>
      <c r="I56" s="59">
        <v>1</v>
      </c>
      <c r="J56" s="61"/>
    </row>
    <row r="57" spans="1:10" s="25" customFormat="1" ht="27" customHeight="1">
      <c r="A57" s="65">
        <f t="shared" si="4"/>
        <v>55</v>
      </c>
      <c r="B57" s="76" t="str">
        <f t="shared" si="3"/>
        <v>reserved_byte55</v>
      </c>
      <c r="C57" s="59">
        <v>255</v>
      </c>
      <c r="D57" s="60">
        <v>255</v>
      </c>
      <c r="E57" s="59">
        <v>0</v>
      </c>
      <c r="F57" s="59">
        <v>255</v>
      </c>
      <c r="G57" s="76" t="s">
        <v>59</v>
      </c>
      <c r="H57" s="64" t="str">
        <f t="shared" si="5"/>
        <v>2338</v>
      </c>
      <c r="I57" s="59">
        <v>1</v>
      </c>
      <c r="J57" s="61"/>
    </row>
    <row r="58" spans="1:10" s="25" customFormat="1" ht="27" customHeight="1">
      <c r="A58" s="65">
        <f t="shared" si="4"/>
        <v>56</v>
      </c>
      <c r="B58" s="76" t="str">
        <f t="shared" si="3"/>
        <v>reserved_byte56</v>
      </c>
      <c r="C58" s="59">
        <v>255</v>
      </c>
      <c r="D58" s="60">
        <v>255</v>
      </c>
      <c r="E58" s="59">
        <v>0</v>
      </c>
      <c r="F58" s="59">
        <v>255</v>
      </c>
      <c r="G58" s="76" t="s">
        <v>59</v>
      </c>
      <c r="H58" s="64" t="str">
        <f t="shared" si="5"/>
        <v>2339</v>
      </c>
      <c r="I58" s="59">
        <v>1</v>
      </c>
      <c r="J58" s="61"/>
    </row>
    <row r="59" spans="1:10" s="25" customFormat="1" ht="27" customHeight="1">
      <c r="A59" s="65">
        <f t="shared" si="4"/>
        <v>57</v>
      </c>
      <c r="B59" s="76" t="str">
        <f t="shared" si="3"/>
        <v>reserved_byte57</v>
      </c>
      <c r="C59" s="59">
        <v>255</v>
      </c>
      <c r="D59" s="60">
        <v>255</v>
      </c>
      <c r="E59" s="59">
        <v>0</v>
      </c>
      <c r="F59" s="59">
        <v>255</v>
      </c>
      <c r="G59" s="76" t="s">
        <v>59</v>
      </c>
      <c r="H59" s="64" t="str">
        <f t="shared" si="5"/>
        <v>233A</v>
      </c>
      <c r="I59" s="59">
        <v>1</v>
      </c>
      <c r="J59" s="61"/>
    </row>
    <row r="60" spans="1:10" s="25" customFormat="1" ht="27" customHeight="1">
      <c r="A60" s="65">
        <f t="shared" si="4"/>
        <v>58</v>
      </c>
      <c r="B60" s="76" t="str">
        <f t="shared" si="3"/>
        <v>reserved_byte58</v>
      </c>
      <c r="C60" s="59">
        <v>255</v>
      </c>
      <c r="D60" s="60">
        <v>255</v>
      </c>
      <c r="E60" s="59">
        <v>0</v>
      </c>
      <c r="F60" s="59">
        <v>255</v>
      </c>
      <c r="G60" s="76" t="s">
        <v>59</v>
      </c>
      <c r="H60" s="64" t="str">
        <f t="shared" si="5"/>
        <v>233B</v>
      </c>
      <c r="I60" s="59">
        <v>1</v>
      </c>
      <c r="J60" s="61"/>
    </row>
    <row r="61" spans="1:10" s="25" customFormat="1" ht="27" customHeight="1">
      <c r="A61" s="65">
        <f t="shared" si="4"/>
        <v>59</v>
      </c>
      <c r="B61" s="76" t="str">
        <f t="shared" si="3"/>
        <v>reserved_byte59</v>
      </c>
      <c r="C61" s="59">
        <v>255</v>
      </c>
      <c r="D61" s="60">
        <v>255</v>
      </c>
      <c r="E61" s="59">
        <v>0</v>
      </c>
      <c r="F61" s="59">
        <v>255</v>
      </c>
      <c r="G61" s="76" t="s">
        <v>59</v>
      </c>
      <c r="H61" s="64" t="str">
        <f t="shared" si="5"/>
        <v>233C</v>
      </c>
      <c r="I61" s="59">
        <v>1</v>
      </c>
      <c r="J61" s="61"/>
    </row>
    <row r="62" spans="1:10" s="25" customFormat="1" ht="27" customHeight="1">
      <c r="A62" s="65">
        <f t="shared" si="4"/>
        <v>60</v>
      </c>
      <c r="B62" s="76" t="str">
        <f t="shared" si="3"/>
        <v>reserved_byte60</v>
      </c>
      <c r="C62" s="59">
        <v>255</v>
      </c>
      <c r="D62" s="60">
        <v>255</v>
      </c>
      <c r="E62" s="59">
        <v>0</v>
      </c>
      <c r="F62" s="59">
        <v>255</v>
      </c>
      <c r="G62" s="76" t="s">
        <v>59</v>
      </c>
      <c r="H62" s="64" t="str">
        <f t="shared" si="5"/>
        <v>233D</v>
      </c>
      <c r="I62" s="59">
        <v>1</v>
      </c>
      <c r="J62" s="61"/>
    </row>
    <row r="63" spans="1:10" s="25" customFormat="1" ht="27" customHeight="1">
      <c r="A63" s="65">
        <f t="shared" si="4"/>
        <v>61</v>
      </c>
      <c r="B63" s="76" t="str">
        <f t="shared" si="3"/>
        <v>reserved_byte61</v>
      </c>
      <c r="C63" s="59">
        <v>255</v>
      </c>
      <c r="D63" s="60">
        <v>255</v>
      </c>
      <c r="E63" s="59">
        <v>0</v>
      </c>
      <c r="F63" s="59">
        <v>255</v>
      </c>
      <c r="G63" s="76" t="s">
        <v>59</v>
      </c>
      <c r="H63" s="64" t="str">
        <f t="shared" si="5"/>
        <v>233E</v>
      </c>
      <c r="I63" s="59">
        <v>1</v>
      </c>
      <c r="J63" s="61"/>
    </row>
    <row r="64" spans="1:10" s="25" customFormat="1" ht="27" customHeight="1">
      <c r="A64" s="65">
        <f t="shared" si="4"/>
        <v>62</v>
      </c>
      <c r="B64" s="76" t="str">
        <f t="shared" si="3"/>
        <v>reserved_byte62</v>
      </c>
      <c r="C64" s="59">
        <v>255</v>
      </c>
      <c r="D64" s="60">
        <v>255</v>
      </c>
      <c r="E64" s="59">
        <v>0</v>
      </c>
      <c r="F64" s="59">
        <v>255</v>
      </c>
      <c r="G64" s="76" t="s">
        <v>59</v>
      </c>
      <c r="H64" s="64" t="str">
        <f t="shared" si="5"/>
        <v>233F</v>
      </c>
      <c r="I64" s="59">
        <v>1</v>
      </c>
      <c r="J64" s="61"/>
    </row>
    <row r="65" spans="1:10" s="25" customFormat="1" ht="27" customHeight="1">
      <c r="A65" s="65">
        <f t="shared" si="4"/>
        <v>63</v>
      </c>
      <c r="B65" s="76" t="str">
        <f t="shared" si="3"/>
        <v>reserved_byte63</v>
      </c>
      <c r="C65" s="59">
        <v>255</v>
      </c>
      <c r="D65" s="60">
        <v>255</v>
      </c>
      <c r="E65" s="59">
        <v>0</v>
      </c>
      <c r="F65" s="59">
        <v>255</v>
      </c>
      <c r="G65" s="76" t="s">
        <v>59</v>
      </c>
      <c r="H65" s="64" t="str">
        <f t="shared" si="5"/>
        <v>2340</v>
      </c>
      <c r="I65" s="59">
        <v>1</v>
      </c>
      <c r="J65" s="61"/>
    </row>
    <row r="66" spans="1:10" s="25" customFormat="1" ht="27" customHeight="1">
      <c r="A66" s="65">
        <f t="shared" si="4"/>
        <v>64</v>
      </c>
      <c r="B66" s="76" t="str">
        <f t="shared" ref="B66:B97" si="6">"reserved_byte" &amp;TEXT(A66,0)</f>
        <v>reserved_byte64</v>
      </c>
      <c r="C66" s="59">
        <v>255</v>
      </c>
      <c r="D66" s="60">
        <v>255</v>
      </c>
      <c r="E66" s="59">
        <v>0</v>
      </c>
      <c r="F66" s="59">
        <v>255</v>
      </c>
      <c r="G66" s="76" t="s">
        <v>59</v>
      </c>
      <c r="H66" s="64" t="str">
        <f t="shared" si="5"/>
        <v>2341</v>
      </c>
      <c r="I66" s="59">
        <v>1</v>
      </c>
      <c r="J66" s="61"/>
    </row>
    <row r="67" spans="1:10" s="25" customFormat="1" ht="27" customHeight="1">
      <c r="A67" s="65">
        <f t="shared" ref="A67:A101" si="7">A66+1</f>
        <v>65</v>
      </c>
      <c r="B67" s="76" t="str">
        <f t="shared" si="6"/>
        <v>reserved_byte65</v>
      </c>
      <c r="C67" s="59">
        <v>255</v>
      </c>
      <c r="D67" s="60">
        <v>255</v>
      </c>
      <c r="E67" s="59">
        <v>0</v>
      </c>
      <c r="F67" s="59">
        <v>255</v>
      </c>
      <c r="G67" s="76" t="s">
        <v>59</v>
      </c>
      <c r="H67" s="64" t="str">
        <f t="shared" ref="H67:H101" si="8">DEC2HEX((HEX2DEC(H66)+1),4)</f>
        <v>2342</v>
      </c>
      <c r="I67" s="59">
        <v>1</v>
      </c>
      <c r="J67" s="61"/>
    </row>
    <row r="68" spans="1:10" s="25" customFormat="1" ht="27" customHeight="1">
      <c r="A68" s="65">
        <f t="shared" si="7"/>
        <v>66</v>
      </c>
      <c r="B68" s="76" t="str">
        <f t="shared" si="6"/>
        <v>reserved_byte66</v>
      </c>
      <c r="C68" s="59">
        <v>255</v>
      </c>
      <c r="D68" s="60">
        <v>255</v>
      </c>
      <c r="E68" s="59">
        <v>0</v>
      </c>
      <c r="F68" s="59">
        <v>255</v>
      </c>
      <c r="G68" s="76" t="s">
        <v>59</v>
      </c>
      <c r="H68" s="64" t="str">
        <f t="shared" si="8"/>
        <v>2343</v>
      </c>
      <c r="I68" s="59">
        <v>1</v>
      </c>
      <c r="J68" s="61"/>
    </row>
    <row r="69" spans="1:10" s="25" customFormat="1" ht="27" customHeight="1">
      <c r="A69" s="65">
        <f t="shared" si="7"/>
        <v>67</v>
      </c>
      <c r="B69" s="76" t="str">
        <f t="shared" si="6"/>
        <v>reserved_byte67</v>
      </c>
      <c r="C69" s="59">
        <v>255</v>
      </c>
      <c r="D69" s="60">
        <v>255</v>
      </c>
      <c r="E69" s="59">
        <v>0</v>
      </c>
      <c r="F69" s="59">
        <v>255</v>
      </c>
      <c r="G69" s="76" t="s">
        <v>59</v>
      </c>
      <c r="H69" s="64" t="str">
        <f t="shared" si="8"/>
        <v>2344</v>
      </c>
      <c r="I69" s="59">
        <v>1</v>
      </c>
      <c r="J69" s="61"/>
    </row>
    <row r="70" spans="1:10" s="25" customFormat="1" ht="27" customHeight="1">
      <c r="A70" s="65">
        <f t="shared" si="7"/>
        <v>68</v>
      </c>
      <c r="B70" s="76" t="str">
        <f t="shared" si="6"/>
        <v>reserved_byte68</v>
      </c>
      <c r="C70" s="59">
        <v>255</v>
      </c>
      <c r="D70" s="60">
        <v>255</v>
      </c>
      <c r="E70" s="59">
        <v>0</v>
      </c>
      <c r="F70" s="59">
        <v>255</v>
      </c>
      <c r="G70" s="76" t="s">
        <v>59</v>
      </c>
      <c r="H70" s="64" t="str">
        <f t="shared" si="8"/>
        <v>2345</v>
      </c>
      <c r="I70" s="59">
        <v>1</v>
      </c>
      <c r="J70" s="61"/>
    </row>
    <row r="71" spans="1:10" s="25" customFormat="1" ht="27" customHeight="1">
      <c r="A71" s="65">
        <f t="shared" si="7"/>
        <v>69</v>
      </c>
      <c r="B71" s="76" t="str">
        <f t="shared" si="6"/>
        <v>reserved_byte69</v>
      </c>
      <c r="C71" s="59">
        <v>255</v>
      </c>
      <c r="D71" s="60">
        <v>255</v>
      </c>
      <c r="E71" s="59">
        <v>0</v>
      </c>
      <c r="F71" s="59">
        <v>255</v>
      </c>
      <c r="G71" s="76" t="s">
        <v>59</v>
      </c>
      <c r="H71" s="64" t="str">
        <f t="shared" si="8"/>
        <v>2346</v>
      </c>
      <c r="I71" s="59">
        <v>1</v>
      </c>
      <c r="J71" s="61"/>
    </row>
    <row r="72" spans="1:10" s="25" customFormat="1" ht="27" customHeight="1">
      <c r="A72" s="65">
        <f t="shared" si="7"/>
        <v>70</v>
      </c>
      <c r="B72" s="76" t="str">
        <f t="shared" si="6"/>
        <v>reserved_byte70</v>
      </c>
      <c r="C72" s="59">
        <v>255</v>
      </c>
      <c r="D72" s="60">
        <v>255</v>
      </c>
      <c r="E72" s="59">
        <v>0</v>
      </c>
      <c r="F72" s="59">
        <v>255</v>
      </c>
      <c r="G72" s="76" t="s">
        <v>59</v>
      </c>
      <c r="H72" s="64" t="str">
        <f t="shared" si="8"/>
        <v>2347</v>
      </c>
      <c r="I72" s="59">
        <v>1</v>
      </c>
      <c r="J72" s="61"/>
    </row>
    <row r="73" spans="1:10" s="25" customFormat="1" ht="27" customHeight="1">
      <c r="A73" s="65">
        <f t="shared" si="7"/>
        <v>71</v>
      </c>
      <c r="B73" s="76" t="str">
        <f t="shared" si="6"/>
        <v>reserved_byte71</v>
      </c>
      <c r="C73" s="59">
        <v>255</v>
      </c>
      <c r="D73" s="60">
        <v>255</v>
      </c>
      <c r="E73" s="59">
        <v>0</v>
      </c>
      <c r="F73" s="59">
        <v>255</v>
      </c>
      <c r="G73" s="76" t="s">
        <v>59</v>
      </c>
      <c r="H73" s="64" t="str">
        <f t="shared" si="8"/>
        <v>2348</v>
      </c>
      <c r="I73" s="59">
        <v>1</v>
      </c>
      <c r="J73" s="61"/>
    </row>
    <row r="74" spans="1:10" s="25" customFormat="1" ht="27" customHeight="1">
      <c r="A74" s="65">
        <f t="shared" si="7"/>
        <v>72</v>
      </c>
      <c r="B74" s="76" t="str">
        <f t="shared" si="6"/>
        <v>reserved_byte72</v>
      </c>
      <c r="C74" s="59">
        <v>255</v>
      </c>
      <c r="D74" s="60">
        <v>255</v>
      </c>
      <c r="E74" s="59">
        <v>0</v>
      </c>
      <c r="F74" s="59">
        <v>255</v>
      </c>
      <c r="G74" s="76" t="s">
        <v>59</v>
      </c>
      <c r="H74" s="64" t="str">
        <f t="shared" si="8"/>
        <v>2349</v>
      </c>
      <c r="I74" s="59">
        <v>1</v>
      </c>
      <c r="J74" s="61"/>
    </row>
    <row r="75" spans="1:10" s="25" customFormat="1" ht="27" customHeight="1">
      <c r="A75" s="65">
        <f t="shared" si="7"/>
        <v>73</v>
      </c>
      <c r="B75" s="76" t="str">
        <f t="shared" si="6"/>
        <v>reserved_byte73</v>
      </c>
      <c r="C75" s="59">
        <v>255</v>
      </c>
      <c r="D75" s="60">
        <v>255</v>
      </c>
      <c r="E75" s="59">
        <v>0</v>
      </c>
      <c r="F75" s="59">
        <v>255</v>
      </c>
      <c r="G75" s="76" t="s">
        <v>59</v>
      </c>
      <c r="H75" s="64" t="str">
        <f t="shared" si="8"/>
        <v>234A</v>
      </c>
      <c r="I75" s="59">
        <v>1</v>
      </c>
      <c r="J75" s="61"/>
    </row>
    <row r="76" spans="1:10" s="25" customFormat="1" ht="27" customHeight="1">
      <c r="A76" s="65">
        <f t="shared" si="7"/>
        <v>74</v>
      </c>
      <c r="B76" s="76" t="str">
        <f t="shared" si="6"/>
        <v>reserved_byte74</v>
      </c>
      <c r="C76" s="59">
        <v>255</v>
      </c>
      <c r="D76" s="60">
        <v>255</v>
      </c>
      <c r="E76" s="59">
        <v>0</v>
      </c>
      <c r="F76" s="59">
        <v>255</v>
      </c>
      <c r="G76" s="76" t="s">
        <v>59</v>
      </c>
      <c r="H76" s="64" t="str">
        <f t="shared" si="8"/>
        <v>234B</v>
      </c>
      <c r="I76" s="59">
        <v>1</v>
      </c>
      <c r="J76" s="61"/>
    </row>
    <row r="77" spans="1:10" s="25" customFormat="1" ht="27" customHeight="1">
      <c r="A77" s="65">
        <f t="shared" si="7"/>
        <v>75</v>
      </c>
      <c r="B77" s="76" t="str">
        <f t="shared" si="6"/>
        <v>reserved_byte75</v>
      </c>
      <c r="C77" s="59">
        <v>255</v>
      </c>
      <c r="D77" s="60">
        <v>255</v>
      </c>
      <c r="E77" s="59">
        <v>0</v>
      </c>
      <c r="F77" s="59">
        <v>255</v>
      </c>
      <c r="G77" s="76" t="s">
        <v>59</v>
      </c>
      <c r="H77" s="64" t="str">
        <f t="shared" si="8"/>
        <v>234C</v>
      </c>
      <c r="I77" s="59">
        <v>1</v>
      </c>
      <c r="J77" s="61"/>
    </row>
    <row r="78" spans="1:10" s="25" customFormat="1" ht="27" customHeight="1">
      <c r="A78" s="65">
        <f t="shared" si="7"/>
        <v>76</v>
      </c>
      <c r="B78" s="76" t="str">
        <f t="shared" si="6"/>
        <v>reserved_byte76</v>
      </c>
      <c r="C78" s="59">
        <v>255</v>
      </c>
      <c r="D78" s="60">
        <v>255</v>
      </c>
      <c r="E78" s="59">
        <v>0</v>
      </c>
      <c r="F78" s="59">
        <v>255</v>
      </c>
      <c r="G78" s="76" t="s">
        <v>59</v>
      </c>
      <c r="H78" s="64" t="str">
        <f t="shared" si="8"/>
        <v>234D</v>
      </c>
      <c r="I78" s="59">
        <v>1</v>
      </c>
      <c r="J78" s="61"/>
    </row>
    <row r="79" spans="1:10" s="25" customFormat="1" ht="27" customHeight="1">
      <c r="A79" s="65">
        <f t="shared" si="7"/>
        <v>77</v>
      </c>
      <c r="B79" s="76" t="str">
        <f t="shared" si="6"/>
        <v>reserved_byte77</v>
      </c>
      <c r="C79" s="59">
        <v>255</v>
      </c>
      <c r="D79" s="60">
        <v>255</v>
      </c>
      <c r="E79" s="59">
        <v>0</v>
      </c>
      <c r="F79" s="59">
        <v>255</v>
      </c>
      <c r="G79" s="76" t="s">
        <v>59</v>
      </c>
      <c r="H79" s="64" t="str">
        <f t="shared" si="8"/>
        <v>234E</v>
      </c>
      <c r="I79" s="59">
        <v>1</v>
      </c>
      <c r="J79" s="61"/>
    </row>
    <row r="80" spans="1:10" s="25" customFormat="1" ht="27" customHeight="1">
      <c r="A80" s="65">
        <f t="shared" si="7"/>
        <v>78</v>
      </c>
      <c r="B80" s="76" t="str">
        <f t="shared" si="6"/>
        <v>reserved_byte78</v>
      </c>
      <c r="C80" s="59">
        <v>255</v>
      </c>
      <c r="D80" s="60">
        <v>255</v>
      </c>
      <c r="E80" s="59">
        <v>0</v>
      </c>
      <c r="F80" s="59">
        <v>255</v>
      </c>
      <c r="G80" s="76" t="s">
        <v>59</v>
      </c>
      <c r="H80" s="64" t="str">
        <f t="shared" si="8"/>
        <v>234F</v>
      </c>
      <c r="I80" s="59">
        <v>1</v>
      </c>
      <c r="J80" s="61"/>
    </row>
    <row r="81" spans="1:10" s="25" customFormat="1" ht="27" customHeight="1">
      <c r="A81" s="65">
        <f t="shared" si="7"/>
        <v>79</v>
      </c>
      <c r="B81" s="76" t="str">
        <f t="shared" si="6"/>
        <v>reserved_byte79</v>
      </c>
      <c r="C81" s="59">
        <v>255</v>
      </c>
      <c r="D81" s="60">
        <v>255</v>
      </c>
      <c r="E81" s="59">
        <v>0</v>
      </c>
      <c r="F81" s="59">
        <v>255</v>
      </c>
      <c r="G81" s="76" t="s">
        <v>59</v>
      </c>
      <c r="H81" s="64" t="str">
        <f t="shared" si="8"/>
        <v>2350</v>
      </c>
      <c r="I81" s="59">
        <v>1</v>
      </c>
      <c r="J81" s="61"/>
    </row>
    <row r="82" spans="1:10" s="25" customFormat="1" ht="27" customHeight="1">
      <c r="A82" s="65">
        <f t="shared" si="7"/>
        <v>80</v>
      </c>
      <c r="B82" s="76" t="str">
        <f t="shared" si="6"/>
        <v>reserved_byte80</v>
      </c>
      <c r="C82" s="59">
        <v>255</v>
      </c>
      <c r="D82" s="60">
        <v>255</v>
      </c>
      <c r="E82" s="59">
        <v>0</v>
      </c>
      <c r="F82" s="59">
        <v>255</v>
      </c>
      <c r="G82" s="76" t="s">
        <v>59</v>
      </c>
      <c r="H82" s="64" t="str">
        <f t="shared" si="8"/>
        <v>2351</v>
      </c>
      <c r="I82" s="59">
        <v>1</v>
      </c>
      <c r="J82" s="61"/>
    </row>
    <row r="83" spans="1:10" s="25" customFormat="1" ht="27" customHeight="1">
      <c r="A83" s="65">
        <f t="shared" si="7"/>
        <v>81</v>
      </c>
      <c r="B83" s="76" t="str">
        <f t="shared" si="6"/>
        <v>reserved_byte81</v>
      </c>
      <c r="C83" s="59">
        <v>255</v>
      </c>
      <c r="D83" s="60">
        <v>255</v>
      </c>
      <c r="E83" s="59">
        <v>0</v>
      </c>
      <c r="F83" s="59">
        <v>255</v>
      </c>
      <c r="G83" s="76" t="s">
        <v>59</v>
      </c>
      <c r="H83" s="64" t="str">
        <f t="shared" si="8"/>
        <v>2352</v>
      </c>
      <c r="I83" s="59">
        <v>1</v>
      </c>
      <c r="J83" s="61"/>
    </row>
    <row r="84" spans="1:10" s="25" customFormat="1" ht="27" customHeight="1">
      <c r="A84" s="65">
        <f t="shared" si="7"/>
        <v>82</v>
      </c>
      <c r="B84" s="76" t="str">
        <f t="shared" si="6"/>
        <v>reserved_byte82</v>
      </c>
      <c r="C84" s="59">
        <v>255</v>
      </c>
      <c r="D84" s="60">
        <v>255</v>
      </c>
      <c r="E84" s="59">
        <v>0</v>
      </c>
      <c r="F84" s="59">
        <v>255</v>
      </c>
      <c r="G84" s="76" t="s">
        <v>59</v>
      </c>
      <c r="H84" s="64" t="str">
        <f t="shared" si="8"/>
        <v>2353</v>
      </c>
      <c r="I84" s="59">
        <v>1</v>
      </c>
      <c r="J84" s="61"/>
    </row>
    <row r="85" spans="1:10" s="25" customFormat="1" ht="27" customHeight="1">
      <c r="A85" s="65">
        <f t="shared" si="7"/>
        <v>83</v>
      </c>
      <c r="B85" s="76" t="str">
        <f t="shared" si="6"/>
        <v>reserved_byte83</v>
      </c>
      <c r="C85" s="59">
        <v>255</v>
      </c>
      <c r="D85" s="60">
        <v>255</v>
      </c>
      <c r="E85" s="59">
        <v>0</v>
      </c>
      <c r="F85" s="59">
        <v>255</v>
      </c>
      <c r="G85" s="76" t="s">
        <v>59</v>
      </c>
      <c r="H85" s="64" t="str">
        <f t="shared" si="8"/>
        <v>2354</v>
      </c>
      <c r="I85" s="59">
        <v>1</v>
      </c>
      <c r="J85" s="61"/>
    </row>
    <row r="86" spans="1:10" s="25" customFormat="1" ht="27" customHeight="1">
      <c r="A86" s="65">
        <f t="shared" si="7"/>
        <v>84</v>
      </c>
      <c r="B86" s="76" t="str">
        <f t="shared" si="6"/>
        <v>reserved_byte84</v>
      </c>
      <c r="C86" s="59">
        <v>255</v>
      </c>
      <c r="D86" s="60">
        <v>255</v>
      </c>
      <c r="E86" s="59">
        <v>0</v>
      </c>
      <c r="F86" s="59">
        <v>255</v>
      </c>
      <c r="G86" s="76" t="s">
        <v>59</v>
      </c>
      <c r="H86" s="64" t="str">
        <f t="shared" si="8"/>
        <v>2355</v>
      </c>
      <c r="I86" s="59">
        <v>1</v>
      </c>
      <c r="J86" s="61"/>
    </row>
    <row r="87" spans="1:10" s="25" customFormat="1" ht="27" customHeight="1">
      <c r="A87" s="65">
        <f t="shared" si="7"/>
        <v>85</v>
      </c>
      <c r="B87" s="76" t="str">
        <f t="shared" si="6"/>
        <v>reserved_byte85</v>
      </c>
      <c r="C87" s="59">
        <v>255</v>
      </c>
      <c r="D87" s="60">
        <v>255</v>
      </c>
      <c r="E87" s="59">
        <v>0</v>
      </c>
      <c r="F87" s="59">
        <v>255</v>
      </c>
      <c r="G87" s="76" t="s">
        <v>59</v>
      </c>
      <c r="H87" s="64" t="str">
        <f t="shared" si="8"/>
        <v>2356</v>
      </c>
      <c r="I87" s="59">
        <v>1</v>
      </c>
      <c r="J87" s="61"/>
    </row>
    <row r="88" spans="1:10" s="25" customFormat="1" ht="27" customHeight="1">
      <c r="A88" s="65">
        <f t="shared" si="7"/>
        <v>86</v>
      </c>
      <c r="B88" s="76" t="str">
        <f t="shared" si="6"/>
        <v>reserved_byte86</v>
      </c>
      <c r="C88" s="59">
        <v>255</v>
      </c>
      <c r="D88" s="60">
        <v>255</v>
      </c>
      <c r="E88" s="59">
        <v>0</v>
      </c>
      <c r="F88" s="59">
        <v>255</v>
      </c>
      <c r="G88" s="76" t="s">
        <v>59</v>
      </c>
      <c r="H88" s="64" t="str">
        <f t="shared" si="8"/>
        <v>2357</v>
      </c>
      <c r="I88" s="59">
        <v>1</v>
      </c>
      <c r="J88" s="61"/>
    </row>
    <row r="89" spans="1:10" s="25" customFormat="1" ht="27" customHeight="1">
      <c r="A89" s="65">
        <f t="shared" si="7"/>
        <v>87</v>
      </c>
      <c r="B89" s="76" t="str">
        <f t="shared" si="6"/>
        <v>reserved_byte87</v>
      </c>
      <c r="C89" s="59">
        <v>255</v>
      </c>
      <c r="D89" s="60">
        <v>255</v>
      </c>
      <c r="E89" s="59">
        <v>0</v>
      </c>
      <c r="F89" s="59">
        <v>255</v>
      </c>
      <c r="G89" s="76" t="s">
        <v>59</v>
      </c>
      <c r="H89" s="64" t="str">
        <f t="shared" si="8"/>
        <v>2358</v>
      </c>
      <c r="I89" s="59">
        <v>1</v>
      </c>
      <c r="J89" s="61"/>
    </row>
    <row r="90" spans="1:10" s="25" customFormat="1" ht="27" customHeight="1">
      <c r="A90" s="65">
        <f t="shared" si="7"/>
        <v>88</v>
      </c>
      <c r="B90" s="76" t="str">
        <f t="shared" si="6"/>
        <v>reserved_byte88</v>
      </c>
      <c r="C90" s="59">
        <v>255</v>
      </c>
      <c r="D90" s="60">
        <v>255</v>
      </c>
      <c r="E90" s="59">
        <v>0</v>
      </c>
      <c r="F90" s="59">
        <v>255</v>
      </c>
      <c r="G90" s="76" t="s">
        <v>59</v>
      </c>
      <c r="H90" s="64" t="str">
        <f t="shared" si="8"/>
        <v>2359</v>
      </c>
      <c r="I90" s="59">
        <v>1</v>
      </c>
      <c r="J90" s="61"/>
    </row>
    <row r="91" spans="1:10" s="25" customFormat="1" ht="27" customHeight="1">
      <c r="A91" s="65">
        <f t="shared" si="7"/>
        <v>89</v>
      </c>
      <c r="B91" s="76" t="str">
        <f t="shared" si="6"/>
        <v>reserved_byte89</v>
      </c>
      <c r="C91" s="59">
        <v>255</v>
      </c>
      <c r="D91" s="60">
        <v>255</v>
      </c>
      <c r="E91" s="59">
        <v>0</v>
      </c>
      <c r="F91" s="59">
        <v>255</v>
      </c>
      <c r="G91" s="76" t="s">
        <v>59</v>
      </c>
      <c r="H91" s="64" t="str">
        <f t="shared" si="8"/>
        <v>235A</v>
      </c>
      <c r="I91" s="59">
        <v>1</v>
      </c>
      <c r="J91" s="61"/>
    </row>
    <row r="92" spans="1:10" s="25" customFormat="1" ht="27" customHeight="1">
      <c r="A92" s="65">
        <f t="shared" si="7"/>
        <v>90</v>
      </c>
      <c r="B92" s="76" t="str">
        <f t="shared" si="6"/>
        <v>reserved_byte90</v>
      </c>
      <c r="C92" s="59">
        <v>255</v>
      </c>
      <c r="D92" s="60">
        <v>255</v>
      </c>
      <c r="E92" s="59">
        <v>0</v>
      </c>
      <c r="F92" s="59">
        <v>255</v>
      </c>
      <c r="G92" s="76" t="s">
        <v>59</v>
      </c>
      <c r="H92" s="64" t="str">
        <f t="shared" si="8"/>
        <v>235B</v>
      </c>
      <c r="I92" s="59">
        <v>1</v>
      </c>
      <c r="J92" s="61"/>
    </row>
    <row r="93" spans="1:10" s="25" customFormat="1" ht="27" customHeight="1">
      <c r="A93" s="65">
        <f t="shared" si="7"/>
        <v>91</v>
      </c>
      <c r="B93" s="76" t="str">
        <f t="shared" si="6"/>
        <v>reserved_byte91</v>
      </c>
      <c r="C93" s="59">
        <v>255</v>
      </c>
      <c r="D93" s="60">
        <v>255</v>
      </c>
      <c r="E93" s="59">
        <v>0</v>
      </c>
      <c r="F93" s="59">
        <v>255</v>
      </c>
      <c r="G93" s="76" t="s">
        <v>59</v>
      </c>
      <c r="H93" s="64" t="str">
        <f t="shared" si="8"/>
        <v>235C</v>
      </c>
      <c r="I93" s="59">
        <v>1</v>
      </c>
      <c r="J93" s="61"/>
    </row>
    <row r="94" spans="1:10" s="25" customFormat="1" ht="27" customHeight="1">
      <c r="A94" s="65">
        <f t="shared" si="7"/>
        <v>92</v>
      </c>
      <c r="B94" s="76" t="str">
        <f t="shared" si="6"/>
        <v>reserved_byte92</v>
      </c>
      <c r="C94" s="59">
        <v>255</v>
      </c>
      <c r="D94" s="60">
        <v>255</v>
      </c>
      <c r="E94" s="59">
        <v>0</v>
      </c>
      <c r="F94" s="59">
        <v>255</v>
      </c>
      <c r="G94" s="76" t="s">
        <v>59</v>
      </c>
      <c r="H94" s="64" t="str">
        <f t="shared" si="8"/>
        <v>235D</v>
      </c>
      <c r="I94" s="59">
        <v>1</v>
      </c>
      <c r="J94" s="61"/>
    </row>
    <row r="95" spans="1:10" s="25" customFormat="1" ht="27" customHeight="1">
      <c r="A95" s="65">
        <f t="shared" si="7"/>
        <v>93</v>
      </c>
      <c r="B95" s="76" t="str">
        <f t="shared" si="6"/>
        <v>reserved_byte93</v>
      </c>
      <c r="C95" s="59">
        <v>255</v>
      </c>
      <c r="D95" s="60">
        <v>255</v>
      </c>
      <c r="E95" s="59">
        <v>0</v>
      </c>
      <c r="F95" s="59">
        <v>255</v>
      </c>
      <c r="G95" s="76" t="s">
        <v>59</v>
      </c>
      <c r="H95" s="64" t="str">
        <f t="shared" si="8"/>
        <v>235E</v>
      </c>
      <c r="I95" s="59">
        <v>1</v>
      </c>
      <c r="J95" s="61"/>
    </row>
    <row r="96" spans="1:10" s="25" customFormat="1" ht="27" customHeight="1">
      <c r="A96" s="65">
        <f t="shared" si="7"/>
        <v>94</v>
      </c>
      <c r="B96" s="76" t="str">
        <f t="shared" si="6"/>
        <v>reserved_byte94</v>
      </c>
      <c r="C96" s="59">
        <v>255</v>
      </c>
      <c r="D96" s="60">
        <v>255</v>
      </c>
      <c r="E96" s="59">
        <v>0</v>
      </c>
      <c r="F96" s="59">
        <v>255</v>
      </c>
      <c r="G96" s="76" t="s">
        <v>59</v>
      </c>
      <c r="H96" s="64" t="str">
        <f t="shared" si="8"/>
        <v>235F</v>
      </c>
      <c r="I96" s="59">
        <v>1</v>
      </c>
      <c r="J96" s="61"/>
    </row>
    <row r="97" spans="1:10" s="25" customFormat="1" ht="27" customHeight="1">
      <c r="A97" s="65">
        <f t="shared" si="7"/>
        <v>95</v>
      </c>
      <c r="B97" s="76" t="str">
        <f t="shared" si="6"/>
        <v>reserved_byte95</v>
      </c>
      <c r="C97" s="59">
        <v>255</v>
      </c>
      <c r="D97" s="60">
        <v>255</v>
      </c>
      <c r="E97" s="59">
        <v>0</v>
      </c>
      <c r="F97" s="59">
        <v>255</v>
      </c>
      <c r="G97" s="76" t="s">
        <v>59</v>
      </c>
      <c r="H97" s="64" t="str">
        <f t="shared" si="8"/>
        <v>2360</v>
      </c>
      <c r="I97" s="59">
        <v>1</v>
      </c>
      <c r="J97" s="61"/>
    </row>
    <row r="98" spans="1:10" s="25" customFormat="1" ht="27" customHeight="1">
      <c r="A98" s="65">
        <f t="shared" si="7"/>
        <v>96</v>
      </c>
      <c r="B98" s="76" t="str">
        <f t="shared" ref="B98:B101" si="9">"reserved_byte" &amp;TEXT(A98,0)</f>
        <v>reserved_byte96</v>
      </c>
      <c r="C98" s="59">
        <v>255</v>
      </c>
      <c r="D98" s="60">
        <v>255</v>
      </c>
      <c r="E98" s="59">
        <v>0</v>
      </c>
      <c r="F98" s="59">
        <v>255</v>
      </c>
      <c r="G98" s="76" t="s">
        <v>59</v>
      </c>
      <c r="H98" s="64" t="str">
        <f t="shared" si="8"/>
        <v>2361</v>
      </c>
      <c r="I98" s="59">
        <v>1</v>
      </c>
      <c r="J98" s="61"/>
    </row>
    <row r="99" spans="1:10" s="25" customFormat="1" ht="27" customHeight="1">
      <c r="A99" s="65">
        <f t="shared" si="7"/>
        <v>97</v>
      </c>
      <c r="B99" s="76" t="str">
        <f t="shared" si="9"/>
        <v>reserved_byte97</v>
      </c>
      <c r="C99" s="59">
        <v>255</v>
      </c>
      <c r="D99" s="60">
        <v>255</v>
      </c>
      <c r="E99" s="59">
        <v>0</v>
      </c>
      <c r="F99" s="59">
        <v>255</v>
      </c>
      <c r="G99" s="76" t="s">
        <v>59</v>
      </c>
      <c r="H99" s="64" t="str">
        <f t="shared" si="8"/>
        <v>2362</v>
      </c>
      <c r="I99" s="59">
        <v>1</v>
      </c>
      <c r="J99" s="61"/>
    </row>
    <row r="100" spans="1:10" s="25" customFormat="1" ht="27" customHeight="1">
      <c r="A100" s="65">
        <f t="shared" si="7"/>
        <v>98</v>
      </c>
      <c r="B100" s="76" t="str">
        <f t="shared" si="9"/>
        <v>reserved_byte98</v>
      </c>
      <c r="C100" s="59">
        <v>255</v>
      </c>
      <c r="D100" s="60">
        <v>255</v>
      </c>
      <c r="E100" s="59">
        <v>0</v>
      </c>
      <c r="F100" s="59">
        <v>255</v>
      </c>
      <c r="G100" s="76" t="s">
        <v>59</v>
      </c>
      <c r="H100" s="64" t="str">
        <f t="shared" si="8"/>
        <v>2363</v>
      </c>
      <c r="I100" s="59">
        <v>1</v>
      </c>
      <c r="J100" s="61"/>
    </row>
    <row r="101" spans="1:10" s="25" customFormat="1" ht="27" customHeight="1">
      <c r="A101" s="65">
        <f t="shared" si="7"/>
        <v>99</v>
      </c>
      <c r="B101" s="76" t="str">
        <f t="shared" si="9"/>
        <v>reserved_byte99</v>
      </c>
      <c r="C101" s="59">
        <v>255</v>
      </c>
      <c r="D101" s="60">
        <v>255</v>
      </c>
      <c r="E101" s="59">
        <v>0</v>
      </c>
      <c r="F101" s="59">
        <v>255</v>
      </c>
      <c r="G101" s="76" t="s">
        <v>59</v>
      </c>
      <c r="H101" s="64" t="str">
        <f t="shared" si="8"/>
        <v>2364</v>
      </c>
      <c r="I101" s="59">
        <v>1</v>
      </c>
      <c r="J101" s="61"/>
    </row>
  </sheetData>
  <dataValidations count="3">
    <dataValidation type="decimal" operator="lessThanOrEqual" allowBlank="1" showInputMessage="1" showErrorMessage="1" sqref="F2:F101">
      <formula1>255</formula1>
    </dataValidation>
    <dataValidation type="decimal" allowBlank="1" showInputMessage="1" showErrorMessage="1" sqref="D2:D101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2">
    <tabColor rgb="FFFF0000"/>
    <pageSetUpPr fitToPage="1"/>
  </sheetPr>
  <dimension ref="A1:J201"/>
  <sheetViews>
    <sheetView topLeftCell="A208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 t="shared" ref="B2:B33" si="0"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6" t="s">
        <v>59</v>
      </c>
      <c r="H2" s="63">
        <v>2401</v>
      </c>
      <c r="I2" s="59">
        <v>1</v>
      </c>
      <c r="J2" s="61"/>
    </row>
    <row r="3" spans="1:10" s="25" customFormat="1" ht="27" customHeight="1">
      <c r="A3" s="65">
        <f t="shared" ref="A3:A34" si="1">A2+1</f>
        <v>1</v>
      </c>
      <c r="B3" s="76" t="str">
        <f t="shared" si="0"/>
        <v>reserved_byte1</v>
      </c>
      <c r="C3" s="59">
        <v>255</v>
      </c>
      <c r="D3" s="60">
        <v>255</v>
      </c>
      <c r="E3" s="59">
        <v>0</v>
      </c>
      <c r="F3" s="59">
        <v>255</v>
      </c>
      <c r="G3" s="76" t="s">
        <v>59</v>
      </c>
      <c r="H3" s="64" t="str">
        <f t="shared" ref="H3:H34" si="2">DEC2HEX((HEX2DEC(H2)+1),4)</f>
        <v>2402</v>
      </c>
      <c r="I3" s="59">
        <v>1</v>
      </c>
      <c r="J3" s="61"/>
    </row>
    <row r="4" spans="1:10" s="25" customFormat="1" ht="27" customHeight="1">
      <c r="A4" s="65">
        <f t="shared" si="1"/>
        <v>2</v>
      </c>
      <c r="B4" s="76" t="str">
        <f t="shared" si="0"/>
        <v>reserved_byte2</v>
      </c>
      <c r="C4" s="59">
        <v>255</v>
      </c>
      <c r="D4" s="60">
        <v>255</v>
      </c>
      <c r="E4" s="59">
        <v>0</v>
      </c>
      <c r="F4" s="59">
        <v>255</v>
      </c>
      <c r="G4" s="76" t="s">
        <v>59</v>
      </c>
      <c r="H4" s="64" t="str">
        <f t="shared" si="2"/>
        <v>2403</v>
      </c>
      <c r="I4" s="59">
        <v>1</v>
      </c>
      <c r="J4" s="61"/>
    </row>
    <row r="5" spans="1:10" s="25" customFormat="1" ht="27" customHeight="1">
      <c r="A5" s="65">
        <f t="shared" si="1"/>
        <v>3</v>
      </c>
      <c r="B5" s="76" t="str">
        <f t="shared" si="0"/>
        <v>reserved_byte3</v>
      </c>
      <c r="C5" s="59">
        <v>255</v>
      </c>
      <c r="D5" s="60">
        <v>255</v>
      </c>
      <c r="E5" s="59">
        <v>0</v>
      </c>
      <c r="F5" s="59">
        <v>255</v>
      </c>
      <c r="G5" s="76" t="s">
        <v>59</v>
      </c>
      <c r="H5" s="64" t="str">
        <f t="shared" si="2"/>
        <v>2404</v>
      </c>
      <c r="I5" s="59">
        <v>1</v>
      </c>
      <c r="J5" s="61"/>
    </row>
    <row r="6" spans="1:10" s="25" customFormat="1" ht="27" customHeight="1">
      <c r="A6" s="65">
        <f t="shared" si="1"/>
        <v>4</v>
      </c>
      <c r="B6" s="76" t="str">
        <f t="shared" si="0"/>
        <v>reserved_byte4</v>
      </c>
      <c r="C6" s="59">
        <v>255</v>
      </c>
      <c r="D6" s="60">
        <v>255</v>
      </c>
      <c r="E6" s="59">
        <v>0</v>
      </c>
      <c r="F6" s="59">
        <v>255</v>
      </c>
      <c r="G6" s="76" t="s">
        <v>59</v>
      </c>
      <c r="H6" s="64" t="str">
        <f t="shared" si="2"/>
        <v>2405</v>
      </c>
      <c r="I6" s="59">
        <v>1</v>
      </c>
      <c r="J6" s="61"/>
    </row>
    <row r="7" spans="1:10" s="25" customFormat="1" ht="27" customHeight="1">
      <c r="A7" s="65">
        <f t="shared" si="1"/>
        <v>5</v>
      </c>
      <c r="B7" s="76" t="str">
        <f t="shared" si="0"/>
        <v>reserved_byte5</v>
      </c>
      <c r="C7" s="59">
        <v>255</v>
      </c>
      <c r="D7" s="60">
        <v>255</v>
      </c>
      <c r="E7" s="59">
        <v>0</v>
      </c>
      <c r="F7" s="59">
        <v>255</v>
      </c>
      <c r="G7" s="76" t="s">
        <v>59</v>
      </c>
      <c r="H7" s="64" t="str">
        <f t="shared" si="2"/>
        <v>2406</v>
      </c>
      <c r="I7" s="59">
        <v>1</v>
      </c>
      <c r="J7" s="61"/>
    </row>
    <row r="8" spans="1:10" s="25" customFormat="1" ht="27" customHeight="1">
      <c r="A8" s="65">
        <f t="shared" si="1"/>
        <v>6</v>
      </c>
      <c r="B8" s="76" t="str">
        <f t="shared" si="0"/>
        <v>reserved_byte6</v>
      </c>
      <c r="C8" s="59">
        <v>255</v>
      </c>
      <c r="D8" s="60">
        <v>255</v>
      </c>
      <c r="E8" s="59">
        <v>0</v>
      </c>
      <c r="F8" s="59">
        <v>255</v>
      </c>
      <c r="G8" s="76" t="s">
        <v>59</v>
      </c>
      <c r="H8" s="64" t="str">
        <f t="shared" si="2"/>
        <v>2407</v>
      </c>
      <c r="I8" s="59">
        <v>1</v>
      </c>
      <c r="J8" s="61"/>
    </row>
    <row r="9" spans="1:10" s="25" customFormat="1" ht="27" customHeight="1">
      <c r="A9" s="65">
        <f t="shared" si="1"/>
        <v>7</v>
      </c>
      <c r="B9" s="76" t="str">
        <f t="shared" si="0"/>
        <v>reserved_byte7</v>
      </c>
      <c r="C9" s="59">
        <v>255</v>
      </c>
      <c r="D9" s="60">
        <v>255</v>
      </c>
      <c r="E9" s="59">
        <v>0</v>
      </c>
      <c r="F9" s="59">
        <v>255</v>
      </c>
      <c r="G9" s="76" t="s">
        <v>59</v>
      </c>
      <c r="H9" s="64" t="str">
        <f t="shared" si="2"/>
        <v>2408</v>
      </c>
      <c r="I9" s="59">
        <v>1</v>
      </c>
      <c r="J9" s="61"/>
    </row>
    <row r="10" spans="1:10" s="25" customFormat="1" ht="27" customHeight="1">
      <c r="A10" s="65">
        <f t="shared" si="1"/>
        <v>8</v>
      </c>
      <c r="B10" s="76" t="str">
        <f t="shared" si="0"/>
        <v>reserved_byte8</v>
      </c>
      <c r="C10" s="59">
        <v>255</v>
      </c>
      <c r="D10" s="60">
        <v>255</v>
      </c>
      <c r="E10" s="59">
        <v>0</v>
      </c>
      <c r="F10" s="59">
        <v>255</v>
      </c>
      <c r="G10" s="76" t="s">
        <v>59</v>
      </c>
      <c r="H10" s="64" t="str">
        <f t="shared" si="2"/>
        <v>2409</v>
      </c>
      <c r="I10" s="59">
        <v>1</v>
      </c>
      <c r="J10" s="61"/>
    </row>
    <row r="11" spans="1:10" s="25" customFormat="1" ht="27" customHeight="1">
      <c r="A11" s="65">
        <f t="shared" si="1"/>
        <v>9</v>
      </c>
      <c r="B11" s="76" t="str">
        <f t="shared" si="0"/>
        <v>reserved_byte9</v>
      </c>
      <c r="C11" s="59">
        <v>255</v>
      </c>
      <c r="D11" s="60">
        <v>255</v>
      </c>
      <c r="E11" s="59">
        <v>0</v>
      </c>
      <c r="F11" s="59">
        <v>255</v>
      </c>
      <c r="G11" s="76" t="s">
        <v>59</v>
      </c>
      <c r="H11" s="64" t="str">
        <f t="shared" si="2"/>
        <v>240A</v>
      </c>
      <c r="I11" s="59">
        <v>1</v>
      </c>
      <c r="J11" s="61"/>
    </row>
    <row r="12" spans="1:10" s="25" customFormat="1" ht="27" customHeight="1">
      <c r="A12" s="65">
        <f t="shared" si="1"/>
        <v>10</v>
      </c>
      <c r="B12" s="76" t="str">
        <f t="shared" si="0"/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6" t="s">
        <v>59</v>
      </c>
      <c r="H12" s="64" t="str">
        <f t="shared" si="2"/>
        <v>240B</v>
      </c>
      <c r="I12" s="59">
        <v>1</v>
      </c>
      <c r="J12" s="61"/>
    </row>
    <row r="13" spans="1:10" s="25" customFormat="1" ht="27" customHeight="1">
      <c r="A13" s="65">
        <f t="shared" si="1"/>
        <v>11</v>
      </c>
      <c r="B13" s="76" t="str">
        <f t="shared" si="0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6" t="s">
        <v>59</v>
      </c>
      <c r="H13" s="64" t="str">
        <f t="shared" si="2"/>
        <v>240C</v>
      </c>
      <c r="I13" s="59">
        <v>1</v>
      </c>
      <c r="J13" s="61"/>
    </row>
    <row r="14" spans="1:10" s="25" customFormat="1" ht="27" customHeight="1">
      <c r="A14" s="65">
        <f t="shared" si="1"/>
        <v>12</v>
      </c>
      <c r="B14" s="76" t="str">
        <f t="shared" si="0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6" t="s">
        <v>59</v>
      </c>
      <c r="H14" s="64" t="str">
        <f t="shared" si="2"/>
        <v>240D</v>
      </c>
      <c r="I14" s="59">
        <v>1</v>
      </c>
      <c r="J14" s="61"/>
    </row>
    <row r="15" spans="1:10" s="25" customFormat="1" ht="27" customHeight="1">
      <c r="A15" s="65">
        <f t="shared" si="1"/>
        <v>13</v>
      </c>
      <c r="B15" s="76" t="str">
        <f t="shared" si="0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6" t="s">
        <v>59</v>
      </c>
      <c r="H15" s="64" t="str">
        <f t="shared" si="2"/>
        <v>240E</v>
      </c>
      <c r="I15" s="59">
        <v>1</v>
      </c>
      <c r="J15" s="61"/>
    </row>
    <row r="16" spans="1:10" s="25" customFormat="1" ht="27" customHeight="1">
      <c r="A16" s="65">
        <f t="shared" si="1"/>
        <v>14</v>
      </c>
      <c r="B16" s="76" t="str">
        <f t="shared" si="0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6" t="s">
        <v>59</v>
      </c>
      <c r="H16" s="64" t="str">
        <f t="shared" si="2"/>
        <v>240F</v>
      </c>
      <c r="I16" s="59">
        <v>1</v>
      </c>
      <c r="J16" s="61"/>
    </row>
    <row r="17" spans="1:10" s="25" customFormat="1" ht="27" customHeight="1">
      <c r="A17" s="65">
        <f t="shared" si="1"/>
        <v>15</v>
      </c>
      <c r="B17" s="76" t="str">
        <f t="shared" si="0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6" t="s">
        <v>59</v>
      </c>
      <c r="H17" s="64" t="str">
        <f t="shared" si="2"/>
        <v>2410</v>
      </c>
      <c r="I17" s="59">
        <v>1</v>
      </c>
      <c r="J17" s="61"/>
    </row>
    <row r="18" spans="1:10" s="25" customFormat="1" ht="27" customHeight="1">
      <c r="A18" s="65">
        <f t="shared" si="1"/>
        <v>16</v>
      </c>
      <c r="B18" s="76" t="str">
        <f t="shared" si="0"/>
        <v>reserved_byte16</v>
      </c>
      <c r="C18" s="59">
        <v>255</v>
      </c>
      <c r="D18" s="60">
        <v>255</v>
      </c>
      <c r="E18" s="59">
        <v>0</v>
      </c>
      <c r="F18" s="59">
        <v>255</v>
      </c>
      <c r="G18" s="76" t="s">
        <v>59</v>
      </c>
      <c r="H18" s="64" t="str">
        <f t="shared" si="2"/>
        <v>2411</v>
      </c>
      <c r="I18" s="59">
        <v>1</v>
      </c>
      <c r="J18" s="61"/>
    </row>
    <row r="19" spans="1:10" s="25" customFormat="1" ht="27" customHeight="1">
      <c r="A19" s="65">
        <f t="shared" si="1"/>
        <v>17</v>
      </c>
      <c r="B19" s="76" t="str">
        <f t="shared" si="0"/>
        <v>reserved_byte17</v>
      </c>
      <c r="C19" s="59">
        <v>255</v>
      </c>
      <c r="D19" s="60">
        <v>255</v>
      </c>
      <c r="E19" s="59">
        <v>0</v>
      </c>
      <c r="F19" s="59">
        <v>255</v>
      </c>
      <c r="G19" s="76" t="s">
        <v>59</v>
      </c>
      <c r="H19" s="64" t="str">
        <f t="shared" si="2"/>
        <v>2412</v>
      </c>
      <c r="I19" s="59">
        <v>1</v>
      </c>
      <c r="J19" s="61"/>
    </row>
    <row r="20" spans="1:10" s="25" customFormat="1" ht="27" customHeight="1">
      <c r="A20" s="65">
        <f t="shared" si="1"/>
        <v>18</v>
      </c>
      <c r="B20" s="76" t="str">
        <f t="shared" si="0"/>
        <v>reserved_byte18</v>
      </c>
      <c r="C20" s="59">
        <v>255</v>
      </c>
      <c r="D20" s="60">
        <v>255</v>
      </c>
      <c r="E20" s="59">
        <v>0</v>
      </c>
      <c r="F20" s="59">
        <v>255</v>
      </c>
      <c r="G20" s="76" t="s">
        <v>59</v>
      </c>
      <c r="H20" s="64" t="str">
        <f t="shared" si="2"/>
        <v>2413</v>
      </c>
      <c r="I20" s="59">
        <v>1</v>
      </c>
      <c r="J20" s="61"/>
    </row>
    <row r="21" spans="1:10" s="25" customFormat="1" ht="27" customHeight="1">
      <c r="A21" s="65">
        <f t="shared" si="1"/>
        <v>19</v>
      </c>
      <c r="B21" s="76" t="str">
        <f t="shared" si="0"/>
        <v>reserved_byte19</v>
      </c>
      <c r="C21" s="59">
        <v>255</v>
      </c>
      <c r="D21" s="60">
        <v>255</v>
      </c>
      <c r="E21" s="59">
        <v>0</v>
      </c>
      <c r="F21" s="59">
        <v>255</v>
      </c>
      <c r="G21" s="76" t="s">
        <v>59</v>
      </c>
      <c r="H21" s="64" t="str">
        <f t="shared" si="2"/>
        <v>2414</v>
      </c>
      <c r="I21" s="59">
        <v>1</v>
      </c>
      <c r="J21" s="61"/>
    </row>
    <row r="22" spans="1:10" s="25" customFormat="1" ht="27" customHeight="1">
      <c r="A22" s="65">
        <f t="shared" si="1"/>
        <v>20</v>
      </c>
      <c r="B22" s="76" t="str">
        <f t="shared" si="0"/>
        <v>reserved_byte20</v>
      </c>
      <c r="C22" s="59">
        <v>255</v>
      </c>
      <c r="D22" s="60">
        <v>255</v>
      </c>
      <c r="E22" s="59">
        <v>0</v>
      </c>
      <c r="F22" s="59">
        <v>255</v>
      </c>
      <c r="G22" s="76" t="s">
        <v>59</v>
      </c>
      <c r="H22" s="64" t="str">
        <f t="shared" si="2"/>
        <v>2415</v>
      </c>
      <c r="I22" s="59">
        <v>1</v>
      </c>
      <c r="J22" s="61"/>
    </row>
    <row r="23" spans="1:10" s="25" customFormat="1" ht="27" customHeight="1">
      <c r="A23" s="65">
        <f t="shared" si="1"/>
        <v>21</v>
      </c>
      <c r="B23" s="76" t="str">
        <f t="shared" si="0"/>
        <v>reserved_byte21</v>
      </c>
      <c r="C23" s="59">
        <v>255</v>
      </c>
      <c r="D23" s="60">
        <v>255</v>
      </c>
      <c r="E23" s="59">
        <v>0</v>
      </c>
      <c r="F23" s="59">
        <v>255</v>
      </c>
      <c r="G23" s="76" t="s">
        <v>59</v>
      </c>
      <c r="H23" s="64" t="str">
        <f t="shared" si="2"/>
        <v>2416</v>
      </c>
      <c r="I23" s="59">
        <v>1</v>
      </c>
      <c r="J23" s="61"/>
    </row>
    <row r="24" spans="1:10" s="25" customFormat="1" ht="27" customHeight="1">
      <c r="A24" s="65">
        <f t="shared" si="1"/>
        <v>22</v>
      </c>
      <c r="B24" s="76" t="str">
        <f t="shared" si="0"/>
        <v>reserved_byte22</v>
      </c>
      <c r="C24" s="59">
        <v>255</v>
      </c>
      <c r="D24" s="60">
        <v>255</v>
      </c>
      <c r="E24" s="59">
        <v>0</v>
      </c>
      <c r="F24" s="59">
        <v>255</v>
      </c>
      <c r="G24" s="76" t="s">
        <v>59</v>
      </c>
      <c r="H24" s="64" t="str">
        <f t="shared" si="2"/>
        <v>2417</v>
      </c>
      <c r="I24" s="59">
        <v>1</v>
      </c>
      <c r="J24" s="61"/>
    </row>
    <row r="25" spans="1:10" s="25" customFormat="1" ht="27" customHeight="1">
      <c r="A25" s="65">
        <f t="shared" si="1"/>
        <v>23</v>
      </c>
      <c r="B25" s="76" t="str">
        <f t="shared" si="0"/>
        <v>reserved_byte23</v>
      </c>
      <c r="C25" s="59">
        <v>255</v>
      </c>
      <c r="D25" s="60">
        <v>255</v>
      </c>
      <c r="E25" s="59">
        <v>0</v>
      </c>
      <c r="F25" s="59">
        <v>255</v>
      </c>
      <c r="G25" s="76" t="s">
        <v>59</v>
      </c>
      <c r="H25" s="64" t="str">
        <f t="shared" si="2"/>
        <v>2418</v>
      </c>
      <c r="I25" s="59">
        <v>1</v>
      </c>
      <c r="J25" s="61"/>
    </row>
    <row r="26" spans="1:10" s="25" customFormat="1" ht="27" customHeight="1">
      <c r="A26" s="65">
        <f t="shared" si="1"/>
        <v>24</v>
      </c>
      <c r="B26" s="76" t="str">
        <f t="shared" si="0"/>
        <v>reserved_byte24</v>
      </c>
      <c r="C26" s="59">
        <v>255</v>
      </c>
      <c r="D26" s="60">
        <v>255</v>
      </c>
      <c r="E26" s="59">
        <v>0</v>
      </c>
      <c r="F26" s="59">
        <v>255</v>
      </c>
      <c r="G26" s="76" t="s">
        <v>59</v>
      </c>
      <c r="H26" s="64" t="str">
        <f t="shared" si="2"/>
        <v>2419</v>
      </c>
      <c r="I26" s="59">
        <v>1</v>
      </c>
      <c r="J26" s="61"/>
    </row>
    <row r="27" spans="1:10" s="25" customFormat="1" ht="27" customHeight="1">
      <c r="A27" s="65">
        <f t="shared" si="1"/>
        <v>25</v>
      </c>
      <c r="B27" s="76" t="str">
        <f t="shared" si="0"/>
        <v>reserved_byte25</v>
      </c>
      <c r="C27" s="59">
        <v>255</v>
      </c>
      <c r="D27" s="60">
        <v>255</v>
      </c>
      <c r="E27" s="59">
        <v>0</v>
      </c>
      <c r="F27" s="59">
        <v>255</v>
      </c>
      <c r="G27" s="76" t="s">
        <v>59</v>
      </c>
      <c r="H27" s="64" t="str">
        <f t="shared" si="2"/>
        <v>241A</v>
      </c>
      <c r="I27" s="59">
        <v>1</v>
      </c>
      <c r="J27" s="61"/>
    </row>
    <row r="28" spans="1:10" s="25" customFormat="1" ht="27" customHeight="1">
      <c r="A28" s="65">
        <f t="shared" si="1"/>
        <v>26</v>
      </c>
      <c r="B28" s="76" t="str">
        <f t="shared" si="0"/>
        <v>reserved_byte26</v>
      </c>
      <c r="C28" s="59">
        <v>255</v>
      </c>
      <c r="D28" s="60">
        <v>255</v>
      </c>
      <c r="E28" s="59">
        <v>0</v>
      </c>
      <c r="F28" s="59">
        <v>255</v>
      </c>
      <c r="G28" s="76" t="s">
        <v>59</v>
      </c>
      <c r="H28" s="64" t="str">
        <f t="shared" si="2"/>
        <v>241B</v>
      </c>
      <c r="I28" s="59">
        <v>1</v>
      </c>
      <c r="J28" s="61"/>
    </row>
    <row r="29" spans="1:10" s="25" customFormat="1" ht="27" customHeight="1">
      <c r="A29" s="65">
        <f t="shared" si="1"/>
        <v>27</v>
      </c>
      <c r="B29" s="76" t="str">
        <f t="shared" si="0"/>
        <v>reserved_byte27</v>
      </c>
      <c r="C29" s="59">
        <v>255</v>
      </c>
      <c r="D29" s="60">
        <v>255</v>
      </c>
      <c r="E29" s="59">
        <v>0</v>
      </c>
      <c r="F29" s="59">
        <v>255</v>
      </c>
      <c r="G29" s="76" t="s">
        <v>59</v>
      </c>
      <c r="H29" s="64" t="str">
        <f t="shared" si="2"/>
        <v>241C</v>
      </c>
      <c r="I29" s="59">
        <v>1</v>
      </c>
      <c r="J29" s="61"/>
    </row>
    <row r="30" spans="1:10" s="25" customFormat="1" ht="27" customHeight="1">
      <c r="A30" s="65">
        <f t="shared" si="1"/>
        <v>28</v>
      </c>
      <c r="B30" s="76" t="str">
        <f t="shared" si="0"/>
        <v>reserved_byte28</v>
      </c>
      <c r="C30" s="59">
        <v>255</v>
      </c>
      <c r="D30" s="60">
        <v>255</v>
      </c>
      <c r="E30" s="59">
        <v>0</v>
      </c>
      <c r="F30" s="59">
        <v>255</v>
      </c>
      <c r="G30" s="76" t="s">
        <v>59</v>
      </c>
      <c r="H30" s="64" t="str">
        <f t="shared" si="2"/>
        <v>241D</v>
      </c>
      <c r="I30" s="59">
        <v>1</v>
      </c>
      <c r="J30" s="61"/>
    </row>
    <row r="31" spans="1:10" s="25" customFormat="1" ht="27" customHeight="1">
      <c r="A31" s="65">
        <f t="shared" si="1"/>
        <v>29</v>
      </c>
      <c r="B31" s="76" t="str">
        <f t="shared" si="0"/>
        <v>reserved_byte29</v>
      </c>
      <c r="C31" s="59">
        <v>255</v>
      </c>
      <c r="D31" s="60">
        <v>255</v>
      </c>
      <c r="E31" s="59">
        <v>0</v>
      </c>
      <c r="F31" s="59">
        <v>255</v>
      </c>
      <c r="G31" s="76" t="s">
        <v>59</v>
      </c>
      <c r="H31" s="64" t="str">
        <f t="shared" si="2"/>
        <v>241E</v>
      </c>
      <c r="I31" s="59">
        <v>1</v>
      </c>
      <c r="J31" s="61"/>
    </row>
    <row r="32" spans="1:10" s="25" customFormat="1" ht="27" customHeight="1">
      <c r="A32" s="65">
        <f t="shared" si="1"/>
        <v>30</v>
      </c>
      <c r="B32" s="76" t="str">
        <f t="shared" si="0"/>
        <v>reserved_byte30</v>
      </c>
      <c r="C32" s="59">
        <v>255</v>
      </c>
      <c r="D32" s="60">
        <v>255</v>
      </c>
      <c r="E32" s="59">
        <v>0</v>
      </c>
      <c r="F32" s="59">
        <v>255</v>
      </c>
      <c r="G32" s="76" t="s">
        <v>59</v>
      </c>
      <c r="H32" s="64" t="str">
        <f t="shared" si="2"/>
        <v>241F</v>
      </c>
      <c r="I32" s="59">
        <v>1</v>
      </c>
      <c r="J32" s="61"/>
    </row>
    <row r="33" spans="1:10" s="25" customFormat="1" ht="27" customHeight="1">
      <c r="A33" s="65">
        <f t="shared" si="1"/>
        <v>31</v>
      </c>
      <c r="B33" s="76" t="str">
        <f t="shared" si="0"/>
        <v>reserved_byte31</v>
      </c>
      <c r="C33" s="59">
        <v>255</v>
      </c>
      <c r="D33" s="60">
        <v>255</v>
      </c>
      <c r="E33" s="59">
        <v>0</v>
      </c>
      <c r="F33" s="59">
        <v>255</v>
      </c>
      <c r="G33" s="76" t="s">
        <v>59</v>
      </c>
      <c r="H33" s="64" t="str">
        <f t="shared" si="2"/>
        <v>2420</v>
      </c>
      <c r="I33" s="59">
        <v>1</v>
      </c>
      <c r="J33" s="61"/>
    </row>
    <row r="34" spans="1:10" s="25" customFormat="1" ht="27" customHeight="1">
      <c r="A34" s="65">
        <f t="shared" si="1"/>
        <v>32</v>
      </c>
      <c r="B34" s="76" t="str">
        <f t="shared" ref="B34:B65" si="3">"reserved_byte" &amp;TEXT(A34,0)</f>
        <v>reserved_byte32</v>
      </c>
      <c r="C34" s="59">
        <v>255</v>
      </c>
      <c r="D34" s="60">
        <v>255</v>
      </c>
      <c r="E34" s="59">
        <v>0</v>
      </c>
      <c r="F34" s="59">
        <v>255</v>
      </c>
      <c r="G34" s="76" t="s">
        <v>59</v>
      </c>
      <c r="H34" s="64" t="str">
        <f t="shared" si="2"/>
        <v>2421</v>
      </c>
      <c r="I34" s="59">
        <v>1</v>
      </c>
      <c r="J34" s="61"/>
    </row>
    <row r="35" spans="1:10" s="25" customFormat="1" ht="27" customHeight="1">
      <c r="A35" s="65">
        <f t="shared" ref="A35:A66" si="4">A34+1</f>
        <v>33</v>
      </c>
      <c r="B35" s="76" t="str">
        <f t="shared" si="3"/>
        <v>reserved_byte33</v>
      </c>
      <c r="C35" s="59">
        <v>255</v>
      </c>
      <c r="D35" s="60">
        <v>255</v>
      </c>
      <c r="E35" s="59">
        <v>0</v>
      </c>
      <c r="F35" s="59">
        <v>255</v>
      </c>
      <c r="G35" s="76" t="s">
        <v>59</v>
      </c>
      <c r="H35" s="64" t="str">
        <f t="shared" ref="H35:H66" si="5">DEC2HEX((HEX2DEC(H34)+1),4)</f>
        <v>2422</v>
      </c>
      <c r="I35" s="59">
        <v>1</v>
      </c>
      <c r="J35" s="61"/>
    </row>
    <row r="36" spans="1:10" s="25" customFormat="1" ht="27" customHeight="1">
      <c r="A36" s="65">
        <f t="shared" si="4"/>
        <v>34</v>
      </c>
      <c r="B36" s="76" t="str">
        <f t="shared" si="3"/>
        <v>reserved_byte34</v>
      </c>
      <c r="C36" s="59">
        <v>255</v>
      </c>
      <c r="D36" s="60">
        <v>255</v>
      </c>
      <c r="E36" s="59">
        <v>0</v>
      </c>
      <c r="F36" s="59">
        <v>255</v>
      </c>
      <c r="G36" s="76" t="s">
        <v>59</v>
      </c>
      <c r="H36" s="64" t="str">
        <f t="shared" si="5"/>
        <v>2423</v>
      </c>
      <c r="I36" s="59">
        <v>1</v>
      </c>
      <c r="J36" s="61"/>
    </row>
    <row r="37" spans="1:10" s="25" customFormat="1" ht="27" customHeight="1">
      <c r="A37" s="65">
        <f t="shared" si="4"/>
        <v>35</v>
      </c>
      <c r="B37" s="76" t="str">
        <f t="shared" si="3"/>
        <v>reserved_byte35</v>
      </c>
      <c r="C37" s="59">
        <v>255</v>
      </c>
      <c r="D37" s="60">
        <v>255</v>
      </c>
      <c r="E37" s="59">
        <v>0</v>
      </c>
      <c r="F37" s="59">
        <v>255</v>
      </c>
      <c r="G37" s="76" t="s">
        <v>59</v>
      </c>
      <c r="H37" s="64" t="str">
        <f t="shared" si="5"/>
        <v>2424</v>
      </c>
      <c r="I37" s="59">
        <v>1</v>
      </c>
      <c r="J37" s="61"/>
    </row>
    <row r="38" spans="1:10" s="25" customFormat="1" ht="27" customHeight="1">
      <c r="A38" s="65">
        <f t="shared" si="4"/>
        <v>36</v>
      </c>
      <c r="B38" s="76" t="str">
        <f t="shared" si="3"/>
        <v>reserved_byte36</v>
      </c>
      <c r="C38" s="59">
        <v>255</v>
      </c>
      <c r="D38" s="60">
        <v>255</v>
      </c>
      <c r="E38" s="59">
        <v>0</v>
      </c>
      <c r="F38" s="59">
        <v>255</v>
      </c>
      <c r="G38" s="76" t="s">
        <v>59</v>
      </c>
      <c r="H38" s="64" t="str">
        <f t="shared" si="5"/>
        <v>2425</v>
      </c>
      <c r="I38" s="59">
        <v>1</v>
      </c>
      <c r="J38" s="61"/>
    </row>
    <row r="39" spans="1:10" s="25" customFormat="1" ht="27" customHeight="1">
      <c r="A39" s="65">
        <f t="shared" si="4"/>
        <v>37</v>
      </c>
      <c r="B39" s="76" t="str">
        <f t="shared" si="3"/>
        <v>reserved_byte37</v>
      </c>
      <c r="C39" s="59">
        <v>255</v>
      </c>
      <c r="D39" s="60">
        <v>255</v>
      </c>
      <c r="E39" s="59">
        <v>0</v>
      </c>
      <c r="F39" s="59">
        <v>255</v>
      </c>
      <c r="G39" s="76" t="s">
        <v>59</v>
      </c>
      <c r="H39" s="64" t="str">
        <f t="shared" si="5"/>
        <v>2426</v>
      </c>
      <c r="I39" s="59">
        <v>1</v>
      </c>
      <c r="J39" s="61"/>
    </row>
    <row r="40" spans="1:10" s="25" customFormat="1" ht="27" customHeight="1">
      <c r="A40" s="65">
        <f t="shared" si="4"/>
        <v>38</v>
      </c>
      <c r="B40" s="76" t="str">
        <f t="shared" si="3"/>
        <v>reserved_byte38</v>
      </c>
      <c r="C40" s="59">
        <v>255</v>
      </c>
      <c r="D40" s="60">
        <v>255</v>
      </c>
      <c r="E40" s="59">
        <v>0</v>
      </c>
      <c r="F40" s="59">
        <v>255</v>
      </c>
      <c r="G40" s="76" t="s">
        <v>59</v>
      </c>
      <c r="H40" s="64" t="str">
        <f t="shared" si="5"/>
        <v>2427</v>
      </c>
      <c r="I40" s="59">
        <v>1</v>
      </c>
      <c r="J40" s="61"/>
    </row>
    <row r="41" spans="1:10" s="25" customFormat="1" ht="27" customHeight="1">
      <c r="A41" s="65">
        <f t="shared" si="4"/>
        <v>39</v>
      </c>
      <c r="B41" s="76" t="str">
        <f t="shared" si="3"/>
        <v>reserved_byte39</v>
      </c>
      <c r="C41" s="59">
        <v>255</v>
      </c>
      <c r="D41" s="60">
        <v>255</v>
      </c>
      <c r="E41" s="59">
        <v>0</v>
      </c>
      <c r="F41" s="59">
        <v>255</v>
      </c>
      <c r="G41" s="76" t="s">
        <v>59</v>
      </c>
      <c r="H41" s="64" t="str">
        <f t="shared" si="5"/>
        <v>2428</v>
      </c>
      <c r="I41" s="59">
        <v>1</v>
      </c>
      <c r="J41" s="61"/>
    </row>
    <row r="42" spans="1:10" s="25" customFormat="1" ht="27" customHeight="1">
      <c r="A42" s="65">
        <f t="shared" si="4"/>
        <v>40</v>
      </c>
      <c r="B42" s="76" t="str">
        <f t="shared" si="3"/>
        <v>reserved_byte40</v>
      </c>
      <c r="C42" s="59">
        <v>255</v>
      </c>
      <c r="D42" s="60">
        <v>255</v>
      </c>
      <c r="E42" s="59">
        <v>0</v>
      </c>
      <c r="F42" s="59">
        <v>255</v>
      </c>
      <c r="G42" s="76" t="s">
        <v>59</v>
      </c>
      <c r="H42" s="64" t="str">
        <f t="shared" si="5"/>
        <v>2429</v>
      </c>
      <c r="I42" s="59">
        <v>1</v>
      </c>
      <c r="J42" s="61"/>
    </row>
    <row r="43" spans="1:10" s="25" customFormat="1" ht="27" customHeight="1">
      <c r="A43" s="65">
        <f t="shared" si="4"/>
        <v>41</v>
      </c>
      <c r="B43" s="76" t="str">
        <f t="shared" si="3"/>
        <v>reserved_byte41</v>
      </c>
      <c r="C43" s="59">
        <v>255</v>
      </c>
      <c r="D43" s="60">
        <v>255</v>
      </c>
      <c r="E43" s="59">
        <v>0</v>
      </c>
      <c r="F43" s="59">
        <v>255</v>
      </c>
      <c r="G43" s="76" t="s">
        <v>59</v>
      </c>
      <c r="H43" s="64" t="str">
        <f t="shared" si="5"/>
        <v>242A</v>
      </c>
      <c r="I43" s="59">
        <v>1</v>
      </c>
      <c r="J43" s="61"/>
    </row>
    <row r="44" spans="1:10" s="25" customFormat="1" ht="27" customHeight="1">
      <c r="A44" s="65">
        <f t="shared" si="4"/>
        <v>42</v>
      </c>
      <c r="B44" s="76" t="str">
        <f t="shared" si="3"/>
        <v>reserved_byte42</v>
      </c>
      <c r="C44" s="59">
        <v>255</v>
      </c>
      <c r="D44" s="60">
        <v>255</v>
      </c>
      <c r="E44" s="59">
        <v>0</v>
      </c>
      <c r="F44" s="59">
        <v>255</v>
      </c>
      <c r="G44" s="76" t="s">
        <v>59</v>
      </c>
      <c r="H44" s="64" t="str">
        <f t="shared" si="5"/>
        <v>242B</v>
      </c>
      <c r="I44" s="59">
        <v>1</v>
      </c>
      <c r="J44" s="61"/>
    </row>
    <row r="45" spans="1:10" s="25" customFormat="1" ht="27" customHeight="1">
      <c r="A45" s="65">
        <f t="shared" si="4"/>
        <v>43</v>
      </c>
      <c r="B45" s="76" t="str">
        <f t="shared" si="3"/>
        <v>reserved_byte43</v>
      </c>
      <c r="C45" s="59">
        <v>255</v>
      </c>
      <c r="D45" s="60">
        <v>255</v>
      </c>
      <c r="E45" s="59">
        <v>0</v>
      </c>
      <c r="F45" s="59">
        <v>255</v>
      </c>
      <c r="G45" s="76" t="s">
        <v>59</v>
      </c>
      <c r="H45" s="64" t="str">
        <f t="shared" si="5"/>
        <v>242C</v>
      </c>
      <c r="I45" s="59">
        <v>1</v>
      </c>
      <c r="J45" s="61"/>
    </row>
    <row r="46" spans="1:10" s="25" customFormat="1" ht="27" customHeight="1">
      <c r="A46" s="65">
        <f t="shared" si="4"/>
        <v>44</v>
      </c>
      <c r="B46" s="76" t="str">
        <f t="shared" si="3"/>
        <v>reserved_byte44</v>
      </c>
      <c r="C46" s="59">
        <v>255</v>
      </c>
      <c r="D46" s="60">
        <v>255</v>
      </c>
      <c r="E46" s="59">
        <v>0</v>
      </c>
      <c r="F46" s="59">
        <v>255</v>
      </c>
      <c r="G46" s="76" t="s">
        <v>59</v>
      </c>
      <c r="H46" s="64" t="str">
        <f t="shared" si="5"/>
        <v>242D</v>
      </c>
      <c r="I46" s="59">
        <v>1</v>
      </c>
      <c r="J46" s="61"/>
    </row>
    <row r="47" spans="1:10" s="25" customFormat="1" ht="27" customHeight="1">
      <c r="A47" s="65">
        <f t="shared" si="4"/>
        <v>45</v>
      </c>
      <c r="B47" s="76" t="str">
        <f t="shared" si="3"/>
        <v>reserved_byte45</v>
      </c>
      <c r="C47" s="59">
        <v>255</v>
      </c>
      <c r="D47" s="60">
        <v>255</v>
      </c>
      <c r="E47" s="59">
        <v>0</v>
      </c>
      <c r="F47" s="59">
        <v>255</v>
      </c>
      <c r="G47" s="76" t="s">
        <v>59</v>
      </c>
      <c r="H47" s="64" t="str">
        <f t="shared" si="5"/>
        <v>242E</v>
      </c>
      <c r="I47" s="59">
        <v>1</v>
      </c>
      <c r="J47" s="61"/>
    </row>
    <row r="48" spans="1:10" s="25" customFormat="1" ht="27" customHeight="1">
      <c r="A48" s="65">
        <f t="shared" si="4"/>
        <v>46</v>
      </c>
      <c r="B48" s="76" t="str">
        <f t="shared" si="3"/>
        <v>reserved_byte46</v>
      </c>
      <c r="C48" s="59">
        <v>255</v>
      </c>
      <c r="D48" s="60">
        <v>255</v>
      </c>
      <c r="E48" s="59">
        <v>0</v>
      </c>
      <c r="F48" s="59">
        <v>255</v>
      </c>
      <c r="G48" s="76" t="s">
        <v>59</v>
      </c>
      <c r="H48" s="64" t="str">
        <f t="shared" si="5"/>
        <v>242F</v>
      </c>
      <c r="I48" s="59">
        <v>1</v>
      </c>
      <c r="J48" s="61"/>
    </row>
    <row r="49" spans="1:10" s="25" customFormat="1" ht="27" customHeight="1">
      <c r="A49" s="65">
        <f t="shared" si="4"/>
        <v>47</v>
      </c>
      <c r="B49" s="76" t="str">
        <f t="shared" si="3"/>
        <v>reserved_byte47</v>
      </c>
      <c r="C49" s="59">
        <v>255</v>
      </c>
      <c r="D49" s="60">
        <v>255</v>
      </c>
      <c r="E49" s="59">
        <v>0</v>
      </c>
      <c r="F49" s="59">
        <v>255</v>
      </c>
      <c r="G49" s="76" t="s">
        <v>59</v>
      </c>
      <c r="H49" s="64" t="str">
        <f t="shared" si="5"/>
        <v>2430</v>
      </c>
      <c r="I49" s="59">
        <v>1</v>
      </c>
      <c r="J49" s="61"/>
    </row>
    <row r="50" spans="1:10" s="25" customFormat="1" ht="27" customHeight="1">
      <c r="A50" s="65">
        <f t="shared" si="4"/>
        <v>48</v>
      </c>
      <c r="B50" s="76" t="str">
        <f t="shared" si="3"/>
        <v>reserved_byte48</v>
      </c>
      <c r="C50" s="59">
        <v>255</v>
      </c>
      <c r="D50" s="60">
        <v>255</v>
      </c>
      <c r="E50" s="59">
        <v>0</v>
      </c>
      <c r="F50" s="59">
        <v>255</v>
      </c>
      <c r="G50" s="76" t="s">
        <v>59</v>
      </c>
      <c r="H50" s="64" t="str">
        <f t="shared" si="5"/>
        <v>2431</v>
      </c>
      <c r="I50" s="59">
        <v>1</v>
      </c>
      <c r="J50" s="61"/>
    </row>
    <row r="51" spans="1:10" s="25" customFormat="1" ht="27" customHeight="1">
      <c r="A51" s="65">
        <f t="shared" si="4"/>
        <v>49</v>
      </c>
      <c r="B51" s="76" t="str">
        <f t="shared" si="3"/>
        <v>reserved_byte49</v>
      </c>
      <c r="C51" s="59">
        <v>255</v>
      </c>
      <c r="D51" s="60">
        <v>255</v>
      </c>
      <c r="E51" s="59">
        <v>0</v>
      </c>
      <c r="F51" s="59">
        <v>255</v>
      </c>
      <c r="G51" s="76" t="s">
        <v>59</v>
      </c>
      <c r="H51" s="64" t="str">
        <f t="shared" si="5"/>
        <v>2432</v>
      </c>
      <c r="I51" s="59">
        <v>1</v>
      </c>
      <c r="J51" s="61"/>
    </row>
    <row r="52" spans="1:10" s="25" customFormat="1" ht="27" customHeight="1">
      <c r="A52" s="65">
        <f t="shared" si="4"/>
        <v>50</v>
      </c>
      <c r="B52" s="76" t="str">
        <f t="shared" si="3"/>
        <v>reserved_byte50</v>
      </c>
      <c r="C52" s="59">
        <v>255</v>
      </c>
      <c r="D52" s="60">
        <v>255</v>
      </c>
      <c r="E52" s="59">
        <v>0</v>
      </c>
      <c r="F52" s="59">
        <v>255</v>
      </c>
      <c r="G52" s="76" t="s">
        <v>59</v>
      </c>
      <c r="H52" s="64" t="str">
        <f t="shared" si="5"/>
        <v>2433</v>
      </c>
      <c r="I52" s="59">
        <v>1</v>
      </c>
      <c r="J52" s="61"/>
    </row>
    <row r="53" spans="1:10" s="25" customFormat="1" ht="27" customHeight="1">
      <c r="A53" s="65">
        <f t="shared" si="4"/>
        <v>51</v>
      </c>
      <c r="B53" s="76" t="str">
        <f t="shared" si="3"/>
        <v>reserved_byte51</v>
      </c>
      <c r="C53" s="59">
        <v>255</v>
      </c>
      <c r="D53" s="60">
        <v>255</v>
      </c>
      <c r="E53" s="59">
        <v>0</v>
      </c>
      <c r="F53" s="59">
        <v>255</v>
      </c>
      <c r="G53" s="76" t="s">
        <v>59</v>
      </c>
      <c r="H53" s="64" t="str">
        <f t="shared" si="5"/>
        <v>2434</v>
      </c>
      <c r="I53" s="59">
        <v>1</v>
      </c>
      <c r="J53" s="61"/>
    </row>
    <row r="54" spans="1:10" s="25" customFormat="1" ht="27" customHeight="1">
      <c r="A54" s="65">
        <f t="shared" si="4"/>
        <v>52</v>
      </c>
      <c r="B54" s="76" t="str">
        <f t="shared" si="3"/>
        <v>reserved_byte52</v>
      </c>
      <c r="C54" s="59">
        <v>255</v>
      </c>
      <c r="D54" s="60">
        <v>255</v>
      </c>
      <c r="E54" s="59">
        <v>0</v>
      </c>
      <c r="F54" s="59">
        <v>255</v>
      </c>
      <c r="G54" s="76" t="s">
        <v>59</v>
      </c>
      <c r="H54" s="64" t="str">
        <f t="shared" si="5"/>
        <v>2435</v>
      </c>
      <c r="I54" s="59">
        <v>1</v>
      </c>
      <c r="J54" s="61"/>
    </row>
    <row r="55" spans="1:10" s="25" customFormat="1" ht="27" customHeight="1">
      <c r="A55" s="65">
        <f t="shared" si="4"/>
        <v>53</v>
      </c>
      <c r="B55" s="76" t="str">
        <f t="shared" si="3"/>
        <v>reserved_byte53</v>
      </c>
      <c r="C55" s="59">
        <v>255</v>
      </c>
      <c r="D55" s="60">
        <v>255</v>
      </c>
      <c r="E55" s="59">
        <v>0</v>
      </c>
      <c r="F55" s="59">
        <v>255</v>
      </c>
      <c r="G55" s="76" t="s">
        <v>59</v>
      </c>
      <c r="H55" s="64" t="str">
        <f t="shared" si="5"/>
        <v>2436</v>
      </c>
      <c r="I55" s="59">
        <v>1</v>
      </c>
      <c r="J55" s="61"/>
    </row>
    <row r="56" spans="1:10" s="25" customFormat="1" ht="27" customHeight="1">
      <c r="A56" s="65">
        <f t="shared" si="4"/>
        <v>54</v>
      </c>
      <c r="B56" s="76" t="str">
        <f t="shared" si="3"/>
        <v>reserved_byte54</v>
      </c>
      <c r="C56" s="59">
        <v>255</v>
      </c>
      <c r="D56" s="60">
        <v>255</v>
      </c>
      <c r="E56" s="59">
        <v>0</v>
      </c>
      <c r="F56" s="59">
        <v>255</v>
      </c>
      <c r="G56" s="76" t="s">
        <v>59</v>
      </c>
      <c r="H56" s="64" t="str">
        <f t="shared" si="5"/>
        <v>2437</v>
      </c>
      <c r="I56" s="59">
        <v>1</v>
      </c>
      <c r="J56" s="61"/>
    </row>
    <row r="57" spans="1:10" s="25" customFormat="1" ht="27" customHeight="1">
      <c r="A57" s="65">
        <f t="shared" si="4"/>
        <v>55</v>
      </c>
      <c r="B57" s="76" t="str">
        <f t="shared" si="3"/>
        <v>reserved_byte55</v>
      </c>
      <c r="C57" s="59">
        <v>255</v>
      </c>
      <c r="D57" s="60">
        <v>255</v>
      </c>
      <c r="E57" s="59">
        <v>0</v>
      </c>
      <c r="F57" s="59">
        <v>255</v>
      </c>
      <c r="G57" s="76" t="s">
        <v>59</v>
      </c>
      <c r="H57" s="64" t="str">
        <f t="shared" si="5"/>
        <v>2438</v>
      </c>
      <c r="I57" s="59">
        <v>1</v>
      </c>
      <c r="J57" s="61"/>
    </row>
    <row r="58" spans="1:10" s="25" customFormat="1" ht="27" customHeight="1">
      <c r="A58" s="65">
        <f t="shared" si="4"/>
        <v>56</v>
      </c>
      <c r="B58" s="76" t="str">
        <f t="shared" si="3"/>
        <v>reserved_byte56</v>
      </c>
      <c r="C58" s="59">
        <v>255</v>
      </c>
      <c r="D58" s="60">
        <v>255</v>
      </c>
      <c r="E58" s="59">
        <v>0</v>
      </c>
      <c r="F58" s="59">
        <v>255</v>
      </c>
      <c r="G58" s="76" t="s">
        <v>59</v>
      </c>
      <c r="H58" s="64" t="str">
        <f t="shared" si="5"/>
        <v>2439</v>
      </c>
      <c r="I58" s="59">
        <v>1</v>
      </c>
      <c r="J58" s="61"/>
    </row>
    <row r="59" spans="1:10" s="25" customFormat="1" ht="27" customHeight="1">
      <c r="A59" s="65">
        <f t="shared" si="4"/>
        <v>57</v>
      </c>
      <c r="B59" s="76" t="str">
        <f t="shared" si="3"/>
        <v>reserved_byte57</v>
      </c>
      <c r="C59" s="59">
        <v>255</v>
      </c>
      <c r="D59" s="60">
        <v>255</v>
      </c>
      <c r="E59" s="59">
        <v>0</v>
      </c>
      <c r="F59" s="59">
        <v>255</v>
      </c>
      <c r="G59" s="76" t="s">
        <v>59</v>
      </c>
      <c r="H59" s="64" t="str">
        <f t="shared" si="5"/>
        <v>243A</v>
      </c>
      <c r="I59" s="59">
        <v>1</v>
      </c>
      <c r="J59" s="61"/>
    </row>
    <row r="60" spans="1:10" s="25" customFormat="1" ht="27" customHeight="1">
      <c r="A60" s="65">
        <f t="shared" si="4"/>
        <v>58</v>
      </c>
      <c r="B60" s="76" t="str">
        <f t="shared" si="3"/>
        <v>reserved_byte58</v>
      </c>
      <c r="C60" s="59">
        <v>255</v>
      </c>
      <c r="D60" s="60">
        <v>255</v>
      </c>
      <c r="E60" s="59">
        <v>0</v>
      </c>
      <c r="F60" s="59">
        <v>255</v>
      </c>
      <c r="G60" s="76" t="s">
        <v>59</v>
      </c>
      <c r="H60" s="64" t="str">
        <f t="shared" si="5"/>
        <v>243B</v>
      </c>
      <c r="I60" s="59">
        <v>1</v>
      </c>
      <c r="J60" s="61"/>
    </row>
    <row r="61" spans="1:10" s="25" customFormat="1" ht="27" customHeight="1">
      <c r="A61" s="65">
        <f t="shared" si="4"/>
        <v>59</v>
      </c>
      <c r="B61" s="76" t="str">
        <f t="shared" si="3"/>
        <v>reserved_byte59</v>
      </c>
      <c r="C61" s="59">
        <v>255</v>
      </c>
      <c r="D61" s="60">
        <v>255</v>
      </c>
      <c r="E61" s="59">
        <v>0</v>
      </c>
      <c r="F61" s="59">
        <v>255</v>
      </c>
      <c r="G61" s="76" t="s">
        <v>59</v>
      </c>
      <c r="H61" s="64" t="str">
        <f t="shared" si="5"/>
        <v>243C</v>
      </c>
      <c r="I61" s="59">
        <v>1</v>
      </c>
      <c r="J61" s="61"/>
    </row>
    <row r="62" spans="1:10" s="25" customFormat="1" ht="27" customHeight="1">
      <c r="A62" s="65">
        <f t="shared" si="4"/>
        <v>60</v>
      </c>
      <c r="B62" s="76" t="str">
        <f t="shared" si="3"/>
        <v>reserved_byte60</v>
      </c>
      <c r="C62" s="59">
        <v>255</v>
      </c>
      <c r="D62" s="60">
        <v>255</v>
      </c>
      <c r="E62" s="59">
        <v>0</v>
      </c>
      <c r="F62" s="59">
        <v>255</v>
      </c>
      <c r="G62" s="76" t="s">
        <v>59</v>
      </c>
      <c r="H62" s="64" t="str">
        <f t="shared" si="5"/>
        <v>243D</v>
      </c>
      <c r="I62" s="59">
        <v>1</v>
      </c>
      <c r="J62" s="61"/>
    </row>
    <row r="63" spans="1:10" s="25" customFormat="1" ht="27" customHeight="1">
      <c r="A63" s="65">
        <f t="shared" si="4"/>
        <v>61</v>
      </c>
      <c r="B63" s="76" t="str">
        <f t="shared" si="3"/>
        <v>reserved_byte61</v>
      </c>
      <c r="C63" s="59">
        <v>255</v>
      </c>
      <c r="D63" s="60">
        <v>255</v>
      </c>
      <c r="E63" s="59">
        <v>0</v>
      </c>
      <c r="F63" s="59">
        <v>255</v>
      </c>
      <c r="G63" s="76" t="s">
        <v>59</v>
      </c>
      <c r="H63" s="64" t="str">
        <f t="shared" si="5"/>
        <v>243E</v>
      </c>
      <c r="I63" s="59">
        <v>1</v>
      </c>
      <c r="J63" s="61"/>
    </row>
    <row r="64" spans="1:10" s="25" customFormat="1" ht="27" customHeight="1">
      <c r="A64" s="65">
        <f t="shared" si="4"/>
        <v>62</v>
      </c>
      <c r="B64" s="76" t="str">
        <f t="shared" si="3"/>
        <v>reserved_byte62</v>
      </c>
      <c r="C64" s="59">
        <v>255</v>
      </c>
      <c r="D64" s="60">
        <v>255</v>
      </c>
      <c r="E64" s="59">
        <v>0</v>
      </c>
      <c r="F64" s="59">
        <v>255</v>
      </c>
      <c r="G64" s="76" t="s">
        <v>59</v>
      </c>
      <c r="H64" s="64" t="str">
        <f t="shared" si="5"/>
        <v>243F</v>
      </c>
      <c r="I64" s="59">
        <v>1</v>
      </c>
      <c r="J64" s="61"/>
    </row>
    <row r="65" spans="1:10" s="25" customFormat="1" ht="27" customHeight="1">
      <c r="A65" s="65">
        <f t="shared" si="4"/>
        <v>63</v>
      </c>
      <c r="B65" s="76" t="str">
        <f t="shared" si="3"/>
        <v>reserved_byte63</v>
      </c>
      <c r="C65" s="59">
        <v>255</v>
      </c>
      <c r="D65" s="60">
        <v>255</v>
      </c>
      <c r="E65" s="59">
        <v>0</v>
      </c>
      <c r="F65" s="59">
        <v>255</v>
      </c>
      <c r="G65" s="76" t="s">
        <v>59</v>
      </c>
      <c r="H65" s="64" t="str">
        <f t="shared" si="5"/>
        <v>2440</v>
      </c>
      <c r="I65" s="59">
        <v>1</v>
      </c>
      <c r="J65" s="61"/>
    </row>
    <row r="66" spans="1:10" s="25" customFormat="1" ht="27" customHeight="1">
      <c r="A66" s="65">
        <f t="shared" si="4"/>
        <v>64</v>
      </c>
      <c r="B66" s="76" t="str">
        <f t="shared" ref="B66:B97" si="6">"reserved_byte" &amp;TEXT(A66,0)</f>
        <v>reserved_byte64</v>
      </c>
      <c r="C66" s="59">
        <v>255</v>
      </c>
      <c r="D66" s="60">
        <v>255</v>
      </c>
      <c r="E66" s="59">
        <v>0</v>
      </c>
      <c r="F66" s="59">
        <v>255</v>
      </c>
      <c r="G66" s="76" t="s">
        <v>59</v>
      </c>
      <c r="H66" s="64" t="str">
        <f t="shared" si="5"/>
        <v>2441</v>
      </c>
      <c r="I66" s="59">
        <v>1</v>
      </c>
      <c r="J66" s="61"/>
    </row>
    <row r="67" spans="1:10" s="25" customFormat="1" ht="27" customHeight="1">
      <c r="A67" s="65">
        <f t="shared" ref="A67:A98" si="7">A66+1</f>
        <v>65</v>
      </c>
      <c r="B67" s="76" t="str">
        <f t="shared" si="6"/>
        <v>reserved_byte65</v>
      </c>
      <c r="C67" s="59">
        <v>255</v>
      </c>
      <c r="D67" s="60">
        <v>255</v>
      </c>
      <c r="E67" s="59">
        <v>0</v>
      </c>
      <c r="F67" s="59">
        <v>255</v>
      </c>
      <c r="G67" s="76" t="s">
        <v>59</v>
      </c>
      <c r="H67" s="64" t="str">
        <f t="shared" ref="H67:H98" si="8">DEC2HEX((HEX2DEC(H66)+1),4)</f>
        <v>2442</v>
      </c>
      <c r="I67" s="59">
        <v>1</v>
      </c>
      <c r="J67" s="61"/>
    </row>
    <row r="68" spans="1:10" s="25" customFormat="1" ht="27" customHeight="1">
      <c r="A68" s="65">
        <f t="shared" si="7"/>
        <v>66</v>
      </c>
      <c r="B68" s="76" t="str">
        <f t="shared" si="6"/>
        <v>reserved_byte66</v>
      </c>
      <c r="C68" s="59">
        <v>255</v>
      </c>
      <c r="D68" s="60">
        <v>255</v>
      </c>
      <c r="E68" s="59">
        <v>0</v>
      </c>
      <c r="F68" s="59">
        <v>255</v>
      </c>
      <c r="G68" s="76" t="s">
        <v>59</v>
      </c>
      <c r="H68" s="64" t="str">
        <f t="shared" si="8"/>
        <v>2443</v>
      </c>
      <c r="I68" s="59">
        <v>1</v>
      </c>
      <c r="J68" s="61"/>
    </row>
    <row r="69" spans="1:10" s="25" customFormat="1" ht="27" customHeight="1">
      <c r="A69" s="65">
        <f t="shared" si="7"/>
        <v>67</v>
      </c>
      <c r="B69" s="76" t="str">
        <f t="shared" si="6"/>
        <v>reserved_byte67</v>
      </c>
      <c r="C69" s="59">
        <v>255</v>
      </c>
      <c r="D69" s="60">
        <v>255</v>
      </c>
      <c r="E69" s="59">
        <v>0</v>
      </c>
      <c r="F69" s="59">
        <v>255</v>
      </c>
      <c r="G69" s="76" t="s">
        <v>59</v>
      </c>
      <c r="H69" s="64" t="str">
        <f t="shared" si="8"/>
        <v>2444</v>
      </c>
      <c r="I69" s="59">
        <v>1</v>
      </c>
      <c r="J69" s="61"/>
    </row>
    <row r="70" spans="1:10" s="25" customFormat="1" ht="27" customHeight="1">
      <c r="A70" s="65">
        <f t="shared" si="7"/>
        <v>68</v>
      </c>
      <c r="B70" s="76" t="str">
        <f t="shared" si="6"/>
        <v>reserved_byte68</v>
      </c>
      <c r="C70" s="59">
        <v>255</v>
      </c>
      <c r="D70" s="60">
        <v>255</v>
      </c>
      <c r="E70" s="59">
        <v>0</v>
      </c>
      <c r="F70" s="59">
        <v>255</v>
      </c>
      <c r="G70" s="76" t="s">
        <v>59</v>
      </c>
      <c r="H70" s="64" t="str">
        <f t="shared" si="8"/>
        <v>2445</v>
      </c>
      <c r="I70" s="59">
        <v>1</v>
      </c>
      <c r="J70" s="61"/>
    </row>
    <row r="71" spans="1:10" s="25" customFormat="1" ht="27" customHeight="1">
      <c r="A71" s="65">
        <f t="shared" si="7"/>
        <v>69</v>
      </c>
      <c r="B71" s="76" t="str">
        <f t="shared" si="6"/>
        <v>reserved_byte69</v>
      </c>
      <c r="C71" s="59">
        <v>255</v>
      </c>
      <c r="D71" s="60">
        <v>255</v>
      </c>
      <c r="E71" s="59">
        <v>0</v>
      </c>
      <c r="F71" s="59">
        <v>255</v>
      </c>
      <c r="G71" s="76" t="s">
        <v>59</v>
      </c>
      <c r="H71" s="64" t="str">
        <f t="shared" si="8"/>
        <v>2446</v>
      </c>
      <c r="I71" s="59">
        <v>1</v>
      </c>
      <c r="J71" s="61"/>
    </row>
    <row r="72" spans="1:10" s="25" customFormat="1" ht="27" customHeight="1">
      <c r="A72" s="65">
        <f t="shared" si="7"/>
        <v>70</v>
      </c>
      <c r="B72" s="76" t="str">
        <f t="shared" si="6"/>
        <v>reserved_byte70</v>
      </c>
      <c r="C72" s="59">
        <v>255</v>
      </c>
      <c r="D72" s="60">
        <v>255</v>
      </c>
      <c r="E72" s="59">
        <v>0</v>
      </c>
      <c r="F72" s="59">
        <v>255</v>
      </c>
      <c r="G72" s="76" t="s">
        <v>59</v>
      </c>
      <c r="H72" s="64" t="str">
        <f t="shared" si="8"/>
        <v>2447</v>
      </c>
      <c r="I72" s="59">
        <v>1</v>
      </c>
      <c r="J72" s="61"/>
    </row>
    <row r="73" spans="1:10" s="25" customFormat="1" ht="27" customHeight="1">
      <c r="A73" s="65">
        <f t="shared" si="7"/>
        <v>71</v>
      </c>
      <c r="B73" s="76" t="str">
        <f t="shared" si="6"/>
        <v>reserved_byte71</v>
      </c>
      <c r="C73" s="59">
        <v>255</v>
      </c>
      <c r="D73" s="60">
        <v>255</v>
      </c>
      <c r="E73" s="59">
        <v>0</v>
      </c>
      <c r="F73" s="59">
        <v>255</v>
      </c>
      <c r="G73" s="76" t="s">
        <v>59</v>
      </c>
      <c r="H73" s="64" t="str">
        <f t="shared" si="8"/>
        <v>2448</v>
      </c>
      <c r="I73" s="59">
        <v>1</v>
      </c>
      <c r="J73" s="61"/>
    </row>
    <row r="74" spans="1:10" s="25" customFormat="1" ht="27" customHeight="1">
      <c r="A74" s="65">
        <f t="shared" si="7"/>
        <v>72</v>
      </c>
      <c r="B74" s="76" t="str">
        <f t="shared" si="6"/>
        <v>reserved_byte72</v>
      </c>
      <c r="C74" s="59">
        <v>255</v>
      </c>
      <c r="D74" s="60">
        <v>255</v>
      </c>
      <c r="E74" s="59">
        <v>0</v>
      </c>
      <c r="F74" s="59">
        <v>255</v>
      </c>
      <c r="G74" s="76" t="s">
        <v>59</v>
      </c>
      <c r="H74" s="64" t="str">
        <f t="shared" si="8"/>
        <v>2449</v>
      </c>
      <c r="I74" s="59">
        <v>1</v>
      </c>
      <c r="J74" s="61"/>
    </row>
    <row r="75" spans="1:10" s="25" customFormat="1" ht="27" customHeight="1">
      <c r="A75" s="65">
        <f t="shared" si="7"/>
        <v>73</v>
      </c>
      <c r="B75" s="76" t="str">
        <f t="shared" si="6"/>
        <v>reserved_byte73</v>
      </c>
      <c r="C75" s="59">
        <v>255</v>
      </c>
      <c r="D75" s="60">
        <v>255</v>
      </c>
      <c r="E75" s="59">
        <v>0</v>
      </c>
      <c r="F75" s="59">
        <v>255</v>
      </c>
      <c r="G75" s="76" t="s">
        <v>59</v>
      </c>
      <c r="H75" s="64" t="str">
        <f t="shared" si="8"/>
        <v>244A</v>
      </c>
      <c r="I75" s="59">
        <v>1</v>
      </c>
      <c r="J75" s="61"/>
    </row>
    <row r="76" spans="1:10" s="25" customFormat="1" ht="27" customHeight="1">
      <c r="A76" s="65">
        <f t="shared" si="7"/>
        <v>74</v>
      </c>
      <c r="B76" s="76" t="str">
        <f t="shared" si="6"/>
        <v>reserved_byte74</v>
      </c>
      <c r="C76" s="59">
        <v>255</v>
      </c>
      <c r="D76" s="60">
        <v>255</v>
      </c>
      <c r="E76" s="59">
        <v>0</v>
      </c>
      <c r="F76" s="59">
        <v>255</v>
      </c>
      <c r="G76" s="76" t="s">
        <v>59</v>
      </c>
      <c r="H76" s="64" t="str">
        <f t="shared" si="8"/>
        <v>244B</v>
      </c>
      <c r="I76" s="59">
        <v>1</v>
      </c>
      <c r="J76" s="61"/>
    </row>
    <row r="77" spans="1:10" s="25" customFormat="1" ht="27" customHeight="1">
      <c r="A77" s="65">
        <f t="shared" si="7"/>
        <v>75</v>
      </c>
      <c r="B77" s="76" t="str">
        <f t="shared" si="6"/>
        <v>reserved_byte75</v>
      </c>
      <c r="C77" s="59">
        <v>255</v>
      </c>
      <c r="D77" s="60">
        <v>255</v>
      </c>
      <c r="E77" s="59">
        <v>0</v>
      </c>
      <c r="F77" s="59">
        <v>255</v>
      </c>
      <c r="G77" s="76" t="s">
        <v>59</v>
      </c>
      <c r="H77" s="64" t="str">
        <f t="shared" si="8"/>
        <v>244C</v>
      </c>
      <c r="I77" s="59">
        <v>1</v>
      </c>
      <c r="J77" s="61"/>
    </row>
    <row r="78" spans="1:10" s="25" customFormat="1" ht="27" customHeight="1">
      <c r="A78" s="65">
        <f t="shared" si="7"/>
        <v>76</v>
      </c>
      <c r="B78" s="76" t="str">
        <f t="shared" si="6"/>
        <v>reserved_byte76</v>
      </c>
      <c r="C78" s="59">
        <v>255</v>
      </c>
      <c r="D78" s="60">
        <v>255</v>
      </c>
      <c r="E78" s="59">
        <v>0</v>
      </c>
      <c r="F78" s="59">
        <v>255</v>
      </c>
      <c r="G78" s="76" t="s">
        <v>59</v>
      </c>
      <c r="H78" s="64" t="str">
        <f t="shared" si="8"/>
        <v>244D</v>
      </c>
      <c r="I78" s="59">
        <v>1</v>
      </c>
      <c r="J78" s="61"/>
    </row>
    <row r="79" spans="1:10" s="25" customFormat="1" ht="27" customHeight="1">
      <c r="A79" s="65">
        <f t="shared" si="7"/>
        <v>77</v>
      </c>
      <c r="B79" s="76" t="str">
        <f t="shared" si="6"/>
        <v>reserved_byte77</v>
      </c>
      <c r="C79" s="59">
        <v>255</v>
      </c>
      <c r="D79" s="60">
        <v>255</v>
      </c>
      <c r="E79" s="59">
        <v>0</v>
      </c>
      <c r="F79" s="59">
        <v>255</v>
      </c>
      <c r="G79" s="76" t="s">
        <v>59</v>
      </c>
      <c r="H79" s="64" t="str">
        <f t="shared" si="8"/>
        <v>244E</v>
      </c>
      <c r="I79" s="59">
        <v>1</v>
      </c>
      <c r="J79" s="61"/>
    </row>
    <row r="80" spans="1:10" s="25" customFormat="1" ht="27" customHeight="1">
      <c r="A80" s="65">
        <f t="shared" si="7"/>
        <v>78</v>
      </c>
      <c r="B80" s="76" t="str">
        <f t="shared" si="6"/>
        <v>reserved_byte78</v>
      </c>
      <c r="C80" s="59">
        <v>255</v>
      </c>
      <c r="D80" s="60">
        <v>255</v>
      </c>
      <c r="E80" s="59">
        <v>0</v>
      </c>
      <c r="F80" s="59">
        <v>255</v>
      </c>
      <c r="G80" s="76" t="s">
        <v>59</v>
      </c>
      <c r="H80" s="64" t="str">
        <f t="shared" si="8"/>
        <v>244F</v>
      </c>
      <c r="I80" s="59">
        <v>1</v>
      </c>
      <c r="J80" s="61"/>
    </row>
    <row r="81" spans="1:10" s="25" customFormat="1" ht="27" customHeight="1">
      <c r="A81" s="65">
        <f t="shared" si="7"/>
        <v>79</v>
      </c>
      <c r="B81" s="76" t="str">
        <f t="shared" si="6"/>
        <v>reserved_byte79</v>
      </c>
      <c r="C81" s="59">
        <v>255</v>
      </c>
      <c r="D81" s="60">
        <v>255</v>
      </c>
      <c r="E81" s="59">
        <v>0</v>
      </c>
      <c r="F81" s="59">
        <v>255</v>
      </c>
      <c r="G81" s="76" t="s">
        <v>59</v>
      </c>
      <c r="H81" s="64" t="str">
        <f t="shared" si="8"/>
        <v>2450</v>
      </c>
      <c r="I81" s="59">
        <v>1</v>
      </c>
      <c r="J81" s="61"/>
    </row>
    <row r="82" spans="1:10" s="25" customFormat="1" ht="27" customHeight="1">
      <c r="A82" s="65">
        <f t="shared" si="7"/>
        <v>80</v>
      </c>
      <c r="B82" s="76" t="str">
        <f t="shared" si="6"/>
        <v>reserved_byte80</v>
      </c>
      <c r="C82" s="59">
        <v>255</v>
      </c>
      <c r="D82" s="60">
        <v>255</v>
      </c>
      <c r="E82" s="59">
        <v>0</v>
      </c>
      <c r="F82" s="59">
        <v>255</v>
      </c>
      <c r="G82" s="76" t="s">
        <v>59</v>
      </c>
      <c r="H82" s="64" t="str">
        <f t="shared" si="8"/>
        <v>2451</v>
      </c>
      <c r="I82" s="59">
        <v>1</v>
      </c>
      <c r="J82" s="61"/>
    </row>
    <row r="83" spans="1:10" s="25" customFormat="1" ht="27" customHeight="1">
      <c r="A83" s="65">
        <f t="shared" si="7"/>
        <v>81</v>
      </c>
      <c r="B83" s="76" t="str">
        <f t="shared" si="6"/>
        <v>reserved_byte81</v>
      </c>
      <c r="C83" s="59">
        <v>255</v>
      </c>
      <c r="D83" s="60">
        <v>255</v>
      </c>
      <c r="E83" s="59">
        <v>0</v>
      </c>
      <c r="F83" s="59">
        <v>255</v>
      </c>
      <c r="G83" s="76" t="s">
        <v>59</v>
      </c>
      <c r="H83" s="64" t="str">
        <f t="shared" si="8"/>
        <v>2452</v>
      </c>
      <c r="I83" s="59">
        <v>1</v>
      </c>
      <c r="J83" s="61"/>
    </row>
    <row r="84" spans="1:10" s="25" customFormat="1" ht="27" customHeight="1">
      <c r="A84" s="65">
        <f t="shared" si="7"/>
        <v>82</v>
      </c>
      <c r="B84" s="76" t="str">
        <f t="shared" si="6"/>
        <v>reserved_byte82</v>
      </c>
      <c r="C84" s="59">
        <v>255</v>
      </c>
      <c r="D84" s="60">
        <v>255</v>
      </c>
      <c r="E84" s="59">
        <v>0</v>
      </c>
      <c r="F84" s="59">
        <v>255</v>
      </c>
      <c r="G84" s="76" t="s">
        <v>59</v>
      </c>
      <c r="H84" s="64" t="str">
        <f t="shared" si="8"/>
        <v>2453</v>
      </c>
      <c r="I84" s="59">
        <v>1</v>
      </c>
      <c r="J84" s="61"/>
    </row>
    <row r="85" spans="1:10" s="25" customFormat="1" ht="27" customHeight="1">
      <c r="A85" s="65">
        <f t="shared" si="7"/>
        <v>83</v>
      </c>
      <c r="B85" s="76" t="str">
        <f t="shared" si="6"/>
        <v>reserved_byte83</v>
      </c>
      <c r="C85" s="59">
        <v>255</v>
      </c>
      <c r="D85" s="60">
        <v>255</v>
      </c>
      <c r="E85" s="59">
        <v>0</v>
      </c>
      <c r="F85" s="59">
        <v>255</v>
      </c>
      <c r="G85" s="76" t="s">
        <v>59</v>
      </c>
      <c r="H85" s="64" t="str">
        <f t="shared" si="8"/>
        <v>2454</v>
      </c>
      <c r="I85" s="59">
        <v>1</v>
      </c>
      <c r="J85" s="61"/>
    </row>
    <row r="86" spans="1:10" s="25" customFormat="1" ht="27" customHeight="1">
      <c r="A86" s="65">
        <f t="shared" si="7"/>
        <v>84</v>
      </c>
      <c r="B86" s="76" t="str">
        <f t="shared" si="6"/>
        <v>reserved_byte84</v>
      </c>
      <c r="C86" s="59">
        <v>255</v>
      </c>
      <c r="D86" s="60">
        <v>255</v>
      </c>
      <c r="E86" s="59">
        <v>0</v>
      </c>
      <c r="F86" s="59">
        <v>255</v>
      </c>
      <c r="G86" s="76" t="s">
        <v>59</v>
      </c>
      <c r="H86" s="64" t="str">
        <f t="shared" si="8"/>
        <v>2455</v>
      </c>
      <c r="I86" s="59">
        <v>1</v>
      </c>
      <c r="J86" s="61"/>
    </row>
    <row r="87" spans="1:10" s="25" customFormat="1" ht="27" customHeight="1">
      <c r="A87" s="65">
        <f t="shared" si="7"/>
        <v>85</v>
      </c>
      <c r="B87" s="76" t="str">
        <f t="shared" si="6"/>
        <v>reserved_byte85</v>
      </c>
      <c r="C87" s="59">
        <v>255</v>
      </c>
      <c r="D87" s="60">
        <v>255</v>
      </c>
      <c r="E87" s="59">
        <v>0</v>
      </c>
      <c r="F87" s="59">
        <v>255</v>
      </c>
      <c r="G87" s="76" t="s">
        <v>59</v>
      </c>
      <c r="H87" s="64" t="str">
        <f t="shared" si="8"/>
        <v>2456</v>
      </c>
      <c r="I87" s="59">
        <v>1</v>
      </c>
      <c r="J87" s="61"/>
    </row>
    <row r="88" spans="1:10" s="25" customFormat="1" ht="27" customHeight="1">
      <c r="A88" s="65">
        <f t="shared" si="7"/>
        <v>86</v>
      </c>
      <c r="B88" s="76" t="str">
        <f t="shared" si="6"/>
        <v>reserved_byte86</v>
      </c>
      <c r="C88" s="59">
        <v>255</v>
      </c>
      <c r="D88" s="60">
        <v>255</v>
      </c>
      <c r="E88" s="59">
        <v>0</v>
      </c>
      <c r="F88" s="59">
        <v>255</v>
      </c>
      <c r="G88" s="76" t="s">
        <v>59</v>
      </c>
      <c r="H88" s="64" t="str">
        <f t="shared" si="8"/>
        <v>2457</v>
      </c>
      <c r="I88" s="59">
        <v>1</v>
      </c>
      <c r="J88" s="61"/>
    </row>
    <row r="89" spans="1:10" s="25" customFormat="1" ht="27" customHeight="1">
      <c r="A89" s="65">
        <f t="shared" si="7"/>
        <v>87</v>
      </c>
      <c r="B89" s="76" t="str">
        <f t="shared" si="6"/>
        <v>reserved_byte87</v>
      </c>
      <c r="C89" s="59">
        <v>255</v>
      </c>
      <c r="D89" s="60">
        <v>255</v>
      </c>
      <c r="E89" s="59">
        <v>0</v>
      </c>
      <c r="F89" s="59">
        <v>255</v>
      </c>
      <c r="G89" s="76" t="s">
        <v>59</v>
      </c>
      <c r="H89" s="64" t="str">
        <f t="shared" si="8"/>
        <v>2458</v>
      </c>
      <c r="I89" s="59">
        <v>1</v>
      </c>
      <c r="J89" s="61"/>
    </row>
    <row r="90" spans="1:10" s="25" customFormat="1" ht="27" customHeight="1">
      <c r="A90" s="65">
        <f t="shared" si="7"/>
        <v>88</v>
      </c>
      <c r="B90" s="76" t="str">
        <f t="shared" si="6"/>
        <v>reserved_byte88</v>
      </c>
      <c r="C90" s="59">
        <v>255</v>
      </c>
      <c r="D90" s="60">
        <v>255</v>
      </c>
      <c r="E90" s="59">
        <v>0</v>
      </c>
      <c r="F90" s="59">
        <v>255</v>
      </c>
      <c r="G90" s="76" t="s">
        <v>59</v>
      </c>
      <c r="H90" s="64" t="str">
        <f t="shared" si="8"/>
        <v>2459</v>
      </c>
      <c r="I90" s="59">
        <v>1</v>
      </c>
      <c r="J90" s="61"/>
    </row>
    <row r="91" spans="1:10" s="25" customFormat="1" ht="27" customHeight="1">
      <c r="A91" s="65">
        <f t="shared" si="7"/>
        <v>89</v>
      </c>
      <c r="B91" s="76" t="str">
        <f t="shared" si="6"/>
        <v>reserved_byte89</v>
      </c>
      <c r="C91" s="59">
        <v>255</v>
      </c>
      <c r="D91" s="60">
        <v>255</v>
      </c>
      <c r="E91" s="59">
        <v>0</v>
      </c>
      <c r="F91" s="59">
        <v>255</v>
      </c>
      <c r="G91" s="76" t="s">
        <v>59</v>
      </c>
      <c r="H91" s="64" t="str">
        <f t="shared" si="8"/>
        <v>245A</v>
      </c>
      <c r="I91" s="59">
        <v>1</v>
      </c>
      <c r="J91" s="61"/>
    </row>
    <row r="92" spans="1:10" s="25" customFormat="1" ht="27" customHeight="1">
      <c r="A92" s="65">
        <f t="shared" si="7"/>
        <v>90</v>
      </c>
      <c r="B92" s="76" t="str">
        <f t="shared" si="6"/>
        <v>reserved_byte90</v>
      </c>
      <c r="C92" s="59">
        <v>255</v>
      </c>
      <c r="D92" s="60">
        <v>255</v>
      </c>
      <c r="E92" s="59">
        <v>0</v>
      </c>
      <c r="F92" s="59">
        <v>255</v>
      </c>
      <c r="G92" s="76" t="s">
        <v>59</v>
      </c>
      <c r="H92" s="64" t="str">
        <f t="shared" si="8"/>
        <v>245B</v>
      </c>
      <c r="I92" s="59">
        <v>1</v>
      </c>
      <c r="J92" s="61"/>
    </row>
    <row r="93" spans="1:10" s="25" customFormat="1" ht="27" customHeight="1">
      <c r="A93" s="65">
        <f t="shared" si="7"/>
        <v>91</v>
      </c>
      <c r="B93" s="76" t="str">
        <f t="shared" si="6"/>
        <v>reserved_byte91</v>
      </c>
      <c r="C93" s="59">
        <v>255</v>
      </c>
      <c r="D93" s="60">
        <v>255</v>
      </c>
      <c r="E93" s="59">
        <v>0</v>
      </c>
      <c r="F93" s="59">
        <v>255</v>
      </c>
      <c r="G93" s="76" t="s">
        <v>59</v>
      </c>
      <c r="H93" s="64" t="str">
        <f t="shared" si="8"/>
        <v>245C</v>
      </c>
      <c r="I93" s="59">
        <v>1</v>
      </c>
      <c r="J93" s="61"/>
    </row>
    <row r="94" spans="1:10" s="25" customFormat="1" ht="27" customHeight="1">
      <c r="A94" s="65">
        <f t="shared" si="7"/>
        <v>92</v>
      </c>
      <c r="B94" s="76" t="str">
        <f t="shared" si="6"/>
        <v>reserved_byte92</v>
      </c>
      <c r="C94" s="59">
        <v>255</v>
      </c>
      <c r="D94" s="60">
        <v>255</v>
      </c>
      <c r="E94" s="59">
        <v>0</v>
      </c>
      <c r="F94" s="59">
        <v>255</v>
      </c>
      <c r="G94" s="76" t="s">
        <v>59</v>
      </c>
      <c r="H94" s="64" t="str">
        <f t="shared" si="8"/>
        <v>245D</v>
      </c>
      <c r="I94" s="59">
        <v>1</v>
      </c>
      <c r="J94" s="61"/>
    </row>
    <row r="95" spans="1:10" s="25" customFormat="1" ht="27" customHeight="1">
      <c r="A95" s="65">
        <f t="shared" si="7"/>
        <v>93</v>
      </c>
      <c r="B95" s="76" t="str">
        <f t="shared" si="6"/>
        <v>reserved_byte93</v>
      </c>
      <c r="C95" s="59">
        <v>255</v>
      </c>
      <c r="D95" s="60">
        <v>255</v>
      </c>
      <c r="E95" s="59">
        <v>0</v>
      </c>
      <c r="F95" s="59">
        <v>255</v>
      </c>
      <c r="G95" s="76" t="s">
        <v>59</v>
      </c>
      <c r="H95" s="64" t="str">
        <f t="shared" si="8"/>
        <v>245E</v>
      </c>
      <c r="I95" s="59">
        <v>1</v>
      </c>
      <c r="J95" s="61"/>
    </row>
    <row r="96" spans="1:10" s="25" customFormat="1" ht="27" customHeight="1">
      <c r="A96" s="65">
        <f t="shared" si="7"/>
        <v>94</v>
      </c>
      <c r="B96" s="76" t="str">
        <f t="shared" si="6"/>
        <v>reserved_byte94</v>
      </c>
      <c r="C96" s="59">
        <v>255</v>
      </c>
      <c r="D96" s="60">
        <v>255</v>
      </c>
      <c r="E96" s="59">
        <v>0</v>
      </c>
      <c r="F96" s="59">
        <v>255</v>
      </c>
      <c r="G96" s="76" t="s">
        <v>59</v>
      </c>
      <c r="H96" s="64" t="str">
        <f t="shared" si="8"/>
        <v>245F</v>
      </c>
      <c r="I96" s="59">
        <v>1</v>
      </c>
      <c r="J96" s="61"/>
    </row>
    <row r="97" spans="1:10" s="25" customFormat="1" ht="27" customHeight="1">
      <c r="A97" s="65">
        <f t="shared" si="7"/>
        <v>95</v>
      </c>
      <c r="B97" s="76" t="str">
        <f t="shared" si="6"/>
        <v>reserved_byte95</v>
      </c>
      <c r="C97" s="59">
        <v>255</v>
      </c>
      <c r="D97" s="60">
        <v>255</v>
      </c>
      <c r="E97" s="59">
        <v>0</v>
      </c>
      <c r="F97" s="59">
        <v>255</v>
      </c>
      <c r="G97" s="76" t="s">
        <v>59</v>
      </c>
      <c r="H97" s="64" t="str">
        <f t="shared" si="8"/>
        <v>2460</v>
      </c>
      <c r="I97" s="59">
        <v>1</v>
      </c>
      <c r="J97" s="61"/>
    </row>
    <row r="98" spans="1:10" s="25" customFormat="1" ht="27" customHeight="1">
      <c r="A98" s="65">
        <f t="shared" si="7"/>
        <v>96</v>
      </c>
      <c r="B98" s="76" t="str">
        <f t="shared" ref="B98:B129" si="9">"reserved_byte" &amp;TEXT(A98,0)</f>
        <v>reserved_byte96</v>
      </c>
      <c r="C98" s="59">
        <v>255</v>
      </c>
      <c r="D98" s="60">
        <v>255</v>
      </c>
      <c r="E98" s="59">
        <v>0</v>
      </c>
      <c r="F98" s="59">
        <v>255</v>
      </c>
      <c r="G98" s="76" t="s">
        <v>59</v>
      </c>
      <c r="H98" s="64" t="str">
        <f t="shared" si="8"/>
        <v>2461</v>
      </c>
      <c r="I98" s="59">
        <v>1</v>
      </c>
      <c r="J98" s="61"/>
    </row>
    <row r="99" spans="1:10" s="25" customFormat="1" ht="27" customHeight="1">
      <c r="A99" s="65">
        <f t="shared" ref="A99:A130" si="10">A98+1</f>
        <v>97</v>
      </c>
      <c r="B99" s="76" t="str">
        <f t="shared" si="9"/>
        <v>reserved_byte97</v>
      </c>
      <c r="C99" s="59">
        <v>255</v>
      </c>
      <c r="D99" s="60">
        <v>255</v>
      </c>
      <c r="E99" s="59">
        <v>0</v>
      </c>
      <c r="F99" s="59">
        <v>255</v>
      </c>
      <c r="G99" s="76" t="s">
        <v>59</v>
      </c>
      <c r="H99" s="64" t="str">
        <f t="shared" ref="H99:H130" si="11">DEC2HEX((HEX2DEC(H98)+1),4)</f>
        <v>2462</v>
      </c>
      <c r="I99" s="59">
        <v>1</v>
      </c>
      <c r="J99" s="61"/>
    </row>
    <row r="100" spans="1:10" s="25" customFormat="1" ht="27" customHeight="1">
      <c r="A100" s="65">
        <f t="shared" si="10"/>
        <v>98</v>
      </c>
      <c r="B100" s="76" t="str">
        <f t="shared" si="9"/>
        <v>reserved_byte98</v>
      </c>
      <c r="C100" s="59">
        <v>255</v>
      </c>
      <c r="D100" s="60">
        <v>255</v>
      </c>
      <c r="E100" s="59">
        <v>0</v>
      </c>
      <c r="F100" s="59">
        <v>255</v>
      </c>
      <c r="G100" s="76" t="s">
        <v>59</v>
      </c>
      <c r="H100" s="64" t="str">
        <f t="shared" si="11"/>
        <v>2463</v>
      </c>
      <c r="I100" s="59">
        <v>1</v>
      </c>
      <c r="J100" s="61"/>
    </row>
    <row r="101" spans="1:10" s="25" customFormat="1" ht="27" customHeight="1">
      <c r="A101" s="65">
        <f t="shared" si="10"/>
        <v>99</v>
      </c>
      <c r="B101" s="76" t="str">
        <f t="shared" si="9"/>
        <v>reserved_byte99</v>
      </c>
      <c r="C101" s="59">
        <v>255</v>
      </c>
      <c r="D101" s="60">
        <v>255</v>
      </c>
      <c r="E101" s="59">
        <v>0</v>
      </c>
      <c r="F101" s="59">
        <v>255</v>
      </c>
      <c r="G101" s="76" t="s">
        <v>59</v>
      </c>
      <c r="H101" s="64" t="str">
        <f t="shared" si="11"/>
        <v>2464</v>
      </c>
      <c r="I101" s="59">
        <v>1</v>
      </c>
      <c r="J101" s="61"/>
    </row>
    <row r="102" spans="1:10" s="25" customFormat="1" ht="27" customHeight="1">
      <c r="A102" s="65">
        <f t="shared" si="10"/>
        <v>100</v>
      </c>
      <c r="B102" s="76" t="str">
        <f t="shared" si="9"/>
        <v>reserved_byte100</v>
      </c>
      <c r="C102" s="59">
        <v>255</v>
      </c>
      <c r="D102" s="60">
        <v>255</v>
      </c>
      <c r="E102" s="59">
        <v>0</v>
      </c>
      <c r="F102" s="59">
        <v>255</v>
      </c>
      <c r="G102" s="76" t="s">
        <v>59</v>
      </c>
      <c r="H102" s="64" t="str">
        <f t="shared" si="11"/>
        <v>2465</v>
      </c>
      <c r="I102" s="59">
        <v>1</v>
      </c>
      <c r="J102" s="61"/>
    </row>
    <row r="103" spans="1:10" s="25" customFormat="1" ht="27" customHeight="1">
      <c r="A103" s="65">
        <f t="shared" si="10"/>
        <v>101</v>
      </c>
      <c r="B103" s="76" t="str">
        <f t="shared" si="9"/>
        <v>reserved_byte101</v>
      </c>
      <c r="C103" s="59">
        <v>255</v>
      </c>
      <c r="D103" s="60">
        <v>255</v>
      </c>
      <c r="E103" s="59">
        <v>0</v>
      </c>
      <c r="F103" s="59">
        <v>255</v>
      </c>
      <c r="G103" s="76" t="s">
        <v>59</v>
      </c>
      <c r="H103" s="64" t="str">
        <f t="shared" si="11"/>
        <v>2466</v>
      </c>
      <c r="I103" s="59">
        <v>1</v>
      </c>
      <c r="J103" s="61"/>
    </row>
    <row r="104" spans="1:10" s="25" customFormat="1" ht="27" customHeight="1">
      <c r="A104" s="65">
        <f t="shared" si="10"/>
        <v>102</v>
      </c>
      <c r="B104" s="76" t="str">
        <f t="shared" si="9"/>
        <v>reserved_byte102</v>
      </c>
      <c r="C104" s="59">
        <v>255</v>
      </c>
      <c r="D104" s="60">
        <v>255</v>
      </c>
      <c r="E104" s="59">
        <v>0</v>
      </c>
      <c r="F104" s="59">
        <v>255</v>
      </c>
      <c r="G104" s="76" t="s">
        <v>59</v>
      </c>
      <c r="H104" s="64" t="str">
        <f t="shared" si="11"/>
        <v>2467</v>
      </c>
      <c r="I104" s="59">
        <v>1</v>
      </c>
      <c r="J104" s="61"/>
    </row>
    <row r="105" spans="1:10" s="25" customFormat="1" ht="27" customHeight="1">
      <c r="A105" s="65">
        <f t="shared" si="10"/>
        <v>103</v>
      </c>
      <c r="B105" s="76" t="str">
        <f t="shared" si="9"/>
        <v>reserved_byte103</v>
      </c>
      <c r="C105" s="59">
        <v>255</v>
      </c>
      <c r="D105" s="60">
        <v>255</v>
      </c>
      <c r="E105" s="59">
        <v>0</v>
      </c>
      <c r="F105" s="59">
        <v>255</v>
      </c>
      <c r="G105" s="76" t="s">
        <v>59</v>
      </c>
      <c r="H105" s="64" t="str">
        <f t="shared" si="11"/>
        <v>2468</v>
      </c>
      <c r="I105" s="59">
        <v>1</v>
      </c>
      <c r="J105" s="61"/>
    </row>
    <row r="106" spans="1:10" s="25" customFormat="1" ht="27" customHeight="1">
      <c r="A106" s="65">
        <f t="shared" si="10"/>
        <v>104</v>
      </c>
      <c r="B106" s="76" t="str">
        <f t="shared" si="9"/>
        <v>reserved_byte104</v>
      </c>
      <c r="C106" s="59">
        <v>255</v>
      </c>
      <c r="D106" s="60">
        <v>255</v>
      </c>
      <c r="E106" s="59">
        <v>0</v>
      </c>
      <c r="F106" s="59">
        <v>255</v>
      </c>
      <c r="G106" s="76" t="s">
        <v>59</v>
      </c>
      <c r="H106" s="64" t="str">
        <f t="shared" si="11"/>
        <v>2469</v>
      </c>
      <c r="I106" s="59">
        <v>1</v>
      </c>
      <c r="J106" s="61"/>
    </row>
    <row r="107" spans="1:10" s="25" customFormat="1" ht="27" customHeight="1">
      <c r="A107" s="65">
        <f t="shared" si="10"/>
        <v>105</v>
      </c>
      <c r="B107" s="76" t="str">
        <f t="shared" si="9"/>
        <v>reserved_byte105</v>
      </c>
      <c r="C107" s="59">
        <v>255</v>
      </c>
      <c r="D107" s="60">
        <v>255</v>
      </c>
      <c r="E107" s="59">
        <v>0</v>
      </c>
      <c r="F107" s="59">
        <v>255</v>
      </c>
      <c r="G107" s="76" t="s">
        <v>59</v>
      </c>
      <c r="H107" s="64" t="str">
        <f t="shared" si="11"/>
        <v>246A</v>
      </c>
      <c r="I107" s="59">
        <v>1</v>
      </c>
      <c r="J107" s="61"/>
    </row>
    <row r="108" spans="1:10" s="25" customFormat="1" ht="27" customHeight="1">
      <c r="A108" s="65">
        <f t="shared" si="10"/>
        <v>106</v>
      </c>
      <c r="B108" s="76" t="str">
        <f t="shared" si="9"/>
        <v>reserved_byte106</v>
      </c>
      <c r="C108" s="59">
        <v>255</v>
      </c>
      <c r="D108" s="60">
        <v>255</v>
      </c>
      <c r="E108" s="59">
        <v>0</v>
      </c>
      <c r="F108" s="59">
        <v>255</v>
      </c>
      <c r="G108" s="76" t="s">
        <v>59</v>
      </c>
      <c r="H108" s="64" t="str">
        <f t="shared" si="11"/>
        <v>246B</v>
      </c>
      <c r="I108" s="59">
        <v>1</v>
      </c>
      <c r="J108" s="61"/>
    </row>
    <row r="109" spans="1:10" s="25" customFormat="1" ht="27" customHeight="1">
      <c r="A109" s="65">
        <f t="shared" si="10"/>
        <v>107</v>
      </c>
      <c r="B109" s="76" t="str">
        <f t="shared" si="9"/>
        <v>reserved_byte107</v>
      </c>
      <c r="C109" s="59">
        <v>255</v>
      </c>
      <c r="D109" s="60">
        <v>255</v>
      </c>
      <c r="E109" s="59">
        <v>0</v>
      </c>
      <c r="F109" s="59">
        <v>255</v>
      </c>
      <c r="G109" s="76" t="s">
        <v>59</v>
      </c>
      <c r="H109" s="64" t="str">
        <f t="shared" si="11"/>
        <v>246C</v>
      </c>
      <c r="I109" s="59">
        <v>1</v>
      </c>
      <c r="J109" s="61"/>
    </row>
    <row r="110" spans="1:10" s="25" customFormat="1" ht="27" customHeight="1">
      <c r="A110" s="65">
        <f t="shared" si="10"/>
        <v>108</v>
      </c>
      <c r="B110" s="76" t="str">
        <f t="shared" si="9"/>
        <v>reserved_byte108</v>
      </c>
      <c r="C110" s="59">
        <v>255</v>
      </c>
      <c r="D110" s="60">
        <v>255</v>
      </c>
      <c r="E110" s="59">
        <v>0</v>
      </c>
      <c r="F110" s="59">
        <v>255</v>
      </c>
      <c r="G110" s="76" t="s">
        <v>59</v>
      </c>
      <c r="H110" s="64" t="str">
        <f t="shared" si="11"/>
        <v>246D</v>
      </c>
      <c r="I110" s="59">
        <v>1</v>
      </c>
      <c r="J110" s="61"/>
    </row>
    <row r="111" spans="1:10" s="25" customFormat="1" ht="27" customHeight="1">
      <c r="A111" s="65">
        <f t="shared" si="10"/>
        <v>109</v>
      </c>
      <c r="B111" s="76" t="str">
        <f t="shared" si="9"/>
        <v>reserved_byte109</v>
      </c>
      <c r="C111" s="59">
        <v>255</v>
      </c>
      <c r="D111" s="60">
        <v>255</v>
      </c>
      <c r="E111" s="59">
        <v>0</v>
      </c>
      <c r="F111" s="59">
        <v>255</v>
      </c>
      <c r="G111" s="76" t="s">
        <v>59</v>
      </c>
      <c r="H111" s="64" t="str">
        <f t="shared" si="11"/>
        <v>246E</v>
      </c>
      <c r="I111" s="59">
        <v>1</v>
      </c>
      <c r="J111" s="61"/>
    </row>
    <row r="112" spans="1:10" s="25" customFormat="1" ht="27" customHeight="1">
      <c r="A112" s="65">
        <f t="shared" si="10"/>
        <v>110</v>
      </c>
      <c r="B112" s="76" t="str">
        <f t="shared" si="9"/>
        <v>reserved_byte110</v>
      </c>
      <c r="C112" s="59">
        <v>255</v>
      </c>
      <c r="D112" s="60">
        <v>255</v>
      </c>
      <c r="E112" s="59">
        <v>0</v>
      </c>
      <c r="F112" s="59">
        <v>255</v>
      </c>
      <c r="G112" s="76" t="s">
        <v>59</v>
      </c>
      <c r="H112" s="64" t="str">
        <f t="shared" si="11"/>
        <v>246F</v>
      </c>
      <c r="I112" s="59">
        <v>1</v>
      </c>
      <c r="J112" s="61"/>
    </row>
    <row r="113" spans="1:10" s="25" customFormat="1" ht="27" customHeight="1">
      <c r="A113" s="65">
        <f t="shared" si="10"/>
        <v>111</v>
      </c>
      <c r="B113" s="76" t="str">
        <f t="shared" si="9"/>
        <v>reserved_byte111</v>
      </c>
      <c r="C113" s="59">
        <v>255</v>
      </c>
      <c r="D113" s="60">
        <v>255</v>
      </c>
      <c r="E113" s="59">
        <v>0</v>
      </c>
      <c r="F113" s="59">
        <v>255</v>
      </c>
      <c r="G113" s="76" t="s">
        <v>59</v>
      </c>
      <c r="H113" s="64" t="str">
        <f t="shared" si="11"/>
        <v>2470</v>
      </c>
      <c r="I113" s="59">
        <v>1</v>
      </c>
      <c r="J113" s="61"/>
    </row>
    <row r="114" spans="1:10" s="25" customFormat="1" ht="27" customHeight="1">
      <c r="A114" s="65">
        <f t="shared" si="10"/>
        <v>112</v>
      </c>
      <c r="B114" s="76" t="str">
        <f t="shared" si="9"/>
        <v>reserved_byte112</v>
      </c>
      <c r="C114" s="59">
        <v>255</v>
      </c>
      <c r="D114" s="60">
        <v>255</v>
      </c>
      <c r="E114" s="59">
        <v>0</v>
      </c>
      <c r="F114" s="59">
        <v>255</v>
      </c>
      <c r="G114" s="76" t="s">
        <v>59</v>
      </c>
      <c r="H114" s="64" t="str">
        <f t="shared" si="11"/>
        <v>2471</v>
      </c>
      <c r="I114" s="59">
        <v>1</v>
      </c>
      <c r="J114" s="61"/>
    </row>
    <row r="115" spans="1:10" s="25" customFormat="1" ht="27" customHeight="1">
      <c r="A115" s="65">
        <f t="shared" si="10"/>
        <v>113</v>
      </c>
      <c r="B115" s="76" t="str">
        <f t="shared" si="9"/>
        <v>reserved_byte113</v>
      </c>
      <c r="C115" s="59">
        <v>255</v>
      </c>
      <c r="D115" s="60">
        <v>255</v>
      </c>
      <c r="E115" s="59">
        <v>0</v>
      </c>
      <c r="F115" s="59">
        <v>255</v>
      </c>
      <c r="G115" s="76" t="s">
        <v>59</v>
      </c>
      <c r="H115" s="64" t="str">
        <f t="shared" si="11"/>
        <v>2472</v>
      </c>
      <c r="I115" s="59">
        <v>1</v>
      </c>
      <c r="J115" s="61"/>
    </row>
    <row r="116" spans="1:10" s="25" customFormat="1" ht="27" customHeight="1">
      <c r="A116" s="65">
        <f t="shared" si="10"/>
        <v>114</v>
      </c>
      <c r="B116" s="76" t="str">
        <f t="shared" si="9"/>
        <v>reserved_byte114</v>
      </c>
      <c r="C116" s="59">
        <v>255</v>
      </c>
      <c r="D116" s="60">
        <v>255</v>
      </c>
      <c r="E116" s="59">
        <v>0</v>
      </c>
      <c r="F116" s="59">
        <v>255</v>
      </c>
      <c r="G116" s="76" t="s">
        <v>59</v>
      </c>
      <c r="H116" s="64" t="str">
        <f t="shared" si="11"/>
        <v>2473</v>
      </c>
      <c r="I116" s="59">
        <v>1</v>
      </c>
      <c r="J116" s="61"/>
    </row>
    <row r="117" spans="1:10" s="25" customFormat="1" ht="27" customHeight="1">
      <c r="A117" s="65">
        <f t="shared" si="10"/>
        <v>115</v>
      </c>
      <c r="B117" s="76" t="str">
        <f t="shared" si="9"/>
        <v>reserved_byte115</v>
      </c>
      <c r="C117" s="59">
        <v>255</v>
      </c>
      <c r="D117" s="60">
        <v>255</v>
      </c>
      <c r="E117" s="59">
        <v>0</v>
      </c>
      <c r="F117" s="59">
        <v>255</v>
      </c>
      <c r="G117" s="76" t="s">
        <v>59</v>
      </c>
      <c r="H117" s="64" t="str">
        <f t="shared" si="11"/>
        <v>2474</v>
      </c>
      <c r="I117" s="59">
        <v>1</v>
      </c>
      <c r="J117" s="61"/>
    </row>
    <row r="118" spans="1:10" s="25" customFormat="1" ht="27" customHeight="1">
      <c r="A118" s="65">
        <f t="shared" si="10"/>
        <v>116</v>
      </c>
      <c r="B118" s="76" t="str">
        <f t="shared" si="9"/>
        <v>reserved_byte116</v>
      </c>
      <c r="C118" s="59">
        <v>255</v>
      </c>
      <c r="D118" s="60">
        <v>255</v>
      </c>
      <c r="E118" s="59">
        <v>0</v>
      </c>
      <c r="F118" s="59">
        <v>255</v>
      </c>
      <c r="G118" s="76" t="s">
        <v>59</v>
      </c>
      <c r="H118" s="64" t="str">
        <f t="shared" si="11"/>
        <v>2475</v>
      </c>
      <c r="I118" s="59">
        <v>1</v>
      </c>
      <c r="J118" s="61"/>
    </row>
    <row r="119" spans="1:10" s="25" customFormat="1" ht="27" customHeight="1">
      <c r="A119" s="65">
        <f t="shared" si="10"/>
        <v>117</v>
      </c>
      <c r="B119" s="76" t="str">
        <f t="shared" si="9"/>
        <v>reserved_byte117</v>
      </c>
      <c r="C119" s="59">
        <v>255</v>
      </c>
      <c r="D119" s="60">
        <v>255</v>
      </c>
      <c r="E119" s="59">
        <v>0</v>
      </c>
      <c r="F119" s="59">
        <v>255</v>
      </c>
      <c r="G119" s="76" t="s">
        <v>59</v>
      </c>
      <c r="H119" s="64" t="str">
        <f t="shared" si="11"/>
        <v>2476</v>
      </c>
      <c r="I119" s="59">
        <v>1</v>
      </c>
      <c r="J119" s="61"/>
    </row>
    <row r="120" spans="1:10" s="25" customFormat="1" ht="27" customHeight="1">
      <c r="A120" s="65">
        <f t="shared" si="10"/>
        <v>118</v>
      </c>
      <c r="B120" s="76" t="str">
        <f t="shared" si="9"/>
        <v>reserved_byte118</v>
      </c>
      <c r="C120" s="59">
        <v>255</v>
      </c>
      <c r="D120" s="60">
        <v>255</v>
      </c>
      <c r="E120" s="59">
        <v>0</v>
      </c>
      <c r="F120" s="59">
        <v>255</v>
      </c>
      <c r="G120" s="76" t="s">
        <v>59</v>
      </c>
      <c r="H120" s="64" t="str">
        <f t="shared" si="11"/>
        <v>2477</v>
      </c>
      <c r="I120" s="59">
        <v>1</v>
      </c>
      <c r="J120" s="61"/>
    </row>
    <row r="121" spans="1:10" s="25" customFormat="1" ht="27" customHeight="1">
      <c r="A121" s="65">
        <f t="shared" si="10"/>
        <v>119</v>
      </c>
      <c r="B121" s="76" t="str">
        <f t="shared" si="9"/>
        <v>reserved_byte119</v>
      </c>
      <c r="C121" s="59">
        <v>255</v>
      </c>
      <c r="D121" s="60">
        <v>255</v>
      </c>
      <c r="E121" s="59">
        <v>0</v>
      </c>
      <c r="F121" s="59">
        <v>255</v>
      </c>
      <c r="G121" s="76" t="s">
        <v>59</v>
      </c>
      <c r="H121" s="64" t="str">
        <f t="shared" si="11"/>
        <v>2478</v>
      </c>
      <c r="I121" s="59">
        <v>1</v>
      </c>
      <c r="J121" s="61"/>
    </row>
    <row r="122" spans="1:10" s="25" customFormat="1" ht="27" customHeight="1">
      <c r="A122" s="65">
        <f t="shared" si="10"/>
        <v>120</v>
      </c>
      <c r="B122" s="76" t="str">
        <f t="shared" si="9"/>
        <v>reserved_byte120</v>
      </c>
      <c r="C122" s="59">
        <v>255</v>
      </c>
      <c r="D122" s="60">
        <v>255</v>
      </c>
      <c r="E122" s="59">
        <v>0</v>
      </c>
      <c r="F122" s="59">
        <v>255</v>
      </c>
      <c r="G122" s="76" t="s">
        <v>59</v>
      </c>
      <c r="H122" s="64" t="str">
        <f t="shared" si="11"/>
        <v>2479</v>
      </c>
      <c r="I122" s="59">
        <v>1</v>
      </c>
      <c r="J122" s="61"/>
    </row>
    <row r="123" spans="1:10" s="25" customFormat="1" ht="27" customHeight="1">
      <c r="A123" s="65">
        <f t="shared" si="10"/>
        <v>121</v>
      </c>
      <c r="B123" s="76" t="str">
        <f t="shared" si="9"/>
        <v>reserved_byte121</v>
      </c>
      <c r="C123" s="59">
        <v>255</v>
      </c>
      <c r="D123" s="60">
        <v>255</v>
      </c>
      <c r="E123" s="59">
        <v>0</v>
      </c>
      <c r="F123" s="59">
        <v>255</v>
      </c>
      <c r="G123" s="76" t="s">
        <v>59</v>
      </c>
      <c r="H123" s="64" t="str">
        <f t="shared" si="11"/>
        <v>247A</v>
      </c>
      <c r="I123" s="59">
        <v>1</v>
      </c>
      <c r="J123" s="61"/>
    </row>
    <row r="124" spans="1:10" s="25" customFormat="1" ht="27" customHeight="1">
      <c r="A124" s="65">
        <f t="shared" si="10"/>
        <v>122</v>
      </c>
      <c r="B124" s="76" t="str">
        <f t="shared" si="9"/>
        <v>reserved_byte122</v>
      </c>
      <c r="C124" s="59">
        <v>255</v>
      </c>
      <c r="D124" s="60">
        <v>255</v>
      </c>
      <c r="E124" s="59">
        <v>0</v>
      </c>
      <c r="F124" s="59">
        <v>255</v>
      </c>
      <c r="G124" s="76" t="s">
        <v>59</v>
      </c>
      <c r="H124" s="64" t="str">
        <f t="shared" si="11"/>
        <v>247B</v>
      </c>
      <c r="I124" s="59">
        <v>1</v>
      </c>
      <c r="J124" s="61"/>
    </row>
    <row r="125" spans="1:10" s="25" customFormat="1" ht="27" customHeight="1">
      <c r="A125" s="65">
        <f t="shared" si="10"/>
        <v>123</v>
      </c>
      <c r="B125" s="76" t="str">
        <f t="shared" si="9"/>
        <v>reserved_byte123</v>
      </c>
      <c r="C125" s="59">
        <v>255</v>
      </c>
      <c r="D125" s="60">
        <v>255</v>
      </c>
      <c r="E125" s="59">
        <v>0</v>
      </c>
      <c r="F125" s="59">
        <v>255</v>
      </c>
      <c r="G125" s="76" t="s">
        <v>59</v>
      </c>
      <c r="H125" s="64" t="str">
        <f t="shared" si="11"/>
        <v>247C</v>
      </c>
      <c r="I125" s="59">
        <v>1</v>
      </c>
      <c r="J125" s="61"/>
    </row>
    <row r="126" spans="1:10" s="25" customFormat="1" ht="27" customHeight="1">
      <c r="A126" s="65">
        <f t="shared" si="10"/>
        <v>124</v>
      </c>
      <c r="B126" s="76" t="str">
        <f t="shared" si="9"/>
        <v>reserved_byte124</v>
      </c>
      <c r="C126" s="59">
        <v>255</v>
      </c>
      <c r="D126" s="60">
        <v>255</v>
      </c>
      <c r="E126" s="59">
        <v>0</v>
      </c>
      <c r="F126" s="59">
        <v>255</v>
      </c>
      <c r="G126" s="76" t="s">
        <v>59</v>
      </c>
      <c r="H126" s="64" t="str">
        <f t="shared" si="11"/>
        <v>247D</v>
      </c>
      <c r="I126" s="59">
        <v>1</v>
      </c>
      <c r="J126" s="61"/>
    </row>
    <row r="127" spans="1:10" s="25" customFormat="1" ht="27" customHeight="1">
      <c r="A127" s="65">
        <f t="shared" si="10"/>
        <v>125</v>
      </c>
      <c r="B127" s="76" t="str">
        <f t="shared" si="9"/>
        <v>reserved_byte125</v>
      </c>
      <c r="C127" s="59">
        <v>255</v>
      </c>
      <c r="D127" s="60">
        <v>255</v>
      </c>
      <c r="E127" s="59">
        <v>0</v>
      </c>
      <c r="F127" s="59">
        <v>255</v>
      </c>
      <c r="G127" s="76" t="s">
        <v>59</v>
      </c>
      <c r="H127" s="64" t="str">
        <f t="shared" si="11"/>
        <v>247E</v>
      </c>
      <c r="I127" s="59">
        <v>1</v>
      </c>
      <c r="J127" s="61"/>
    </row>
    <row r="128" spans="1:10" s="25" customFormat="1" ht="27" customHeight="1">
      <c r="A128" s="65">
        <f t="shared" si="10"/>
        <v>126</v>
      </c>
      <c r="B128" s="76" t="str">
        <f t="shared" si="9"/>
        <v>reserved_byte126</v>
      </c>
      <c r="C128" s="59">
        <v>255</v>
      </c>
      <c r="D128" s="60">
        <v>255</v>
      </c>
      <c r="E128" s="59">
        <v>0</v>
      </c>
      <c r="F128" s="59">
        <v>255</v>
      </c>
      <c r="G128" s="76" t="s">
        <v>59</v>
      </c>
      <c r="H128" s="64" t="str">
        <f t="shared" si="11"/>
        <v>247F</v>
      </c>
      <c r="I128" s="59">
        <v>1</v>
      </c>
      <c r="J128" s="61"/>
    </row>
    <row r="129" spans="1:10" s="25" customFormat="1" ht="27" customHeight="1">
      <c r="A129" s="65">
        <f t="shared" si="10"/>
        <v>127</v>
      </c>
      <c r="B129" s="76" t="str">
        <f t="shared" si="9"/>
        <v>reserved_byte127</v>
      </c>
      <c r="C129" s="59">
        <v>255</v>
      </c>
      <c r="D129" s="60">
        <v>255</v>
      </c>
      <c r="E129" s="59">
        <v>0</v>
      </c>
      <c r="F129" s="59">
        <v>255</v>
      </c>
      <c r="G129" s="76" t="s">
        <v>59</v>
      </c>
      <c r="H129" s="64" t="str">
        <f t="shared" si="11"/>
        <v>2480</v>
      </c>
      <c r="I129" s="59">
        <v>1</v>
      </c>
      <c r="J129" s="61"/>
    </row>
    <row r="130" spans="1:10" s="25" customFormat="1" ht="27" customHeight="1">
      <c r="A130" s="65">
        <f t="shared" si="10"/>
        <v>128</v>
      </c>
      <c r="B130" s="76" t="str">
        <f t="shared" ref="B130:B161" si="12">"reserved_byte" &amp;TEXT(A130,0)</f>
        <v>reserved_byte128</v>
      </c>
      <c r="C130" s="59">
        <v>255</v>
      </c>
      <c r="D130" s="60">
        <v>255</v>
      </c>
      <c r="E130" s="59">
        <v>0</v>
      </c>
      <c r="F130" s="59">
        <v>255</v>
      </c>
      <c r="G130" s="76" t="s">
        <v>59</v>
      </c>
      <c r="H130" s="64" t="str">
        <f t="shared" si="11"/>
        <v>2481</v>
      </c>
      <c r="I130" s="59">
        <v>1</v>
      </c>
      <c r="J130" s="61"/>
    </row>
    <row r="131" spans="1:10" s="25" customFormat="1" ht="27" customHeight="1">
      <c r="A131" s="65">
        <f t="shared" ref="A131:A162" si="13">A130+1</f>
        <v>129</v>
      </c>
      <c r="B131" s="76" t="str">
        <f t="shared" si="12"/>
        <v>reserved_byte129</v>
      </c>
      <c r="C131" s="59">
        <v>255</v>
      </c>
      <c r="D131" s="60">
        <v>255</v>
      </c>
      <c r="E131" s="59">
        <v>0</v>
      </c>
      <c r="F131" s="59">
        <v>255</v>
      </c>
      <c r="G131" s="76" t="s">
        <v>59</v>
      </c>
      <c r="H131" s="64" t="str">
        <f t="shared" ref="H131:H162" si="14">DEC2HEX((HEX2DEC(H130)+1),4)</f>
        <v>2482</v>
      </c>
      <c r="I131" s="59">
        <v>1</v>
      </c>
      <c r="J131" s="61"/>
    </row>
    <row r="132" spans="1:10" s="25" customFormat="1" ht="27" customHeight="1">
      <c r="A132" s="65">
        <f t="shared" si="13"/>
        <v>130</v>
      </c>
      <c r="B132" s="76" t="str">
        <f t="shared" si="12"/>
        <v>reserved_byte130</v>
      </c>
      <c r="C132" s="59">
        <v>255</v>
      </c>
      <c r="D132" s="60">
        <v>255</v>
      </c>
      <c r="E132" s="59">
        <v>0</v>
      </c>
      <c r="F132" s="59">
        <v>255</v>
      </c>
      <c r="G132" s="76" t="s">
        <v>59</v>
      </c>
      <c r="H132" s="64" t="str">
        <f t="shared" si="14"/>
        <v>2483</v>
      </c>
      <c r="I132" s="59">
        <v>1</v>
      </c>
      <c r="J132" s="61"/>
    </row>
    <row r="133" spans="1:10" s="25" customFormat="1" ht="27" customHeight="1">
      <c r="A133" s="65">
        <f t="shared" si="13"/>
        <v>131</v>
      </c>
      <c r="B133" s="76" t="str">
        <f t="shared" si="12"/>
        <v>reserved_byte131</v>
      </c>
      <c r="C133" s="59">
        <v>255</v>
      </c>
      <c r="D133" s="60">
        <v>255</v>
      </c>
      <c r="E133" s="59">
        <v>0</v>
      </c>
      <c r="F133" s="59">
        <v>255</v>
      </c>
      <c r="G133" s="76" t="s">
        <v>59</v>
      </c>
      <c r="H133" s="64" t="str">
        <f t="shared" si="14"/>
        <v>2484</v>
      </c>
      <c r="I133" s="59">
        <v>1</v>
      </c>
      <c r="J133" s="61"/>
    </row>
    <row r="134" spans="1:10" s="25" customFormat="1" ht="27" customHeight="1">
      <c r="A134" s="65">
        <f t="shared" si="13"/>
        <v>132</v>
      </c>
      <c r="B134" s="76" t="str">
        <f t="shared" si="12"/>
        <v>reserved_byte132</v>
      </c>
      <c r="C134" s="59">
        <v>255</v>
      </c>
      <c r="D134" s="60">
        <v>255</v>
      </c>
      <c r="E134" s="59">
        <v>0</v>
      </c>
      <c r="F134" s="59">
        <v>255</v>
      </c>
      <c r="G134" s="76" t="s">
        <v>59</v>
      </c>
      <c r="H134" s="64" t="str">
        <f t="shared" si="14"/>
        <v>2485</v>
      </c>
      <c r="I134" s="59">
        <v>1</v>
      </c>
      <c r="J134" s="61"/>
    </row>
    <row r="135" spans="1:10" s="25" customFormat="1" ht="27" customHeight="1">
      <c r="A135" s="65">
        <f t="shared" si="13"/>
        <v>133</v>
      </c>
      <c r="B135" s="76" t="str">
        <f t="shared" si="12"/>
        <v>reserved_byte133</v>
      </c>
      <c r="C135" s="59">
        <v>255</v>
      </c>
      <c r="D135" s="60">
        <v>255</v>
      </c>
      <c r="E135" s="59">
        <v>0</v>
      </c>
      <c r="F135" s="59">
        <v>255</v>
      </c>
      <c r="G135" s="76" t="s">
        <v>59</v>
      </c>
      <c r="H135" s="64" t="str">
        <f t="shared" si="14"/>
        <v>2486</v>
      </c>
      <c r="I135" s="59">
        <v>1</v>
      </c>
      <c r="J135" s="61"/>
    </row>
    <row r="136" spans="1:10" s="25" customFormat="1" ht="27" customHeight="1">
      <c r="A136" s="65">
        <f t="shared" si="13"/>
        <v>134</v>
      </c>
      <c r="B136" s="76" t="str">
        <f t="shared" si="12"/>
        <v>reserved_byte134</v>
      </c>
      <c r="C136" s="59">
        <v>255</v>
      </c>
      <c r="D136" s="60">
        <v>255</v>
      </c>
      <c r="E136" s="59">
        <v>0</v>
      </c>
      <c r="F136" s="59">
        <v>255</v>
      </c>
      <c r="G136" s="76" t="s">
        <v>59</v>
      </c>
      <c r="H136" s="64" t="str">
        <f t="shared" si="14"/>
        <v>2487</v>
      </c>
      <c r="I136" s="59">
        <v>1</v>
      </c>
      <c r="J136" s="61"/>
    </row>
    <row r="137" spans="1:10" s="25" customFormat="1" ht="27" customHeight="1">
      <c r="A137" s="65">
        <f t="shared" si="13"/>
        <v>135</v>
      </c>
      <c r="B137" s="76" t="str">
        <f t="shared" si="12"/>
        <v>reserved_byte135</v>
      </c>
      <c r="C137" s="59">
        <v>255</v>
      </c>
      <c r="D137" s="60">
        <v>255</v>
      </c>
      <c r="E137" s="59">
        <v>0</v>
      </c>
      <c r="F137" s="59">
        <v>255</v>
      </c>
      <c r="G137" s="76" t="s">
        <v>59</v>
      </c>
      <c r="H137" s="64" t="str">
        <f t="shared" si="14"/>
        <v>2488</v>
      </c>
      <c r="I137" s="59">
        <v>1</v>
      </c>
      <c r="J137" s="61"/>
    </row>
    <row r="138" spans="1:10" s="25" customFormat="1" ht="27" customHeight="1">
      <c r="A138" s="65">
        <f t="shared" si="13"/>
        <v>136</v>
      </c>
      <c r="B138" s="76" t="str">
        <f t="shared" si="12"/>
        <v>reserved_byte136</v>
      </c>
      <c r="C138" s="59">
        <v>255</v>
      </c>
      <c r="D138" s="60">
        <v>255</v>
      </c>
      <c r="E138" s="59">
        <v>0</v>
      </c>
      <c r="F138" s="59">
        <v>255</v>
      </c>
      <c r="G138" s="76" t="s">
        <v>59</v>
      </c>
      <c r="H138" s="64" t="str">
        <f t="shared" si="14"/>
        <v>2489</v>
      </c>
      <c r="I138" s="59">
        <v>1</v>
      </c>
      <c r="J138" s="61"/>
    </row>
    <row r="139" spans="1:10" s="25" customFormat="1" ht="27" customHeight="1">
      <c r="A139" s="65">
        <f t="shared" si="13"/>
        <v>137</v>
      </c>
      <c r="B139" s="76" t="str">
        <f t="shared" si="12"/>
        <v>reserved_byte137</v>
      </c>
      <c r="C139" s="59">
        <v>255</v>
      </c>
      <c r="D139" s="60">
        <v>255</v>
      </c>
      <c r="E139" s="59">
        <v>0</v>
      </c>
      <c r="F139" s="59">
        <v>255</v>
      </c>
      <c r="G139" s="76" t="s">
        <v>59</v>
      </c>
      <c r="H139" s="64" t="str">
        <f t="shared" si="14"/>
        <v>248A</v>
      </c>
      <c r="I139" s="59">
        <v>1</v>
      </c>
      <c r="J139" s="61"/>
    </row>
    <row r="140" spans="1:10" s="25" customFormat="1" ht="27" customHeight="1">
      <c r="A140" s="65">
        <f t="shared" si="13"/>
        <v>138</v>
      </c>
      <c r="B140" s="76" t="str">
        <f t="shared" si="12"/>
        <v>reserved_byte138</v>
      </c>
      <c r="C140" s="59">
        <v>255</v>
      </c>
      <c r="D140" s="60">
        <v>255</v>
      </c>
      <c r="E140" s="59">
        <v>0</v>
      </c>
      <c r="F140" s="59">
        <v>255</v>
      </c>
      <c r="G140" s="76" t="s">
        <v>59</v>
      </c>
      <c r="H140" s="64" t="str">
        <f t="shared" si="14"/>
        <v>248B</v>
      </c>
      <c r="I140" s="59">
        <v>1</v>
      </c>
      <c r="J140" s="61"/>
    </row>
    <row r="141" spans="1:10" s="25" customFormat="1" ht="27" customHeight="1">
      <c r="A141" s="65">
        <f t="shared" si="13"/>
        <v>139</v>
      </c>
      <c r="B141" s="76" t="str">
        <f t="shared" si="12"/>
        <v>reserved_byte139</v>
      </c>
      <c r="C141" s="59">
        <v>255</v>
      </c>
      <c r="D141" s="60">
        <v>255</v>
      </c>
      <c r="E141" s="59">
        <v>0</v>
      </c>
      <c r="F141" s="59">
        <v>255</v>
      </c>
      <c r="G141" s="76" t="s">
        <v>59</v>
      </c>
      <c r="H141" s="64" t="str">
        <f t="shared" si="14"/>
        <v>248C</v>
      </c>
      <c r="I141" s="59">
        <v>1</v>
      </c>
      <c r="J141" s="61"/>
    </row>
    <row r="142" spans="1:10" s="25" customFormat="1" ht="27" customHeight="1">
      <c r="A142" s="65">
        <f t="shared" si="13"/>
        <v>140</v>
      </c>
      <c r="B142" s="76" t="str">
        <f t="shared" si="12"/>
        <v>reserved_byte140</v>
      </c>
      <c r="C142" s="59">
        <v>255</v>
      </c>
      <c r="D142" s="60">
        <v>255</v>
      </c>
      <c r="E142" s="59">
        <v>0</v>
      </c>
      <c r="F142" s="59">
        <v>255</v>
      </c>
      <c r="G142" s="76" t="s">
        <v>59</v>
      </c>
      <c r="H142" s="64" t="str">
        <f t="shared" si="14"/>
        <v>248D</v>
      </c>
      <c r="I142" s="59">
        <v>1</v>
      </c>
      <c r="J142" s="61"/>
    </row>
    <row r="143" spans="1:10" s="25" customFormat="1" ht="27" customHeight="1">
      <c r="A143" s="65">
        <f t="shared" si="13"/>
        <v>141</v>
      </c>
      <c r="B143" s="76" t="str">
        <f t="shared" si="12"/>
        <v>reserved_byte141</v>
      </c>
      <c r="C143" s="59">
        <v>255</v>
      </c>
      <c r="D143" s="60">
        <v>255</v>
      </c>
      <c r="E143" s="59">
        <v>0</v>
      </c>
      <c r="F143" s="59">
        <v>255</v>
      </c>
      <c r="G143" s="76" t="s">
        <v>59</v>
      </c>
      <c r="H143" s="64" t="str">
        <f t="shared" si="14"/>
        <v>248E</v>
      </c>
      <c r="I143" s="59">
        <v>1</v>
      </c>
      <c r="J143" s="61"/>
    </row>
    <row r="144" spans="1:10" s="25" customFormat="1" ht="27" customHeight="1">
      <c r="A144" s="65">
        <f t="shared" si="13"/>
        <v>142</v>
      </c>
      <c r="B144" s="76" t="str">
        <f t="shared" si="12"/>
        <v>reserved_byte142</v>
      </c>
      <c r="C144" s="59">
        <v>255</v>
      </c>
      <c r="D144" s="60">
        <v>255</v>
      </c>
      <c r="E144" s="59">
        <v>0</v>
      </c>
      <c r="F144" s="59">
        <v>255</v>
      </c>
      <c r="G144" s="76" t="s">
        <v>59</v>
      </c>
      <c r="H144" s="64" t="str">
        <f t="shared" si="14"/>
        <v>248F</v>
      </c>
      <c r="I144" s="59">
        <v>1</v>
      </c>
      <c r="J144" s="61"/>
    </row>
    <row r="145" spans="1:10" s="25" customFormat="1" ht="27" customHeight="1">
      <c r="A145" s="65">
        <f t="shared" si="13"/>
        <v>143</v>
      </c>
      <c r="B145" s="76" t="str">
        <f t="shared" si="12"/>
        <v>reserved_byte143</v>
      </c>
      <c r="C145" s="59">
        <v>255</v>
      </c>
      <c r="D145" s="60">
        <v>255</v>
      </c>
      <c r="E145" s="59">
        <v>0</v>
      </c>
      <c r="F145" s="59">
        <v>255</v>
      </c>
      <c r="G145" s="76" t="s">
        <v>59</v>
      </c>
      <c r="H145" s="64" t="str">
        <f t="shared" si="14"/>
        <v>2490</v>
      </c>
      <c r="I145" s="59">
        <v>1</v>
      </c>
      <c r="J145" s="61"/>
    </row>
    <row r="146" spans="1:10" s="25" customFormat="1" ht="27" customHeight="1">
      <c r="A146" s="65">
        <f t="shared" si="13"/>
        <v>144</v>
      </c>
      <c r="B146" s="76" t="str">
        <f t="shared" si="12"/>
        <v>reserved_byte144</v>
      </c>
      <c r="C146" s="59">
        <v>255</v>
      </c>
      <c r="D146" s="60">
        <v>255</v>
      </c>
      <c r="E146" s="59">
        <v>0</v>
      </c>
      <c r="F146" s="59">
        <v>255</v>
      </c>
      <c r="G146" s="76" t="s">
        <v>59</v>
      </c>
      <c r="H146" s="64" t="str">
        <f t="shared" si="14"/>
        <v>2491</v>
      </c>
      <c r="I146" s="59">
        <v>1</v>
      </c>
      <c r="J146" s="61"/>
    </row>
    <row r="147" spans="1:10" s="25" customFormat="1" ht="27" customHeight="1">
      <c r="A147" s="65">
        <f t="shared" si="13"/>
        <v>145</v>
      </c>
      <c r="B147" s="76" t="str">
        <f t="shared" si="12"/>
        <v>reserved_byte145</v>
      </c>
      <c r="C147" s="59">
        <v>255</v>
      </c>
      <c r="D147" s="60">
        <v>255</v>
      </c>
      <c r="E147" s="59">
        <v>0</v>
      </c>
      <c r="F147" s="59">
        <v>255</v>
      </c>
      <c r="G147" s="76" t="s">
        <v>59</v>
      </c>
      <c r="H147" s="64" t="str">
        <f t="shared" si="14"/>
        <v>2492</v>
      </c>
      <c r="I147" s="59">
        <v>1</v>
      </c>
      <c r="J147" s="61"/>
    </row>
    <row r="148" spans="1:10" s="25" customFormat="1" ht="27" customHeight="1">
      <c r="A148" s="65">
        <f t="shared" si="13"/>
        <v>146</v>
      </c>
      <c r="B148" s="76" t="str">
        <f t="shared" si="12"/>
        <v>reserved_byte146</v>
      </c>
      <c r="C148" s="59">
        <v>255</v>
      </c>
      <c r="D148" s="60">
        <v>255</v>
      </c>
      <c r="E148" s="59">
        <v>0</v>
      </c>
      <c r="F148" s="59">
        <v>255</v>
      </c>
      <c r="G148" s="76" t="s">
        <v>59</v>
      </c>
      <c r="H148" s="64" t="str">
        <f t="shared" si="14"/>
        <v>2493</v>
      </c>
      <c r="I148" s="59">
        <v>1</v>
      </c>
      <c r="J148" s="61"/>
    </row>
    <row r="149" spans="1:10" s="25" customFormat="1" ht="27" customHeight="1">
      <c r="A149" s="65">
        <f t="shared" si="13"/>
        <v>147</v>
      </c>
      <c r="B149" s="76" t="str">
        <f t="shared" si="12"/>
        <v>reserved_byte147</v>
      </c>
      <c r="C149" s="59">
        <v>255</v>
      </c>
      <c r="D149" s="60">
        <v>255</v>
      </c>
      <c r="E149" s="59">
        <v>0</v>
      </c>
      <c r="F149" s="59">
        <v>255</v>
      </c>
      <c r="G149" s="76" t="s">
        <v>59</v>
      </c>
      <c r="H149" s="64" t="str">
        <f t="shared" si="14"/>
        <v>2494</v>
      </c>
      <c r="I149" s="59">
        <v>1</v>
      </c>
      <c r="J149" s="61"/>
    </row>
    <row r="150" spans="1:10" s="25" customFormat="1" ht="27" customHeight="1">
      <c r="A150" s="65">
        <f t="shared" si="13"/>
        <v>148</v>
      </c>
      <c r="B150" s="76" t="str">
        <f t="shared" si="12"/>
        <v>reserved_byte148</v>
      </c>
      <c r="C150" s="59">
        <v>255</v>
      </c>
      <c r="D150" s="60">
        <v>255</v>
      </c>
      <c r="E150" s="59">
        <v>0</v>
      </c>
      <c r="F150" s="59">
        <v>255</v>
      </c>
      <c r="G150" s="76" t="s">
        <v>59</v>
      </c>
      <c r="H150" s="64" t="str">
        <f t="shared" si="14"/>
        <v>2495</v>
      </c>
      <c r="I150" s="59">
        <v>1</v>
      </c>
      <c r="J150" s="61"/>
    </row>
    <row r="151" spans="1:10" s="25" customFormat="1" ht="27" customHeight="1">
      <c r="A151" s="65">
        <f t="shared" si="13"/>
        <v>149</v>
      </c>
      <c r="B151" s="76" t="str">
        <f t="shared" si="12"/>
        <v>reserved_byte149</v>
      </c>
      <c r="C151" s="59">
        <v>255</v>
      </c>
      <c r="D151" s="60">
        <v>255</v>
      </c>
      <c r="E151" s="59">
        <v>0</v>
      </c>
      <c r="F151" s="59">
        <v>255</v>
      </c>
      <c r="G151" s="76" t="s">
        <v>59</v>
      </c>
      <c r="H151" s="64" t="str">
        <f t="shared" si="14"/>
        <v>2496</v>
      </c>
      <c r="I151" s="59">
        <v>1</v>
      </c>
      <c r="J151" s="61"/>
    </row>
    <row r="152" spans="1:10" s="25" customFormat="1" ht="27" customHeight="1">
      <c r="A152" s="65">
        <f t="shared" si="13"/>
        <v>150</v>
      </c>
      <c r="B152" s="76" t="str">
        <f t="shared" si="12"/>
        <v>reserved_byte150</v>
      </c>
      <c r="C152" s="59">
        <v>255</v>
      </c>
      <c r="D152" s="60">
        <v>255</v>
      </c>
      <c r="E152" s="59">
        <v>0</v>
      </c>
      <c r="F152" s="59">
        <v>255</v>
      </c>
      <c r="G152" s="76" t="s">
        <v>59</v>
      </c>
      <c r="H152" s="64" t="str">
        <f t="shared" si="14"/>
        <v>2497</v>
      </c>
      <c r="I152" s="59">
        <v>1</v>
      </c>
      <c r="J152" s="61"/>
    </row>
    <row r="153" spans="1:10" s="25" customFormat="1" ht="27" customHeight="1">
      <c r="A153" s="65">
        <f t="shared" si="13"/>
        <v>151</v>
      </c>
      <c r="B153" s="76" t="str">
        <f t="shared" si="12"/>
        <v>reserved_byte151</v>
      </c>
      <c r="C153" s="59">
        <v>255</v>
      </c>
      <c r="D153" s="60">
        <v>255</v>
      </c>
      <c r="E153" s="59">
        <v>0</v>
      </c>
      <c r="F153" s="59">
        <v>255</v>
      </c>
      <c r="G153" s="76" t="s">
        <v>59</v>
      </c>
      <c r="H153" s="64" t="str">
        <f t="shared" si="14"/>
        <v>2498</v>
      </c>
      <c r="I153" s="59">
        <v>1</v>
      </c>
      <c r="J153" s="61"/>
    </row>
    <row r="154" spans="1:10" s="25" customFormat="1" ht="27" customHeight="1">
      <c r="A154" s="65">
        <f t="shared" si="13"/>
        <v>152</v>
      </c>
      <c r="B154" s="76" t="str">
        <f t="shared" si="12"/>
        <v>reserved_byte152</v>
      </c>
      <c r="C154" s="59">
        <v>255</v>
      </c>
      <c r="D154" s="60">
        <v>255</v>
      </c>
      <c r="E154" s="59">
        <v>0</v>
      </c>
      <c r="F154" s="59">
        <v>255</v>
      </c>
      <c r="G154" s="76" t="s">
        <v>59</v>
      </c>
      <c r="H154" s="64" t="str">
        <f t="shared" si="14"/>
        <v>2499</v>
      </c>
      <c r="I154" s="59">
        <v>1</v>
      </c>
      <c r="J154" s="61"/>
    </row>
    <row r="155" spans="1:10" s="25" customFormat="1" ht="27" customHeight="1">
      <c r="A155" s="65">
        <f t="shared" si="13"/>
        <v>153</v>
      </c>
      <c r="B155" s="76" t="str">
        <f t="shared" si="12"/>
        <v>reserved_byte153</v>
      </c>
      <c r="C155" s="59">
        <v>255</v>
      </c>
      <c r="D155" s="60">
        <v>255</v>
      </c>
      <c r="E155" s="59">
        <v>0</v>
      </c>
      <c r="F155" s="59">
        <v>255</v>
      </c>
      <c r="G155" s="76" t="s">
        <v>59</v>
      </c>
      <c r="H155" s="64" t="str">
        <f t="shared" si="14"/>
        <v>249A</v>
      </c>
      <c r="I155" s="59">
        <v>1</v>
      </c>
      <c r="J155" s="61"/>
    </row>
    <row r="156" spans="1:10" s="25" customFormat="1" ht="27" customHeight="1">
      <c r="A156" s="65">
        <f t="shared" si="13"/>
        <v>154</v>
      </c>
      <c r="B156" s="76" t="str">
        <f t="shared" si="12"/>
        <v>reserved_byte154</v>
      </c>
      <c r="C156" s="59">
        <v>255</v>
      </c>
      <c r="D156" s="60">
        <v>255</v>
      </c>
      <c r="E156" s="59">
        <v>0</v>
      </c>
      <c r="F156" s="59">
        <v>255</v>
      </c>
      <c r="G156" s="76" t="s">
        <v>59</v>
      </c>
      <c r="H156" s="64" t="str">
        <f t="shared" si="14"/>
        <v>249B</v>
      </c>
      <c r="I156" s="59">
        <v>1</v>
      </c>
      <c r="J156" s="61"/>
    </row>
    <row r="157" spans="1:10" s="25" customFormat="1" ht="27" customHeight="1">
      <c r="A157" s="65">
        <f t="shared" si="13"/>
        <v>155</v>
      </c>
      <c r="B157" s="76" t="str">
        <f t="shared" si="12"/>
        <v>reserved_byte155</v>
      </c>
      <c r="C157" s="59">
        <v>255</v>
      </c>
      <c r="D157" s="60">
        <v>255</v>
      </c>
      <c r="E157" s="59">
        <v>0</v>
      </c>
      <c r="F157" s="59">
        <v>255</v>
      </c>
      <c r="G157" s="76" t="s">
        <v>59</v>
      </c>
      <c r="H157" s="64" t="str">
        <f t="shared" si="14"/>
        <v>249C</v>
      </c>
      <c r="I157" s="59">
        <v>1</v>
      </c>
      <c r="J157" s="61"/>
    </row>
    <row r="158" spans="1:10" s="25" customFormat="1" ht="27" customHeight="1">
      <c r="A158" s="65">
        <f t="shared" si="13"/>
        <v>156</v>
      </c>
      <c r="B158" s="76" t="str">
        <f t="shared" si="12"/>
        <v>reserved_byte156</v>
      </c>
      <c r="C158" s="59">
        <v>255</v>
      </c>
      <c r="D158" s="60">
        <v>255</v>
      </c>
      <c r="E158" s="59">
        <v>0</v>
      </c>
      <c r="F158" s="59">
        <v>255</v>
      </c>
      <c r="G158" s="76" t="s">
        <v>59</v>
      </c>
      <c r="H158" s="64" t="str">
        <f t="shared" si="14"/>
        <v>249D</v>
      </c>
      <c r="I158" s="59">
        <v>1</v>
      </c>
      <c r="J158" s="61"/>
    </row>
    <row r="159" spans="1:10" s="25" customFormat="1" ht="27" customHeight="1">
      <c r="A159" s="65">
        <f t="shared" si="13"/>
        <v>157</v>
      </c>
      <c r="B159" s="76" t="str">
        <f t="shared" si="12"/>
        <v>reserved_byte157</v>
      </c>
      <c r="C159" s="59">
        <v>255</v>
      </c>
      <c r="D159" s="60">
        <v>255</v>
      </c>
      <c r="E159" s="59">
        <v>0</v>
      </c>
      <c r="F159" s="59">
        <v>255</v>
      </c>
      <c r="G159" s="76" t="s">
        <v>59</v>
      </c>
      <c r="H159" s="64" t="str">
        <f t="shared" si="14"/>
        <v>249E</v>
      </c>
      <c r="I159" s="59">
        <v>1</v>
      </c>
      <c r="J159" s="61"/>
    </row>
    <row r="160" spans="1:10" s="25" customFormat="1" ht="27" customHeight="1">
      <c r="A160" s="65">
        <f t="shared" si="13"/>
        <v>158</v>
      </c>
      <c r="B160" s="76" t="str">
        <f t="shared" si="12"/>
        <v>reserved_byte158</v>
      </c>
      <c r="C160" s="59">
        <v>255</v>
      </c>
      <c r="D160" s="60">
        <v>255</v>
      </c>
      <c r="E160" s="59">
        <v>0</v>
      </c>
      <c r="F160" s="59">
        <v>255</v>
      </c>
      <c r="G160" s="76" t="s">
        <v>59</v>
      </c>
      <c r="H160" s="64" t="str">
        <f t="shared" si="14"/>
        <v>249F</v>
      </c>
      <c r="I160" s="59">
        <v>1</v>
      </c>
      <c r="J160" s="61"/>
    </row>
    <row r="161" spans="1:10" s="25" customFormat="1" ht="27" customHeight="1">
      <c r="A161" s="65">
        <f t="shared" si="13"/>
        <v>159</v>
      </c>
      <c r="B161" s="76" t="str">
        <f t="shared" si="12"/>
        <v>reserved_byte159</v>
      </c>
      <c r="C161" s="59">
        <v>255</v>
      </c>
      <c r="D161" s="60">
        <v>255</v>
      </c>
      <c r="E161" s="59">
        <v>0</v>
      </c>
      <c r="F161" s="59">
        <v>255</v>
      </c>
      <c r="G161" s="76" t="s">
        <v>59</v>
      </c>
      <c r="H161" s="64" t="str">
        <f t="shared" si="14"/>
        <v>24A0</v>
      </c>
      <c r="I161" s="59">
        <v>1</v>
      </c>
      <c r="J161" s="61"/>
    </row>
    <row r="162" spans="1:10" s="25" customFormat="1" ht="27" customHeight="1">
      <c r="A162" s="65">
        <f t="shared" si="13"/>
        <v>160</v>
      </c>
      <c r="B162" s="76" t="str">
        <f t="shared" ref="B162:B193" si="15">"reserved_byte" &amp;TEXT(A162,0)</f>
        <v>reserved_byte160</v>
      </c>
      <c r="C162" s="59">
        <v>255</v>
      </c>
      <c r="D162" s="60">
        <v>255</v>
      </c>
      <c r="E162" s="59">
        <v>0</v>
      </c>
      <c r="F162" s="59">
        <v>255</v>
      </c>
      <c r="G162" s="76" t="s">
        <v>59</v>
      </c>
      <c r="H162" s="64" t="str">
        <f t="shared" si="14"/>
        <v>24A1</v>
      </c>
      <c r="I162" s="59">
        <v>1</v>
      </c>
      <c r="J162" s="61"/>
    </row>
    <row r="163" spans="1:10" s="25" customFormat="1" ht="27" customHeight="1">
      <c r="A163" s="65">
        <f t="shared" ref="A163:A194" si="16">A162+1</f>
        <v>161</v>
      </c>
      <c r="B163" s="76" t="str">
        <f t="shared" si="15"/>
        <v>reserved_byte161</v>
      </c>
      <c r="C163" s="59">
        <v>255</v>
      </c>
      <c r="D163" s="60">
        <v>255</v>
      </c>
      <c r="E163" s="59">
        <v>0</v>
      </c>
      <c r="F163" s="59">
        <v>255</v>
      </c>
      <c r="G163" s="76" t="s">
        <v>59</v>
      </c>
      <c r="H163" s="64" t="str">
        <f t="shared" ref="H163:H194" si="17">DEC2HEX((HEX2DEC(H162)+1),4)</f>
        <v>24A2</v>
      </c>
      <c r="I163" s="59">
        <v>1</v>
      </c>
      <c r="J163" s="61"/>
    </row>
    <row r="164" spans="1:10" s="25" customFormat="1" ht="27" customHeight="1">
      <c r="A164" s="65">
        <f t="shared" si="16"/>
        <v>162</v>
      </c>
      <c r="B164" s="76" t="str">
        <f t="shared" si="15"/>
        <v>reserved_byte162</v>
      </c>
      <c r="C164" s="59">
        <v>255</v>
      </c>
      <c r="D164" s="60">
        <v>255</v>
      </c>
      <c r="E164" s="59">
        <v>0</v>
      </c>
      <c r="F164" s="59">
        <v>255</v>
      </c>
      <c r="G164" s="76" t="s">
        <v>59</v>
      </c>
      <c r="H164" s="64" t="str">
        <f t="shared" si="17"/>
        <v>24A3</v>
      </c>
      <c r="I164" s="59">
        <v>1</v>
      </c>
      <c r="J164" s="61"/>
    </row>
    <row r="165" spans="1:10" s="25" customFormat="1" ht="27" customHeight="1">
      <c r="A165" s="65">
        <f t="shared" si="16"/>
        <v>163</v>
      </c>
      <c r="B165" s="76" t="str">
        <f t="shared" si="15"/>
        <v>reserved_byte163</v>
      </c>
      <c r="C165" s="59">
        <v>255</v>
      </c>
      <c r="D165" s="60">
        <v>255</v>
      </c>
      <c r="E165" s="59">
        <v>0</v>
      </c>
      <c r="F165" s="59">
        <v>255</v>
      </c>
      <c r="G165" s="76" t="s">
        <v>59</v>
      </c>
      <c r="H165" s="64" t="str">
        <f t="shared" si="17"/>
        <v>24A4</v>
      </c>
      <c r="I165" s="59">
        <v>1</v>
      </c>
      <c r="J165" s="61"/>
    </row>
    <row r="166" spans="1:10" s="25" customFormat="1" ht="27" customHeight="1">
      <c r="A166" s="65">
        <f t="shared" si="16"/>
        <v>164</v>
      </c>
      <c r="B166" s="76" t="str">
        <f t="shared" si="15"/>
        <v>reserved_byte164</v>
      </c>
      <c r="C166" s="59">
        <v>255</v>
      </c>
      <c r="D166" s="60">
        <v>255</v>
      </c>
      <c r="E166" s="59">
        <v>0</v>
      </c>
      <c r="F166" s="59">
        <v>255</v>
      </c>
      <c r="G166" s="76" t="s">
        <v>59</v>
      </c>
      <c r="H166" s="64" t="str">
        <f t="shared" si="17"/>
        <v>24A5</v>
      </c>
      <c r="I166" s="59">
        <v>1</v>
      </c>
      <c r="J166" s="61"/>
    </row>
    <row r="167" spans="1:10" s="25" customFormat="1" ht="27" customHeight="1">
      <c r="A167" s="65">
        <f t="shared" si="16"/>
        <v>165</v>
      </c>
      <c r="B167" s="76" t="str">
        <f t="shared" si="15"/>
        <v>reserved_byte165</v>
      </c>
      <c r="C167" s="59">
        <v>255</v>
      </c>
      <c r="D167" s="60">
        <v>255</v>
      </c>
      <c r="E167" s="59">
        <v>0</v>
      </c>
      <c r="F167" s="59">
        <v>255</v>
      </c>
      <c r="G167" s="76" t="s">
        <v>59</v>
      </c>
      <c r="H167" s="64" t="str">
        <f t="shared" si="17"/>
        <v>24A6</v>
      </c>
      <c r="I167" s="59">
        <v>1</v>
      </c>
      <c r="J167" s="61"/>
    </row>
    <row r="168" spans="1:10" s="25" customFormat="1" ht="27" customHeight="1">
      <c r="A168" s="65">
        <f t="shared" si="16"/>
        <v>166</v>
      </c>
      <c r="B168" s="76" t="str">
        <f t="shared" si="15"/>
        <v>reserved_byte166</v>
      </c>
      <c r="C168" s="59">
        <v>255</v>
      </c>
      <c r="D168" s="60">
        <v>255</v>
      </c>
      <c r="E168" s="59">
        <v>0</v>
      </c>
      <c r="F168" s="59">
        <v>255</v>
      </c>
      <c r="G168" s="76" t="s">
        <v>59</v>
      </c>
      <c r="H168" s="64" t="str">
        <f t="shared" si="17"/>
        <v>24A7</v>
      </c>
      <c r="I168" s="59">
        <v>1</v>
      </c>
      <c r="J168" s="61"/>
    </row>
    <row r="169" spans="1:10" s="25" customFormat="1" ht="27" customHeight="1">
      <c r="A169" s="65">
        <f t="shared" si="16"/>
        <v>167</v>
      </c>
      <c r="B169" s="76" t="str">
        <f t="shared" si="15"/>
        <v>reserved_byte167</v>
      </c>
      <c r="C169" s="59">
        <v>255</v>
      </c>
      <c r="D169" s="60">
        <v>255</v>
      </c>
      <c r="E169" s="59">
        <v>0</v>
      </c>
      <c r="F169" s="59">
        <v>255</v>
      </c>
      <c r="G169" s="76" t="s">
        <v>59</v>
      </c>
      <c r="H169" s="64" t="str">
        <f t="shared" si="17"/>
        <v>24A8</v>
      </c>
      <c r="I169" s="59">
        <v>1</v>
      </c>
      <c r="J169" s="61"/>
    </row>
    <row r="170" spans="1:10" s="25" customFormat="1" ht="27" customHeight="1">
      <c r="A170" s="65">
        <f t="shared" si="16"/>
        <v>168</v>
      </c>
      <c r="B170" s="76" t="str">
        <f t="shared" si="15"/>
        <v>reserved_byte168</v>
      </c>
      <c r="C170" s="59">
        <v>255</v>
      </c>
      <c r="D170" s="60">
        <v>255</v>
      </c>
      <c r="E170" s="59">
        <v>0</v>
      </c>
      <c r="F170" s="59">
        <v>255</v>
      </c>
      <c r="G170" s="76" t="s">
        <v>59</v>
      </c>
      <c r="H170" s="64" t="str">
        <f t="shared" si="17"/>
        <v>24A9</v>
      </c>
      <c r="I170" s="59">
        <v>1</v>
      </c>
      <c r="J170" s="61"/>
    </row>
    <row r="171" spans="1:10" s="25" customFormat="1" ht="27" customHeight="1">
      <c r="A171" s="65">
        <f t="shared" si="16"/>
        <v>169</v>
      </c>
      <c r="B171" s="76" t="str">
        <f t="shared" si="15"/>
        <v>reserved_byte169</v>
      </c>
      <c r="C171" s="59">
        <v>255</v>
      </c>
      <c r="D171" s="60">
        <v>255</v>
      </c>
      <c r="E171" s="59">
        <v>0</v>
      </c>
      <c r="F171" s="59">
        <v>255</v>
      </c>
      <c r="G171" s="76" t="s">
        <v>59</v>
      </c>
      <c r="H171" s="64" t="str">
        <f t="shared" si="17"/>
        <v>24AA</v>
      </c>
      <c r="I171" s="59">
        <v>1</v>
      </c>
      <c r="J171" s="61"/>
    </row>
    <row r="172" spans="1:10" s="25" customFormat="1" ht="27" customHeight="1">
      <c r="A172" s="65">
        <f t="shared" si="16"/>
        <v>170</v>
      </c>
      <c r="B172" s="76" t="str">
        <f t="shared" si="15"/>
        <v>reserved_byte170</v>
      </c>
      <c r="C172" s="59">
        <v>255</v>
      </c>
      <c r="D172" s="60">
        <v>255</v>
      </c>
      <c r="E172" s="59">
        <v>0</v>
      </c>
      <c r="F172" s="59">
        <v>255</v>
      </c>
      <c r="G172" s="76" t="s">
        <v>59</v>
      </c>
      <c r="H172" s="64" t="str">
        <f t="shared" si="17"/>
        <v>24AB</v>
      </c>
      <c r="I172" s="59">
        <v>1</v>
      </c>
      <c r="J172" s="61"/>
    </row>
    <row r="173" spans="1:10" s="25" customFormat="1" ht="27" customHeight="1">
      <c r="A173" s="65">
        <f t="shared" si="16"/>
        <v>171</v>
      </c>
      <c r="B173" s="76" t="str">
        <f t="shared" si="15"/>
        <v>reserved_byte171</v>
      </c>
      <c r="C173" s="59">
        <v>255</v>
      </c>
      <c r="D173" s="60">
        <v>255</v>
      </c>
      <c r="E173" s="59">
        <v>0</v>
      </c>
      <c r="F173" s="59">
        <v>255</v>
      </c>
      <c r="G173" s="76" t="s">
        <v>59</v>
      </c>
      <c r="H173" s="64" t="str">
        <f t="shared" si="17"/>
        <v>24AC</v>
      </c>
      <c r="I173" s="59">
        <v>1</v>
      </c>
      <c r="J173" s="61"/>
    </row>
    <row r="174" spans="1:10" s="25" customFormat="1" ht="27" customHeight="1">
      <c r="A174" s="65">
        <f t="shared" si="16"/>
        <v>172</v>
      </c>
      <c r="B174" s="76" t="str">
        <f t="shared" si="15"/>
        <v>reserved_byte172</v>
      </c>
      <c r="C174" s="59">
        <v>255</v>
      </c>
      <c r="D174" s="60">
        <v>255</v>
      </c>
      <c r="E174" s="59">
        <v>0</v>
      </c>
      <c r="F174" s="59">
        <v>255</v>
      </c>
      <c r="G174" s="76" t="s">
        <v>59</v>
      </c>
      <c r="H174" s="64" t="str">
        <f t="shared" si="17"/>
        <v>24AD</v>
      </c>
      <c r="I174" s="59">
        <v>1</v>
      </c>
      <c r="J174" s="61"/>
    </row>
    <row r="175" spans="1:10" s="25" customFormat="1" ht="27" customHeight="1">
      <c r="A175" s="65">
        <f t="shared" si="16"/>
        <v>173</v>
      </c>
      <c r="B175" s="76" t="str">
        <f t="shared" si="15"/>
        <v>reserved_byte173</v>
      </c>
      <c r="C175" s="59">
        <v>255</v>
      </c>
      <c r="D175" s="60">
        <v>255</v>
      </c>
      <c r="E175" s="59">
        <v>0</v>
      </c>
      <c r="F175" s="59">
        <v>255</v>
      </c>
      <c r="G175" s="76" t="s">
        <v>59</v>
      </c>
      <c r="H175" s="64" t="str">
        <f t="shared" si="17"/>
        <v>24AE</v>
      </c>
      <c r="I175" s="59">
        <v>1</v>
      </c>
      <c r="J175" s="61"/>
    </row>
    <row r="176" spans="1:10" s="25" customFormat="1" ht="27" customHeight="1">
      <c r="A176" s="65">
        <f t="shared" si="16"/>
        <v>174</v>
      </c>
      <c r="B176" s="76" t="str">
        <f t="shared" si="15"/>
        <v>reserved_byte174</v>
      </c>
      <c r="C176" s="59">
        <v>255</v>
      </c>
      <c r="D176" s="60">
        <v>255</v>
      </c>
      <c r="E176" s="59">
        <v>0</v>
      </c>
      <c r="F176" s="59">
        <v>255</v>
      </c>
      <c r="G176" s="76" t="s">
        <v>59</v>
      </c>
      <c r="H176" s="64" t="str">
        <f t="shared" si="17"/>
        <v>24AF</v>
      </c>
      <c r="I176" s="59">
        <v>1</v>
      </c>
      <c r="J176" s="61"/>
    </row>
    <row r="177" spans="1:10" s="25" customFormat="1" ht="27" customHeight="1">
      <c r="A177" s="65">
        <f t="shared" si="16"/>
        <v>175</v>
      </c>
      <c r="B177" s="76" t="str">
        <f t="shared" si="15"/>
        <v>reserved_byte175</v>
      </c>
      <c r="C177" s="59">
        <v>255</v>
      </c>
      <c r="D177" s="60">
        <v>255</v>
      </c>
      <c r="E177" s="59">
        <v>0</v>
      </c>
      <c r="F177" s="59">
        <v>255</v>
      </c>
      <c r="G177" s="76" t="s">
        <v>59</v>
      </c>
      <c r="H177" s="64" t="str">
        <f t="shared" si="17"/>
        <v>24B0</v>
      </c>
      <c r="I177" s="59">
        <v>1</v>
      </c>
      <c r="J177" s="61"/>
    </row>
    <row r="178" spans="1:10" s="25" customFormat="1" ht="27" customHeight="1">
      <c r="A178" s="65">
        <f t="shared" si="16"/>
        <v>176</v>
      </c>
      <c r="B178" s="76" t="str">
        <f t="shared" si="15"/>
        <v>reserved_byte176</v>
      </c>
      <c r="C178" s="59">
        <v>255</v>
      </c>
      <c r="D178" s="60">
        <v>255</v>
      </c>
      <c r="E178" s="59">
        <v>0</v>
      </c>
      <c r="F178" s="59">
        <v>255</v>
      </c>
      <c r="G178" s="76" t="s">
        <v>59</v>
      </c>
      <c r="H178" s="64" t="str">
        <f t="shared" si="17"/>
        <v>24B1</v>
      </c>
      <c r="I178" s="59">
        <v>1</v>
      </c>
      <c r="J178" s="61"/>
    </row>
    <row r="179" spans="1:10" s="25" customFormat="1" ht="27" customHeight="1">
      <c r="A179" s="65">
        <f t="shared" si="16"/>
        <v>177</v>
      </c>
      <c r="B179" s="76" t="str">
        <f t="shared" si="15"/>
        <v>reserved_byte177</v>
      </c>
      <c r="C179" s="59">
        <v>255</v>
      </c>
      <c r="D179" s="60">
        <v>255</v>
      </c>
      <c r="E179" s="59">
        <v>0</v>
      </c>
      <c r="F179" s="59">
        <v>255</v>
      </c>
      <c r="G179" s="76" t="s">
        <v>59</v>
      </c>
      <c r="H179" s="64" t="str">
        <f t="shared" si="17"/>
        <v>24B2</v>
      </c>
      <c r="I179" s="59">
        <v>1</v>
      </c>
      <c r="J179" s="61"/>
    </row>
    <row r="180" spans="1:10" s="25" customFormat="1" ht="27" customHeight="1">
      <c r="A180" s="65">
        <f t="shared" si="16"/>
        <v>178</v>
      </c>
      <c r="B180" s="76" t="str">
        <f t="shared" si="15"/>
        <v>reserved_byte178</v>
      </c>
      <c r="C180" s="59">
        <v>255</v>
      </c>
      <c r="D180" s="60">
        <v>255</v>
      </c>
      <c r="E180" s="59">
        <v>0</v>
      </c>
      <c r="F180" s="59">
        <v>255</v>
      </c>
      <c r="G180" s="76" t="s">
        <v>59</v>
      </c>
      <c r="H180" s="64" t="str">
        <f t="shared" si="17"/>
        <v>24B3</v>
      </c>
      <c r="I180" s="59">
        <v>1</v>
      </c>
      <c r="J180" s="61"/>
    </row>
    <row r="181" spans="1:10" s="25" customFormat="1" ht="27" customHeight="1">
      <c r="A181" s="65">
        <f t="shared" si="16"/>
        <v>179</v>
      </c>
      <c r="B181" s="76" t="str">
        <f t="shared" si="15"/>
        <v>reserved_byte179</v>
      </c>
      <c r="C181" s="59">
        <v>255</v>
      </c>
      <c r="D181" s="60">
        <v>255</v>
      </c>
      <c r="E181" s="59">
        <v>0</v>
      </c>
      <c r="F181" s="59">
        <v>255</v>
      </c>
      <c r="G181" s="76" t="s">
        <v>59</v>
      </c>
      <c r="H181" s="64" t="str">
        <f t="shared" si="17"/>
        <v>24B4</v>
      </c>
      <c r="I181" s="59">
        <v>1</v>
      </c>
      <c r="J181" s="61"/>
    </row>
    <row r="182" spans="1:10" s="25" customFormat="1" ht="27" customHeight="1">
      <c r="A182" s="65">
        <f t="shared" si="16"/>
        <v>180</v>
      </c>
      <c r="B182" s="76" t="str">
        <f t="shared" si="15"/>
        <v>reserved_byte180</v>
      </c>
      <c r="C182" s="59">
        <v>255</v>
      </c>
      <c r="D182" s="60">
        <v>255</v>
      </c>
      <c r="E182" s="59">
        <v>0</v>
      </c>
      <c r="F182" s="59">
        <v>255</v>
      </c>
      <c r="G182" s="76" t="s">
        <v>59</v>
      </c>
      <c r="H182" s="64" t="str">
        <f t="shared" si="17"/>
        <v>24B5</v>
      </c>
      <c r="I182" s="59">
        <v>1</v>
      </c>
      <c r="J182" s="61"/>
    </row>
    <row r="183" spans="1:10" s="25" customFormat="1" ht="27" customHeight="1">
      <c r="A183" s="65">
        <f t="shared" si="16"/>
        <v>181</v>
      </c>
      <c r="B183" s="76" t="str">
        <f t="shared" si="15"/>
        <v>reserved_byte181</v>
      </c>
      <c r="C183" s="59">
        <v>255</v>
      </c>
      <c r="D183" s="60">
        <v>255</v>
      </c>
      <c r="E183" s="59">
        <v>0</v>
      </c>
      <c r="F183" s="59">
        <v>255</v>
      </c>
      <c r="G183" s="76" t="s">
        <v>59</v>
      </c>
      <c r="H183" s="64" t="str">
        <f t="shared" si="17"/>
        <v>24B6</v>
      </c>
      <c r="I183" s="59">
        <v>1</v>
      </c>
      <c r="J183" s="61"/>
    </row>
    <row r="184" spans="1:10" s="25" customFormat="1" ht="27" customHeight="1">
      <c r="A184" s="65">
        <f t="shared" si="16"/>
        <v>182</v>
      </c>
      <c r="B184" s="76" t="str">
        <f t="shared" si="15"/>
        <v>reserved_byte182</v>
      </c>
      <c r="C184" s="59">
        <v>255</v>
      </c>
      <c r="D184" s="60">
        <v>255</v>
      </c>
      <c r="E184" s="59">
        <v>0</v>
      </c>
      <c r="F184" s="59">
        <v>255</v>
      </c>
      <c r="G184" s="76" t="s">
        <v>59</v>
      </c>
      <c r="H184" s="64" t="str">
        <f t="shared" si="17"/>
        <v>24B7</v>
      </c>
      <c r="I184" s="59">
        <v>1</v>
      </c>
      <c r="J184" s="61"/>
    </row>
    <row r="185" spans="1:10" s="25" customFormat="1" ht="27" customHeight="1">
      <c r="A185" s="65">
        <f t="shared" si="16"/>
        <v>183</v>
      </c>
      <c r="B185" s="76" t="str">
        <f t="shared" si="15"/>
        <v>reserved_byte183</v>
      </c>
      <c r="C185" s="59">
        <v>255</v>
      </c>
      <c r="D185" s="60">
        <v>255</v>
      </c>
      <c r="E185" s="59">
        <v>0</v>
      </c>
      <c r="F185" s="59">
        <v>255</v>
      </c>
      <c r="G185" s="76" t="s">
        <v>59</v>
      </c>
      <c r="H185" s="64" t="str">
        <f t="shared" si="17"/>
        <v>24B8</v>
      </c>
      <c r="I185" s="59">
        <v>1</v>
      </c>
      <c r="J185" s="61"/>
    </row>
    <row r="186" spans="1:10" s="25" customFormat="1" ht="27" customHeight="1">
      <c r="A186" s="65">
        <f t="shared" si="16"/>
        <v>184</v>
      </c>
      <c r="B186" s="76" t="str">
        <f t="shared" si="15"/>
        <v>reserved_byte184</v>
      </c>
      <c r="C186" s="59">
        <v>255</v>
      </c>
      <c r="D186" s="60">
        <v>255</v>
      </c>
      <c r="E186" s="59">
        <v>0</v>
      </c>
      <c r="F186" s="59">
        <v>255</v>
      </c>
      <c r="G186" s="76" t="s">
        <v>59</v>
      </c>
      <c r="H186" s="64" t="str">
        <f t="shared" si="17"/>
        <v>24B9</v>
      </c>
      <c r="I186" s="59">
        <v>1</v>
      </c>
      <c r="J186" s="61"/>
    </row>
    <row r="187" spans="1:10" s="25" customFormat="1" ht="27" customHeight="1">
      <c r="A187" s="65">
        <f t="shared" si="16"/>
        <v>185</v>
      </c>
      <c r="B187" s="76" t="str">
        <f t="shared" si="15"/>
        <v>reserved_byte185</v>
      </c>
      <c r="C187" s="59">
        <v>255</v>
      </c>
      <c r="D187" s="60">
        <v>255</v>
      </c>
      <c r="E187" s="59">
        <v>0</v>
      </c>
      <c r="F187" s="59">
        <v>255</v>
      </c>
      <c r="G187" s="76" t="s">
        <v>59</v>
      </c>
      <c r="H187" s="64" t="str">
        <f t="shared" si="17"/>
        <v>24BA</v>
      </c>
      <c r="I187" s="59">
        <v>1</v>
      </c>
      <c r="J187" s="61"/>
    </row>
    <row r="188" spans="1:10" s="25" customFormat="1" ht="27" customHeight="1">
      <c r="A188" s="65">
        <f t="shared" si="16"/>
        <v>186</v>
      </c>
      <c r="B188" s="76" t="str">
        <f t="shared" si="15"/>
        <v>reserved_byte186</v>
      </c>
      <c r="C188" s="59">
        <v>255</v>
      </c>
      <c r="D188" s="60">
        <v>255</v>
      </c>
      <c r="E188" s="59">
        <v>0</v>
      </c>
      <c r="F188" s="59">
        <v>255</v>
      </c>
      <c r="G188" s="76" t="s">
        <v>59</v>
      </c>
      <c r="H188" s="64" t="str">
        <f t="shared" si="17"/>
        <v>24BB</v>
      </c>
      <c r="I188" s="59">
        <v>1</v>
      </c>
      <c r="J188" s="61"/>
    </row>
    <row r="189" spans="1:10" s="25" customFormat="1" ht="27" customHeight="1">
      <c r="A189" s="65">
        <f t="shared" si="16"/>
        <v>187</v>
      </c>
      <c r="B189" s="76" t="str">
        <f t="shared" si="15"/>
        <v>reserved_byte187</v>
      </c>
      <c r="C189" s="59">
        <v>255</v>
      </c>
      <c r="D189" s="60">
        <v>255</v>
      </c>
      <c r="E189" s="59">
        <v>0</v>
      </c>
      <c r="F189" s="59">
        <v>255</v>
      </c>
      <c r="G189" s="76" t="s">
        <v>59</v>
      </c>
      <c r="H189" s="64" t="str">
        <f t="shared" si="17"/>
        <v>24BC</v>
      </c>
      <c r="I189" s="59">
        <v>1</v>
      </c>
      <c r="J189" s="61"/>
    </row>
    <row r="190" spans="1:10" s="25" customFormat="1" ht="27" customHeight="1">
      <c r="A190" s="65">
        <f t="shared" si="16"/>
        <v>188</v>
      </c>
      <c r="B190" s="76" t="str">
        <f t="shared" si="15"/>
        <v>reserved_byte188</v>
      </c>
      <c r="C190" s="59">
        <v>255</v>
      </c>
      <c r="D190" s="60">
        <v>255</v>
      </c>
      <c r="E190" s="59">
        <v>0</v>
      </c>
      <c r="F190" s="59">
        <v>255</v>
      </c>
      <c r="G190" s="76" t="s">
        <v>59</v>
      </c>
      <c r="H190" s="64" t="str">
        <f t="shared" si="17"/>
        <v>24BD</v>
      </c>
      <c r="I190" s="59">
        <v>1</v>
      </c>
      <c r="J190" s="61"/>
    </row>
    <row r="191" spans="1:10" s="25" customFormat="1" ht="27" customHeight="1">
      <c r="A191" s="65">
        <f t="shared" si="16"/>
        <v>189</v>
      </c>
      <c r="B191" s="76" t="str">
        <f t="shared" si="15"/>
        <v>reserved_byte189</v>
      </c>
      <c r="C191" s="59">
        <v>255</v>
      </c>
      <c r="D191" s="60">
        <v>255</v>
      </c>
      <c r="E191" s="59">
        <v>0</v>
      </c>
      <c r="F191" s="59">
        <v>255</v>
      </c>
      <c r="G191" s="76" t="s">
        <v>59</v>
      </c>
      <c r="H191" s="64" t="str">
        <f t="shared" si="17"/>
        <v>24BE</v>
      </c>
      <c r="I191" s="59">
        <v>1</v>
      </c>
      <c r="J191" s="61"/>
    </row>
    <row r="192" spans="1:10" s="25" customFormat="1" ht="27" customHeight="1">
      <c r="A192" s="65">
        <f t="shared" si="16"/>
        <v>190</v>
      </c>
      <c r="B192" s="76" t="str">
        <f t="shared" si="15"/>
        <v>reserved_byte190</v>
      </c>
      <c r="C192" s="59">
        <v>255</v>
      </c>
      <c r="D192" s="60">
        <v>255</v>
      </c>
      <c r="E192" s="59">
        <v>0</v>
      </c>
      <c r="F192" s="59">
        <v>255</v>
      </c>
      <c r="G192" s="76" t="s">
        <v>59</v>
      </c>
      <c r="H192" s="64" t="str">
        <f t="shared" si="17"/>
        <v>24BF</v>
      </c>
      <c r="I192" s="59">
        <v>1</v>
      </c>
      <c r="J192" s="61"/>
    </row>
    <row r="193" spans="1:10" s="25" customFormat="1" ht="27" customHeight="1">
      <c r="A193" s="65">
        <f t="shared" si="16"/>
        <v>191</v>
      </c>
      <c r="B193" s="76" t="str">
        <f t="shared" si="15"/>
        <v>reserved_byte191</v>
      </c>
      <c r="C193" s="59">
        <v>255</v>
      </c>
      <c r="D193" s="60">
        <v>255</v>
      </c>
      <c r="E193" s="59">
        <v>0</v>
      </c>
      <c r="F193" s="59">
        <v>255</v>
      </c>
      <c r="G193" s="76" t="s">
        <v>59</v>
      </c>
      <c r="H193" s="64" t="str">
        <f t="shared" si="17"/>
        <v>24C0</v>
      </c>
      <c r="I193" s="59">
        <v>1</v>
      </c>
      <c r="J193" s="61"/>
    </row>
    <row r="194" spans="1:10" s="25" customFormat="1" ht="27" customHeight="1">
      <c r="A194" s="65">
        <f t="shared" si="16"/>
        <v>192</v>
      </c>
      <c r="B194" s="76" t="str">
        <f t="shared" ref="B194:B201" si="18">"reserved_byte" &amp;TEXT(A194,0)</f>
        <v>reserved_byte192</v>
      </c>
      <c r="C194" s="59">
        <v>255</v>
      </c>
      <c r="D194" s="60">
        <v>255</v>
      </c>
      <c r="E194" s="59">
        <v>0</v>
      </c>
      <c r="F194" s="59">
        <v>255</v>
      </c>
      <c r="G194" s="76" t="s">
        <v>59</v>
      </c>
      <c r="H194" s="64" t="str">
        <f t="shared" si="17"/>
        <v>24C1</v>
      </c>
      <c r="I194" s="59">
        <v>1</v>
      </c>
      <c r="J194" s="61"/>
    </row>
    <row r="195" spans="1:10" s="25" customFormat="1" ht="27" customHeight="1">
      <c r="A195" s="65">
        <f t="shared" ref="A195:A201" si="19">A194+1</f>
        <v>193</v>
      </c>
      <c r="B195" s="76" t="str">
        <f t="shared" si="18"/>
        <v>reserved_byte193</v>
      </c>
      <c r="C195" s="59">
        <v>255</v>
      </c>
      <c r="D195" s="60">
        <v>255</v>
      </c>
      <c r="E195" s="59">
        <v>0</v>
      </c>
      <c r="F195" s="59">
        <v>255</v>
      </c>
      <c r="G195" s="76" t="s">
        <v>59</v>
      </c>
      <c r="H195" s="64" t="str">
        <f t="shared" ref="H195:H201" si="20">DEC2HEX((HEX2DEC(H194)+1),4)</f>
        <v>24C2</v>
      </c>
      <c r="I195" s="59">
        <v>1</v>
      </c>
      <c r="J195" s="61"/>
    </row>
    <row r="196" spans="1:10" s="25" customFormat="1" ht="27" customHeight="1">
      <c r="A196" s="65">
        <f t="shared" si="19"/>
        <v>194</v>
      </c>
      <c r="B196" s="76" t="str">
        <f t="shared" si="18"/>
        <v>reserved_byte194</v>
      </c>
      <c r="C196" s="59">
        <v>255</v>
      </c>
      <c r="D196" s="60">
        <v>255</v>
      </c>
      <c r="E196" s="59">
        <v>0</v>
      </c>
      <c r="F196" s="59">
        <v>255</v>
      </c>
      <c r="G196" s="76" t="s">
        <v>59</v>
      </c>
      <c r="H196" s="64" t="str">
        <f t="shared" si="20"/>
        <v>24C3</v>
      </c>
      <c r="I196" s="59">
        <v>1</v>
      </c>
      <c r="J196" s="61"/>
    </row>
    <row r="197" spans="1:10" s="25" customFormat="1" ht="27" customHeight="1">
      <c r="A197" s="65">
        <f t="shared" si="19"/>
        <v>195</v>
      </c>
      <c r="B197" s="76" t="str">
        <f t="shared" si="18"/>
        <v>reserved_byte195</v>
      </c>
      <c r="C197" s="59">
        <v>255</v>
      </c>
      <c r="D197" s="60">
        <v>255</v>
      </c>
      <c r="E197" s="59">
        <v>0</v>
      </c>
      <c r="F197" s="59">
        <v>255</v>
      </c>
      <c r="G197" s="76" t="s">
        <v>59</v>
      </c>
      <c r="H197" s="64" t="str">
        <f t="shared" si="20"/>
        <v>24C4</v>
      </c>
      <c r="I197" s="59">
        <v>1</v>
      </c>
      <c r="J197" s="61"/>
    </row>
    <row r="198" spans="1:10" s="25" customFormat="1" ht="27" customHeight="1">
      <c r="A198" s="65">
        <f t="shared" si="19"/>
        <v>196</v>
      </c>
      <c r="B198" s="76" t="str">
        <f t="shared" si="18"/>
        <v>reserved_byte196</v>
      </c>
      <c r="C198" s="59">
        <v>255</v>
      </c>
      <c r="D198" s="60">
        <v>255</v>
      </c>
      <c r="E198" s="59">
        <v>0</v>
      </c>
      <c r="F198" s="59">
        <v>255</v>
      </c>
      <c r="G198" s="76" t="s">
        <v>59</v>
      </c>
      <c r="H198" s="64" t="str">
        <f t="shared" si="20"/>
        <v>24C5</v>
      </c>
      <c r="I198" s="59">
        <v>1</v>
      </c>
      <c r="J198" s="61"/>
    </row>
    <row r="199" spans="1:10" s="25" customFormat="1" ht="27" customHeight="1">
      <c r="A199" s="65">
        <f t="shared" si="19"/>
        <v>197</v>
      </c>
      <c r="B199" s="76" t="str">
        <f t="shared" si="18"/>
        <v>reserved_byte197</v>
      </c>
      <c r="C199" s="59">
        <v>255</v>
      </c>
      <c r="D199" s="60">
        <v>255</v>
      </c>
      <c r="E199" s="59">
        <v>0</v>
      </c>
      <c r="F199" s="59">
        <v>255</v>
      </c>
      <c r="G199" s="76" t="s">
        <v>59</v>
      </c>
      <c r="H199" s="64" t="str">
        <f t="shared" si="20"/>
        <v>24C6</v>
      </c>
      <c r="I199" s="59">
        <v>1</v>
      </c>
      <c r="J199" s="61"/>
    </row>
    <row r="200" spans="1:10" s="25" customFormat="1" ht="27" customHeight="1">
      <c r="A200" s="65">
        <f t="shared" si="19"/>
        <v>198</v>
      </c>
      <c r="B200" s="76" t="str">
        <f t="shared" si="18"/>
        <v>reserved_byte198</v>
      </c>
      <c r="C200" s="59">
        <v>255</v>
      </c>
      <c r="D200" s="60">
        <v>255</v>
      </c>
      <c r="E200" s="59">
        <v>0</v>
      </c>
      <c r="F200" s="59">
        <v>255</v>
      </c>
      <c r="G200" s="76" t="s">
        <v>59</v>
      </c>
      <c r="H200" s="64" t="str">
        <f t="shared" si="20"/>
        <v>24C7</v>
      </c>
      <c r="I200" s="59">
        <v>1</v>
      </c>
      <c r="J200" s="61"/>
    </row>
    <row r="201" spans="1:10" s="25" customFormat="1" ht="27" customHeight="1">
      <c r="A201" s="65">
        <f t="shared" si="19"/>
        <v>199</v>
      </c>
      <c r="B201" s="76" t="str">
        <f t="shared" si="18"/>
        <v>reserved_byte199</v>
      </c>
      <c r="C201" s="59">
        <v>255</v>
      </c>
      <c r="D201" s="60">
        <v>255</v>
      </c>
      <c r="E201" s="59">
        <v>0</v>
      </c>
      <c r="F201" s="59">
        <v>255</v>
      </c>
      <c r="G201" s="76" t="s">
        <v>59</v>
      </c>
      <c r="H201" s="64" t="str">
        <f t="shared" si="20"/>
        <v>24C8</v>
      </c>
      <c r="I201" s="59">
        <v>1</v>
      </c>
      <c r="J201" s="61"/>
    </row>
  </sheetData>
  <dataValidations count="3">
    <dataValidation type="decimal" operator="lessThanOrEqual" allowBlank="1" showInputMessage="1" showErrorMessage="1" sqref="F2:F201">
      <formula1>255</formula1>
    </dataValidation>
    <dataValidation type="decimal" allowBlank="1" showInputMessage="1" showErrorMessage="1" sqref="D2:D201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3">
    <tabColor rgb="FFFF0000"/>
    <pageSetUpPr fitToPage="1"/>
  </sheetPr>
  <dimension ref="A1:J201"/>
  <sheetViews>
    <sheetView topLeftCell="A184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 t="shared" ref="B2:B33" si="0"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6" t="s">
        <v>59</v>
      </c>
      <c r="H2" s="63">
        <v>2501</v>
      </c>
      <c r="I2" s="59">
        <v>1</v>
      </c>
      <c r="J2" s="61"/>
    </row>
    <row r="3" spans="1:10" s="25" customFormat="1" ht="27" customHeight="1">
      <c r="A3" s="65">
        <f t="shared" ref="A3:A34" si="1">A2+1</f>
        <v>1</v>
      </c>
      <c r="B3" s="76" t="str">
        <f t="shared" si="0"/>
        <v>reserved_byte1</v>
      </c>
      <c r="C3" s="59">
        <v>255</v>
      </c>
      <c r="D3" s="60">
        <v>255</v>
      </c>
      <c r="E3" s="59">
        <v>0</v>
      </c>
      <c r="F3" s="59">
        <v>255</v>
      </c>
      <c r="G3" s="76" t="s">
        <v>59</v>
      </c>
      <c r="H3" s="64" t="str">
        <f t="shared" ref="H3:H34" si="2">DEC2HEX((HEX2DEC(H2)+1),4)</f>
        <v>2502</v>
      </c>
      <c r="I3" s="59">
        <v>1</v>
      </c>
      <c r="J3" s="61"/>
    </row>
    <row r="4" spans="1:10" s="25" customFormat="1" ht="27" customHeight="1">
      <c r="A4" s="65">
        <f t="shared" si="1"/>
        <v>2</v>
      </c>
      <c r="B4" s="76" t="str">
        <f t="shared" si="0"/>
        <v>reserved_byte2</v>
      </c>
      <c r="C4" s="59">
        <v>255</v>
      </c>
      <c r="D4" s="60">
        <v>255</v>
      </c>
      <c r="E4" s="59">
        <v>0</v>
      </c>
      <c r="F4" s="59">
        <v>255</v>
      </c>
      <c r="G4" s="76" t="s">
        <v>59</v>
      </c>
      <c r="H4" s="64" t="str">
        <f t="shared" si="2"/>
        <v>2503</v>
      </c>
      <c r="I4" s="59">
        <v>1</v>
      </c>
      <c r="J4" s="61"/>
    </row>
    <row r="5" spans="1:10" s="25" customFormat="1" ht="27" customHeight="1">
      <c r="A5" s="65">
        <f t="shared" si="1"/>
        <v>3</v>
      </c>
      <c r="B5" s="76" t="str">
        <f t="shared" si="0"/>
        <v>reserved_byte3</v>
      </c>
      <c r="C5" s="59">
        <v>255</v>
      </c>
      <c r="D5" s="60">
        <v>255</v>
      </c>
      <c r="E5" s="59">
        <v>0</v>
      </c>
      <c r="F5" s="59">
        <v>255</v>
      </c>
      <c r="G5" s="76" t="s">
        <v>59</v>
      </c>
      <c r="H5" s="64" t="str">
        <f t="shared" si="2"/>
        <v>2504</v>
      </c>
      <c r="I5" s="59">
        <v>1</v>
      </c>
      <c r="J5" s="61"/>
    </row>
    <row r="6" spans="1:10" s="25" customFormat="1" ht="27" customHeight="1">
      <c r="A6" s="65">
        <f t="shared" si="1"/>
        <v>4</v>
      </c>
      <c r="B6" s="76" t="str">
        <f t="shared" si="0"/>
        <v>reserved_byte4</v>
      </c>
      <c r="C6" s="59">
        <v>255</v>
      </c>
      <c r="D6" s="60">
        <v>255</v>
      </c>
      <c r="E6" s="59">
        <v>0</v>
      </c>
      <c r="F6" s="59">
        <v>255</v>
      </c>
      <c r="G6" s="76" t="s">
        <v>59</v>
      </c>
      <c r="H6" s="64" t="str">
        <f t="shared" si="2"/>
        <v>2505</v>
      </c>
      <c r="I6" s="59">
        <v>1</v>
      </c>
      <c r="J6" s="61"/>
    </row>
    <row r="7" spans="1:10" s="25" customFormat="1" ht="27" customHeight="1">
      <c r="A7" s="65">
        <f t="shared" si="1"/>
        <v>5</v>
      </c>
      <c r="B7" s="76" t="str">
        <f t="shared" si="0"/>
        <v>reserved_byte5</v>
      </c>
      <c r="C7" s="59">
        <v>255</v>
      </c>
      <c r="D7" s="60">
        <v>255</v>
      </c>
      <c r="E7" s="59">
        <v>0</v>
      </c>
      <c r="F7" s="59">
        <v>255</v>
      </c>
      <c r="G7" s="76" t="s">
        <v>59</v>
      </c>
      <c r="H7" s="64" t="str">
        <f t="shared" si="2"/>
        <v>2506</v>
      </c>
      <c r="I7" s="59">
        <v>1</v>
      </c>
      <c r="J7" s="61"/>
    </row>
    <row r="8" spans="1:10" s="25" customFormat="1" ht="27" customHeight="1">
      <c r="A8" s="65">
        <f t="shared" si="1"/>
        <v>6</v>
      </c>
      <c r="B8" s="76" t="str">
        <f t="shared" si="0"/>
        <v>reserved_byte6</v>
      </c>
      <c r="C8" s="59">
        <v>255</v>
      </c>
      <c r="D8" s="60">
        <v>255</v>
      </c>
      <c r="E8" s="59">
        <v>0</v>
      </c>
      <c r="F8" s="59">
        <v>255</v>
      </c>
      <c r="G8" s="76" t="s">
        <v>59</v>
      </c>
      <c r="H8" s="64" t="str">
        <f t="shared" si="2"/>
        <v>2507</v>
      </c>
      <c r="I8" s="59">
        <v>1</v>
      </c>
      <c r="J8" s="61"/>
    </row>
    <row r="9" spans="1:10" s="25" customFormat="1" ht="27" customHeight="1">
      <c r="A9" s="65">
        <f t="shared" si="1"/>
        <v>7</v>
      </c>
      <c r="B9" s="76" t="str">
        <f t="shared" si="0"/>
        <v>reserved_byte7</v>
      </c>
      <c r="C9" s="59">
        <v>255</v>
      </c>
      <c r="D9" s="60">
        <v>255</v>
      </c>
      <c r="E9" s="59">
        <v>0</v>
      </c>
      <c r="F9" s="59">
        <v>255</v>
      </c>
      <c r="G9" s="76" t="s">
        <v>59</v>
      </c>
      <c r="H9" s="64" t="str">
        <f t="shared" si="2"/>
        <v>2508</v>
      </c>
      <c r="I9" s="59">
        <v>1</v>
      </c>
      <c r="J9" s="61"/>
    </row>
    <row r="10" spans="1:10" s="25" customFormat="1" ht="27" customHeight="1">
      <c r="A10" s="65">
        <f t="shared" si="1"/>
        <v>8</v>
      </c>
      <c r="B10" s="76" t="str">
        <f t="shared" si="0"/>
        <v>reserved_byte8</v>
      </c>
      <c r="C10" s="59">
        <v>255</v>
      </c>
      <c r="D10" s="60">
        <v>255</v>
      </c>
      <c r="E10" s="59">
        <v>0</v>
      </c>
      <c r="F10" s="59">
        <v>255</v>
      </c>
      <c r="G10" s="76" t="s">
        <v>59</v>
      </c>
      <c r="H10" s="64" t="str">
        <f t="shared" si="2"/>
        <v>2509</v>
      </c>
      <c r="I10" s="59">
        <v>1</v>
      </c>
      <c r="J10" s="61"/>
    </row>
    <row r="11" spans="1:10" s="25" customFormat="1" ht="27" customHeight="1">
      <c r="A11" s="65">
        <f t="shared" si="1"/>
        <v>9</v>
      </c>
      <c r="B11" s="76" t="str">
        <f t="shared" si="0"/>
        <v>reserved_byte9</v>
      </c>
      <c r="C11" s="59">
        <v>255</v>
      </c>
      <c r="D11" s="60">
        <v>255</v>
      </c>
      <c r="E11" s="59">
        <v>0</v>
      </c>
      <c r="F11" s="59">
        <v>255</v>
      </c>
      <c r="G11" s="76" t="s">
        <v>59</v>
      </c>
      <c r="H11" s="64" t="str">
        <f t="shared" si="2"/>
        <v>250A</v>
      </c>
      <c r="I11" s="59">
        <v>1</v>
      </c>
      <c r="J11" s="61"/>
    </row>
    <row r="12" spans="1:10" s="25" customFormat="1" ht="27" customHeight="1">
      <c r="A12" s="65">
        <f t="shared" si="1"/>
        <v>10</v>
      </c>
      <c r="B12" s="76" t="str">
        <f t="shared" si="0"/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6" t="s">
        <v>59</v>
      </c>
      <c r="H12" s="64" t="str">
        <f t="shared" si="2"/>
        <v>250B</v>
      </c>
      <c r="I12" s="59">
        <v>1</v>
      </c>
      <c r="J12" s="61"/>
    </row>
    <row r="13" spans="1:10" s="25" customFormat="1" ht="27" customHeight="1">
      <c r="A13" s="65">
        <f t="shared" si="1"/>
        <v>11</v>
      </c>
      <c r="B13" s="76" t="str">
        <f t="shared" si="0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6" t="s">
        <v>59</v>
      </c>
      <c r="H13" s="64" t="str">
        <f t="shared" si="2"/>
        <v>250C</v>
      </c>
      <c r="I13" s="59">
        <v>1</v>
      </c>
      <c r="J13" s="61"/>
    </row>
    <row r="14" spans="1:10" s="25" customFormat="1" ht="27" customHeight="1">
      <c r="A14" s="65">
        <f t="shared" si="1"/>
        <v>12</v>
      </c>
      <c r="B14" s="76" t="str">
        <f t="shared" si="0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6" t="s">
        <v>59</v>
      </c>
      <c r="H14" s="64" t="str">
        <f t="shared" si="2"/>
        <v>250D</v>
      </c>
      <c r="I14" s="59">
        <v>1</v>
      </c>
      <c r="J14" s="61"/>
    </row>
    <row r="15" spans="1:10" s="25" customFormat="1" ht="27" customHeight="1">
      <c r="A15" s="65">
        <f t="shared" si="1"/>
        <v>13</v>
      </c>
      <c r="B15" s="76" t="str">
        <f t="shared" si="0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6" t="s">
        <v>59</v>
      </c>
      <c r="H15" s="64" t="str">
        <f t="shared" si="2"/>
        <v>250E</v>
      </c>
      <c r="I15" s="59">
        <v>1</v>
      </c>
      <c r="J15" s="61"/>
    </row>
    <row r="16" spans="1:10" s="25" customFormat="1" ht="27" customHeight="1">
      <c r="A16" s="65">
        <f t="shared" si="1"/>
        <v>14</v>
      </c>
      <c r="B16" s="76" t="str">
        <f t="shared" si="0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6" t="s">
        <v>59</v>
      </c>
      <c r="H16" s="64" t="str">
        <f t="shared" si="2"/>
        <v>250F</v>
      </c>
      <c r="I16" s="59">
        <v>1</v>
      </c>
      <c r="J16" s="61"/>
    </row>
    <row r="17" spans="1:10" s="25" customFormat="1" ht="27" customHeight="1">
      <c r="A17" s="65">
        <f t="shared" si="1"/>
        <v>15</v>
      </c>
      <c r="B17" s="76" t="str">
        <f t="shared" si="0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6" t="s">
        <v>59</v>
      </c>
      <c r="H17" s="64" t="str">
        <f t="shared" si="2"/>
        <v>2510</v>
      </c>
      <c r="I17" s="59">
        <v>1</v>
      </c>
      <c r="J17" s="61"/>
    </row>
    <row r="18" spans="1:10" s="25" customFormat="1" ht="27" customHeight="1">
      <c r="A18" s="65">
        <f t="shared" si="1"/>
        <v>16</v>
      </c>
      <c r="B18" s="76" t="str">
        <f t="shared" si="0"/>
        <v>reserved_byte16</v>
      </c>
      <c r="C18" s="59">
        <v>255</v>
      </c>
      <c r="D18" s="60">
        <v>255</v>
      </c>
      <c r="E18" s="59">
        <v>0</v>
      </c>
      <c r="F18" s="59">
        <v>255</v>
      </c>
      <c r="G18" s="76" t="s">
        <v>59</v>
      </c>
      <c r="H18" s="64" t="str">
        <f t="shared" si="2"/>
        <v>2511</v>
      </c>
      <c r="I18" s="59">
        <v>1</v>
      </c>
      <c r="J18" s="61"/>
    </row>
    <row r="19" spans="1:10" s="25" customFormat="1" ht="27" customHeight="1">
      <c r="A19" s="65">
        <f t="shared" si="1"/>
        <v>17</v>
      </c>
      <c r="B19" s="76" t="str">
        <f t="shared" si="0"/>
        <v>reserved_byte17</v>
      </c>
      <c r="C19" s="59">
        <v>255</v>
      </c>
      <c r="D19" s="60">
        <v>255</v>
      </c>
      <c r="E19" s="59">
        <v>0</v>
      </c>
      <c r="F19" s="59">
        <v>255</v>
      </c>
      <c r="G19" s="76" t="s">
        <v>59</v>
      </c>
      <c r="H19" s="64" t="str">
        <f t="shared" si="2"/>
        <v>2512</v>
      </c>
      <c r="I19" s="59">
        <v>1</v>
      </c>
      <c r="J19" s="61"/>
    </row>
    <row r="20" spans="1:10" s="25" customFormat="1" ht="27" customHeight="1">
      <c r="A20" s="65">
        <f t="shared" si="1"/>
        <v>18</v>
      </c>
      <c r="B20" s="76" t="str">
        <f t="shared" si="0"/>
        <v>reserved_byte18</v>
      </c>
      <c r="C20" s="59">
        <v>255</v>
      </c>
      <c r="D20" s="60">
        <v>255</v>
      </c>
      <c r="E20" s="59">
        <v>0</v>
      </c>
      <c r="F20" s="59">
        <v>255</v>
      </c>
      <c r="G20" s="76" t="s">
        <v>59</v>
      </c>
      <c r="H20" s="64" t="str">
        <f t="shared" si="2"/>
        <v>2513</v>
      </c>
      <c r="I20" s="59">
        <v>1</v>
      </c>
      <c r="J20" s="61"/>
    </row>
    <row r="21" spans="1:10" s="25" customFormat="1" ht="27" customHeight="1">
      <c r="A21" s="65">
        <f t="shared" si="1"/>
        <v>19</v>
      </c>
      <c r="B21" s="76" t="str">
        <f t="shared" si="0"/>
        <v>reserved_byte19</v>
      </c>
      <c r="C21" s="59">
        <v>255</v>
      </c>
      <c r="D21" s="60">
        <v>255</v>
      </c>
      <c r="E21" s="59">
        <v>0</v>
      </c>
      <c r="F21" s="59">
        <v>255</v>
      </c>
      <c r="G21" s="76" t="s">
        <v>59</v>
      </c>
      <c r="H21" s="64" t="str">
        <f t="shared" si="2"/>
        <v>2514</v>
      </c>
      <c r="I21" s="59">
        <v>1</v>
      </c>
      <c r="J21" s="61"/>
    </row>
    <row r="22" spans="1:10" s="25" customFormat="1" ht="27" customHeight="1">
      <c r="A22" s="65">
        <f t="shared" si="1"/>
        <v>20</v>
      </c>
      <c r="B22" s="76" t="str">
        <f t="shared" si="0"/>
        <v>reserved_byte20</v>
      </c>
      <c r="C22" s="59">
        <v>255</v>
      </c>
      <c r="D22" s="60">
        <v>255</v>
      </c>
      <c r="E22" s="59">
        <v>0</v>
      </c>
      <c r="F22" s="59">
        <v>255</v>
      </c>
      <c r="G22" s="76" t="s">
        <v>59</v>
      </c>
      <c r="H22" s="64" t="str">
        <f t="shared" si="2"/>
        <v>2515</v>
      </c>
      <c r="I22" s="59">
        <v>1</v>
      </c>
      <c r="J22" s="61"/>
    </row>
    <row r="23" spans="1:10" s="25" customFormat="1" ht="27" customHeight="1">
      <c r="A23" s="65">
        <f t="shared" si="1"/>
        <v>21</v>
      </c>
      <c r="B23" s="76" t="str">
        <f t="shared" si="0"/>
        <v>reserved_byte21</v>
      </c>
      <c r="C23" s="59">
        <v>255</v>
      </c>
      <c r="D23" s="60">
        <v>255</v>
      </c>
      <c r="E23" s="59">
        <v>0</v>
      </c>
      <c r="F23" s="59">
        <v>255</v>
      </c>
      <c r="G23" s="76" t="s">
        <v>59</v>
      </c>
      <c r="H23" s="64" t="str">
        <f t="shared" si="2"/>
        <v>2516</v>
      </c>
      <c r="I23" s="59">
        <v>1</v>
      </c>
      <c r="J23" s="61"/>
    </row>
    <row r="24" spans="1:10" s="25" customFormat="1" ht="27" customHeight="1">
      <c r="A24" s="65">
        <f t="shared" si="1"/>
        <v>22</v>
      </c>
      <c r="B24" s="76" t="str">
        <f t="shared" si="0"/>
        <v>reserved_byte22</v>
      </c>
      <c r="C24" s="59">
        <v>255</v>
      </c>
      <c r="D24" s="60">
        <v>255</v>
      </c>
      <c r="E24" s="59">
        <v>0</v>
      </c>
      <c r="F24" s="59">
        <v>255</v>
      </c>
      <c r="G24" s="76" t="s">
        <v>59</v>
      </c>
      <c r="H24" s="64" t="str">
        <f t="shared" si="2"/>
        <v>2517</v>
      </c>
      <c r="I24" s="59">
        <v>1</v>
      </c>
      <c r="J24" s="61"/>
    </row>
    <row r="25" spans="1:10" s="25" customFormat="1" ht="27" customHeight="1">
      <c r="A25" s="65">
        <f t="shared" si="1"/>
        <v>23</v>
      </c>
      <c r="B25" s="76" t="str">
        <f t="shared" si="0"/>
        <v>reserved_byte23</v>
      </c>
      <c r="C25" s="59">
        <v>255</v>
      </c>
      <c r="D25" s="60">
        <v>255</v>
      </c>
      <c r="E25" s="59">
        <v>0</v>
      </c>
      <c r="F25" s="59">
        <v>255</v>
      </c>
      <c r="G25" s="76" t="s">
        <v>59</v>
      </c>
      <c r="H25" s="64" t="str">
        <f t="shared" si="2"/>
        <v>2518</v>
      </c>
      <c r="I25" s="59">
        <v>1</v>
      </c>
      <c r="J25" s="61"/>
    </row>
    <row r="26" spans="1:10" s="25" customFormat="1" ht="27" customHeight="1">
      <c r="A26" s="65">
        <f t="shared" si="1"/>
        <v>24</v>
      </c>
      <c r="B26" s="76" t="str">
        <f t="shared" si="0"/>
        <v>reserved_byte24</v>
      </c>
      <c r="C26" s="59">
        <v>255</v>
      </c>
      <c r="D26" s="60">
        <v>255</v>
      </c>
      <c r="E26" s="59">
        <v>0</v>
      </c>
      <c r="F26" s="59">
        <v>255</v>
      </c>
      <c r="G26" s="76" t="s">
        <v>59</v>
      </c>
      <c r="H26" s="64" t="str">
        <f t="shared" si="2"/>
        <v>2519</v>
      </c>
      <c r="I26" s="59">
        <v>1</v>
      </c>
      <c r="J26" s="61"/>
    </row>
    <row r="27" spans="1:10" s="25" customFormat="1" ht="27" customHeight="1">
      <c r="A27" s="65">
        <f t="shared" si="1"/>
        <v>25</v>
      </c>
      <c r="B27" s="76" t="str">
        <f t="shared" si="0"/>
        <v>reserved_byte25</v>
      </c>
      <c r="C27" s="59">
        <v>255</v>
      </c>
      <c r="D27" s="60">
        <v>255</v>
      </c>
      <c r="E27" s="59">
        <v>0</v>
      </c>
      <c r="F27" s="59">
        <v>255</v>
      </c>
      <c r="G27" s="76" t="s">
        <v>59</v>
      </c>
      <c r="H27" s="64" t="str">
        <f t="shared" si="2"/>
        <v>251A</v>
      </c>
      <c r="I27" s="59">
        <v>1</v>
      </c>
      <c r="J27" s="61"/>
    </row>
    <row r="28" spans="1:10" s="25" customFormat="1" ht="27" customHeight="1">
      <c r="A28" s="65">
        <f t="shared" si="1"/>
        <v>26</v>
      </c>
      <c r="B28" s="76" t="str">
        <f t="shared" si="0"/>
        <v>reserved_byte26</v>
      </c>
      <c r="C28" s="59">
        <v>255</v>
      </c>
      <c r="D28" s="60">
        <v>255</v>
      </c>
      <c r="E28" s="59">
        <v>0</v>
      </c>
      <c r="F28" s="59">
        <v>255</v>
      </c>
      <c r="G28" s="76" t="s">
        <v>59</v>
      </c>
      <c r="H28" s="64" t="str">
        <f t="shared" si="2"/>
        <v>251B</v>
      </c>
      <c r="I28" s="59">
        <v>1</v>
      </c>
      <c r="J28" s="61"/>
    </row>
    <row r="29" spans="1:10" s="25" customFormat="1" ht="27" customHeight="1">
      <c r="A29" s="65">
        <f t="shared" si="1"/>
        <v>27</v>
      </c>
      <c r="B29" s="76" t="str">
        <f t="shared" si="0"/>
        <v>reserved_byte27</v>
      </c>
      <c r="C29" s="59">
        <v>255</v>
      </c>
      <c r="D29" s="60">
        <v>255</v>
      </c>
      <c r="E29" s="59">
        <v>0</v>
      </c>
      <c r="F29" s="59">
        <v>255</v>
      </c>
      <c r="G29" s="76" t="s">
        <v>59</v>
      </c>
      <c r="H29" s="64" t="str">
        <f t="shared" si="2"/>
        <v>251C</v>
      </c>
      <c r="I29" s="59">
        <v>1</v>
      </c>
      <c r="J29" s="61"/>
    </row>
    <row r="30" spans="1:10" s="25" customFormat="1" ht="27" customHeight="1">
      <c r="A30" s="65">
        <f t="shared" si="1"/>
        <v>28</v>
      </c>
      <c r="B30" s="76" t="str">
        <f t="shared" si="0"/>
        <v>reserved_byte28</v>
      </c>
      <c r="C30" s="59">
        <v>255</v>
      </c>
      <c r="D30" s="60">
        <v>255</v>
      </c>
      <c r="E30" s="59">
        <v>0</v>
      </c>
      <c r="F30" s="59">
        <v>255</v>
      </c>
      <c r="G30" s="76" t="s">
        <v>59</v>
      </c>
      <c r="H30" s="64" t="str">
        <f t="shared" si="2"/>
        <v>251D</v>
      </c>
      <c r="I30" s="59">
        <v>1</v>
      </c>
      <c r="J30" s="61"/>
    </row>
    <row r="31" spans="1:10" s="25" customFormat="1" ht="27" customHeight="1">
      <c r="A31" s="65">
        <f t="shared" si="1"/>
        <v>29</v>
      </c>
      <c r="B31" s="76" t="str">
        <f t="shared" si="0"/>
        <v>reserved_byte29</v>
      </c>
      <c r="C31" s="59">
        <v>255</v>
      </c>
      <c r="D31" s="60">
        <v>255</v>
      </c>
      <c r="E31" s="59">
        <v>0</v>
      </c>
      <c r="F31" s="59">
        <v>255</v>
      </c>
      <c r="G31" s="76" t="s">
        <v>59</v>
      </c>
      <c r="H31" s="64" t="str">
        <f t="shared" si="2"/>
        <v>251E</v>
      </c>
      <c r="I31" s="59">
        <v>1</v>
      </c>
      <c r="J31" s="61"/>
    </row>
    <row r="32" spans="1:10" s="25" customFormat="1" ht="27" customHeight="1">
      <c r="A32" s="65">
        <f t="shared" si="1"/>
        <v>30</v>
      </c>
      <c r="B32" s="76" t="str">
        <f t="shared" si="0"/>
        <v>reserved_byte30</v>
      </c>
      <c r="C32" s="59">
        <v>255</v>
      </c>
      <c r="D32" s="60">
        <v>255</v>
      </c>
      <c r="E32" s="59">
        <v>0</v>
      </c>
      <c r="F32" s="59">
        <v>255</v>
      </c>
      <c r="G32" s="76" t="s">
        <v>59</v>
      </c>
      <c r="H32" s="64" t="str">
        <f t="shared" si="2"/>
        <v>251F</v>
      </c>
      <c r="I32" s="59">
        <v>1</v>
      </c>
      <c r="J32" s="61"/>
    </row>
    <row r="33" spans="1:10" s="25" customFormat="1" ht="27" customHeight="1">
      <c r="A33" s="65">
        <f t="shared" si="1"/>
        <v>31</v>
      </c>
      <c r="B33" s="76" t="str">
        <f t="shared" si="0"/>
        <v>reserved_byte31</v>
      </c>
      <c r="C33" s="59">
        <v>255</v>
      </c>
      <c r="D33" s="60">
        <v>255</v>
      </c>
      <c r="E33" s="59">
        <v>0</v>
      </c>
      <c r="F33" s="59">
        <v>255</v>
      </c>
      <c r="G33" s="76" t="s">
        <v>59</v>
      </c>
      <c r="H33" s="64" t="str">
        <f t="shared" si="2"/>
        <v>2520</v>
      </c>
      <c r="I33" s="59">
        <v>1</v>
      </c>
      <c r="J33" s="61"/>
    </row>
    <row r="34" spans="1:10" s="25" customFormat="1" ht="27" customHeight="1">
      <c r="A34" s="65">
        <f t="shared" si="1"/>
        <v>32</v>
      </c>
      <c r="B34" s="76" t="str">
        <f t="shared" ref="B34:B65" si="3">"reserved_byte" &amp;TEXT(A34,0)</f>
        <v>reserved_byte32</v>
      </c>
      <c r="C34" s="59">
        <v>255</v>
      </c>
      <c r="D34" s="60">
        <v>255</v>
      </c>
      <c r="E34" s="59">
        <v>0</v>
      </c>
      <c r="F34" s="59">
        <v>255</v>
      </c>
      <c r="G34" s="76" t="s">
        <v>59</v>
      </c>
      <c r="H34" s="64" t="str">
        <f t="shared" si="2"/>
        <v>2521</v>
      </c>
      <c r="I34" s="59">
        <v>1</v>
      </c>
      <c r="J34" s="61"/>
    </row>
    <row r="35" spans="1:10" s="25" customFormat="1" ht="27" customHeight="1">
      <c r="A35" s="65">
        <f t="shared" ref="A35:A66" si="4">A34+1</f>
        <v>33</v>
      </c>
      <c r="B35" s="76" t="str">
        <f t="shared" si="3"/>
        <v>reserved_byte33</v>
      </c>
      <c r="C35" s="59">
        <v>255</v>
      </c>
      <c r="D35" s="60">
        <v>255</v>
      </c>
      <c r="E35" s="59">
        <v>0</v>
      </c>
      <c r="F35" s="59">
        <v>255</v>
      </c>
      <c r="G35" s="76" t="s">
        <v>59</v>
      </c>
      <c r="H35" s="64" t="str">
        <f t="shared" ref="H35:H66" si="5">DEC2HEX((HEX2DEC(H34)+1),4)</f>
        <v>2522</v>
      </c>
      <c r="I35" s="59">
        <v>1</v>
      </c>
      <c r="J35" s="61"/>
    </row>
    <row r="36" spans="1:10" s="25" customFormat="1" ht="27" customHeight="1">
      <c r="A36" s="65">
        <f t="shared" si="4"/>
        <v>34</v>
      </c>
      <c r="B36" s="76" t="str">
        <f t="shared" si="3"/>
        <v>reserved_byte34</v>
      </c>
      <c r="C36" s="59">
        <v>255</v>
      </c>
      <c r="D36" s="60">
        <v>255</v>
      </c>
      <c r="E36" s="59">
        <v>0</v>
      </c>
      <c r="F36" s="59">
        <v>255</v>
      </c>
      <c r="G36" s="76" t="s">
        <v>59</v>
      </c>
      <c r="H36" s="64" t="str">
        <f t="shared" si="5"/>
        <v>2523</v>
      </c>
      <c r="I36" s="59">
        <v>1</v>
      </c>
      <c r="J36" s="61"/>
    </row>
    <row r="37" spans="1:10" s="25" customFormat="1" ht="27" customHeight="1">
      <c r="A37" s="65">
        <f t="shared" si="4"/>
        <v>35</v>
      </c>
      <c r="B37" s="76" t="str">
        <f t="shared" si="3"/>
        <v>reserved_byte35</v>
      </c>
      <c r="C37" s="59">
        <v>255</v>
      </c>
      <c r="D37" s="60">
        <v>255</v>
      </c>
      <c r="E37" s="59">
        <v>0</v>
      </c>
      <c r="F37" s="59">
        <v>255</v>
      </c>
      <c r="G37" s="76" t="s">
        <v>59</v>
      </c>
      <c r="H37" s="64" t="str">
        <f t="shared" si="5"/>
        <v>2524</v>
      </c>
      <c r="I37" s="59">
        <v>1</v>
      </c>
      <c r="J37" s="61"/>
    </row>
    <row r="38" spans="1:10" s="25" customFormat="1" ht="27" customHeight="1">
      <c r="A38" s="65">
        <f t="shared" si="4"/>
        <v>36</v>
      </c>
      <c r="B38" s="76" t="str">
        <f t="shared" si="3"/>
        <v>reserved_byte36</v>
      </c>
      <c r="C38" s="59">
        <v>255</v>
      </c>
      <c r="D38" s="60">
        <v>255</v>
      </c>
      <c r="E38" s="59">
        <v>0</v>
      </c>
      <c r="F38" s="59">
        <v>255</v>
      </c>
      <c r="G38" s="76" t="s">
        <v>59</v>
      </c>
      <c r="H38" s="64" t="str">
        <f t="shared" si="5"/>
        <v>2525</v>
      </c>
      <c r="I38" s="59">
        <v>1</v>
      </c>
      <c r="J38" s="61"/>
    </row>
    <row r="39" spans="1:10" s="25" customFormat="1" ht="27" customHeight="1">
      <c r="A39" s="65">
        <f t="shared" si="4"/>
        <v>37</v>
      </c>
      <c r="B39" s="76" t="str">
        <f t="shared" si="3"/>
        <v>reserved_byte37</v>
      </c>
      <c r="C39" s="59">
        <v>255</v>
      </c>
      <c r="D39" s="60">
        <v>255</v>
      </c>
      <c r="E39" s="59">
        <v>0</v>
      </c>
      <c r="F39" s="59">
        <v>255</v>
      </c>
      <c r="G39" s="76" t="s">
        <v>59</v>
      </c>
      <c r="H39" s="64" t="str">
        <f t="shared" si="5"/>
        <v>2526</v>
      </c>
      <c r="I39" s="59">
        <v>1</v>
      </c>
      <c r="J39" s="61"/>
    </row>
    <row r="40" spans="1:10" s="25" customFormat="1" ht="27" customHeight="1">
      <c r="A40" s="65">
        <f t="shared" si="4"/>
        <v>38</v>
      </c>
      <c r="B40" s="76" t="str">
        <f t="shared" si="3"/>
        <v>reserved_byte38</v>
      </c>
      <c r="C40" s="59">
        <v>255</v>
      </c>
      <c r="D40" s="60">
        <v>255</v>
      </c>
      <c r="E40" s="59">
        <v>0</v>
      </c>
      <c r="F40" s="59">
        <v>255</v>
      </c>
      <c r="G40" s="76" t="s">
        <v>59</v>
      </c>
      <c r="H40" s="64" t="str">
        <f t="shared" si="5"/>
        <v>2527</v>
      </c>
      <c r="I40" s="59">
        <v>1</v>
      </c>
      <c r="J40" s="61"/>
    </row>
    <row r="41" spans="1:10" s="25" customFormat="1" ht="27" customHeight="1">
      <c r="A41" s="65">
        <f t="shared" si="4"/>
        <v>39</v>
      </c>
      <c r="B41" s="76" t="str">
        <f t="shared" si="3"/>
        <v>reserved_byte39</v>
      </c>
      <c r="C41" s="59">
        <v>255</v>
      </c>
      <c r="D41" s="60">
        <v>255</v>
      </c>
      <c r="E41" s="59">
        <v>0</v>
      </c>
      <c r="F41" s="59">
        <v>255</v>
      </c>
      <c r="G41" s="76" t="s">
        <v>59</v>
      </c>
      <c r="H41" s="64" t="str">
        <f t="shared" si="5"/>
        <v>2528</v>
      </c>
      <c r="I41" s="59">
        <v>1</v>
      </c>
      <c r="J41" s="61"/>
    </row>
    <row r="42" spans="1:10" s="25" customFormat="1" ht="27" customHeight="1">
      <c r="A42" s="65">
        <f t="shared" si="4"/>
        <v>40</v>
      </c>
      <c r="B42" s="76" t="str">
        <f t="shared" si="3"/>
        <v>reserved_byte40</v>
      </c>
      <c r="C42" s="59">
        <v>255</v>
      </c>
      <c r="D42" s="60">
        <v>255</v>
      </c>
      <c r="E42" s="59">
        <v>0</v>
      </c>
      <c r="F42" s="59">
        <v>255</v>
      </c>
      <c r="G42" s="76" t="s">
        <v>59</v>
      </c>
      <c r="H42" s="64" t="str">
        <f t="shared" si="5"/>
        <v>2529</v>
      </c>
      <c r="I42" s="59">
        <v>1</v>
      </c>
      <c r="J42" s="61"/>
    </row>
    <row r="43" spans="1:10" s="25" customFormat="1" ht="27" customHeight="1">
      <c r="A43" s="65">
        <f t="shared" si="4"/>
        <v>41</v>
      </c>
      <c r="B43" s="76" t="str">
        <f t="shared" si="3"/>
        <v>reserved_byte41</v>
      </c>
      <c r="C43" s="59">
        <v>255</v>
      </c>
      <c r="D43" s="60">
        <v>255</v>
      </c>
      <c r="E43" s="59">
        <v>0</v>
      </c>
      <c r="F43" s="59">
        <v>255</v>
      </c>
      <c r="G43" s="76" t="s">
        <v>59</v>
      </c>
      <c r="H43" s="64" t="str">
        <f t="shared" si="5"/>
        <v>252A</v>
      </c>
      <c r="I43" s="59">
        <v>1</v>
      </c>
      <c r="J43" s="61"/>
    </row>
    <row r="44" spans="1:10" s="25" customFormat="1" ht="27" customHeight="1">
      <c r="A44" s="65">
        <f t="shared" si="4"/>
        <v>42</v>
      </c>
      <c r="B44" s="76" t="str">
        <f t="shared" si="3"/>
        <v>reserved_byte42</v>
      </c>
      <c r="C44" s="59">
        <v>255</v>
      </c>
      <c r="D44" s="60">
        <v>255</v>
      </c>
      <c r="E44" s="59">
        <v>0</v>
      </c>
      <c r="F44" s="59">
        <v>255</v>
      </c>
      <c r="G44" s="76" t="s">
        <v>59</v>
      </c>
      <c r="H44" s="64" t="str">
        <f t="shared" si="5"/>
        <v>252B</v>
      </c>
      <c r="I44" s="59">
        <v>1</v>
      </c>
      <c r="J44" s="61"/>
    </row>
    <row r="45" spans="1:10" s="25" customFormat="1" ht="27" customHeight="1">
      <c r="A45" s="65">
        <f t="shared" si="4"/>
        <v>43</v>
      </c>
      <c r="B45" s="76" t="str">
        <f t="shared" si="3"/>
        <v>reserved_byte43</v>
      </c>
      <c r="C45" s="59">
        <v>255</v>
      </c>
      <c r="D45" s="60">
        <v>255</v>
      </c>
      <c r="E45" s="59">
        <v>0</v>
      </c>
      <c r="F45" s="59">
        <v>255</v>
      </c>
      <c r="G45" s="76" t="s">
        <v>59</v>
      </c>
      <c r="H45" s="64" t="str">
        <f t="shared" si="5"/>
        <v>252C</v>
      </c>
      <c r="I45" s="59">
        <v>1</v>
      </c>
      <c r="J45" s="61"/>
    </row>
    <row r="46" spans="1:10" s="25" customFormat="1" ht="27" customHeight="1">
      <c r="A46" s="65">
        <f t="shared" si="4"/>
        <v>44</v>
      </c>
      <c r="B46" s="76" t="str">
        <f t="shared" si="3"/>
        <v>reserved_byte44</v>
      </c>
      <c r="C46" s="59">
        <v>255</v>
      </c>
      <c r="D46" s="60">
        <v>255</v>
      </c>
      <c r="E46" s="59">
        <v>0</v>
      </c>
      <c r="F46" s="59">
        <v>255</v>
      </c>
      <c r="G46" s="76" t="s">
        <v>59</v>
      </c>
      <c r="H46" s="64" t="str">
        <f t="shared" si="5"/>
        <v>252D</v>
      </c>
      <c r="I46" s="59">
        <v>1</v>
      </c>
      <c r="J46" s="61"/>
    </row>
    <row r="47" spans="1:10" s="25" customFormat="1" ht="27" customHeight="1">
      <c r="A47" s="65">
        <f t="shared" si="4"/>
        <v>45</v>
      </c>
      <c r="B47" s="76" t="str">
        <f t="shared" si="3"/>
        <v>reserved_byte45</v>
      </c>
      <c r="C47" s="59">
        <v>255</v>
      </c>
      <c r="D47" s="60">
        <v>255</v>
      </c>
      <c r="E47" s="59">
        <v>0</v>
      </c>
      <c r="F47" s="59">
        <v>255</v>
      </c>
      <c r="G47" s="76" t="s">
        <v>59</v>
      </c>
      <c r="H47" s="64" t="str">
        <f t="shared" si="5"/>
        <v>252E</v>
      </c>
      <c r="I47" s="59">
        <v>1</v>
      </c>
      <c r="J47" s="61"/>
    </row>
    <row r="48" spans="1:10" s="25" customFormat="1" ht="27" customHeight="1">
      <c r="A48" s="65">
        <f t="shared" si="4"/>
        <v>46</v>
      </c>
      <c r="B48" s="76" t="str">
        <f t="shared" si="3"/>
        <v>reserved_byte46</v>
      </c>
      <c r="C48" s="59">
        <v>255</v>
      </c>
      <c r="D48" s="60">
        <v>255</v>
      </c>
      <c r="E48" s="59">
        <v>0</v>
      </c>
      <c r="F48" s="59">
        <v>255</v>
      </c>
      <c r="G48" s="76" t="s">
        <v>59</v>
      </c>
      <c r="H48" s="64" t="str">
        <f t="shared" si="5"/>
        <v>252F</v>
      </c>
      <c r="I48" s="59">
        <v>1</v>
      </c>
      <c r="J48" s="61"/>
    </row>
    <row r="49" spans="1:10" s="25" customFormat="1" ht="27" customHeight="1">
      <c r="A49" s="65">
        <f t="shared" si="4"/>
        <v>47</v>
      </c>
      <c r="B49" s="76" t="str">
        <f t="shared" si="3"/>
        <v>reserved_byte47</v>
      </c>
      <c r="C49" s="59">
        <v>255</v>
      </c>
      <c r="D49" s="60">
        <v>255</v>
      </c>
      <c r="E49" s="59">
        <v>0</v>
      </c>
      <c r="F49" s="59">
        <v>255</v>
      </c>
      <c r="G49" s="76" t="s">
        <v>59</v>
      </c>
      <c r="H49" s="64" t="str">
        <f t="shared" si="5"/>
        <v>2530</v>
      </c>
      <c r="I49" s="59">
        <v>1</v>
      </c>
      <c r="J49" s="61"/>
    </row>
    <row r="50" spans="1:10" s="25" customFormat="1" ht="27" customHeight="1">
      <c r="A50" s="65">
        <f t="shared" si="4"/>
        <v>48</v>
      </c>
      <c r="B50" s="76" t="str">
        <f t="shared" si="3"/>
        <v>reserved_byte48</v>
      </c>
      <c r="C50" s="59">
        <v>255</v>
      </c>
      <c r="D50" s="60">
        <v>255</v>
      </c>
      <c r="E50" s="59">
        <v>0</v>
      </c>
      <c r="F50" s="59">
        <v>255</v>
      </c>
      <c r="G50" s="76" t="s">
        <v>59</v>
      </c>
      <c r="H50" s="64" t="str">
        <f t="shared" si="5"/>
        <v>2531</v>
      </c>
      <c r="I50" s="59">
        <v>1</v>
      </c>
      <c r="J50" s="61"/>
    </row>
    <row r="51" spans="1:10" s="25" customFormat="1" ht="27" customHeight="1">
      <c r="A51" s="65">
        <f t="shared" si="4"/>
        <v>49</v>
      </c>
      <c r="B51" s="76" t="str">
        <f t="shared" si="3"/>
        <v>reserved_byte49</v>
      </c>
      <c r="C51" s="59">
        <v>255</v>
      </c>
      <c r="D51" s="60">
        <v>255</v>
      </c>
      <c r="E51" s="59">
        <v>0</v>
      </c>
      <c r="F51" s="59">
        <v>255</v>
      </c>
      <c r="G51" s="76" t="s">
        <v>59</v>
      </c>
      <c r="H51" s="64" t="str">
        <f t="shared" si="5"/>
        <v>2532</v>
      </c>
      <c r="I51" s="59">
        <v>1</v>
      </c>
      <c r="J51" s="61"/>
    </row>
    <row r="52" spans="1:10" s="25" customFormat="1" ht="27" customHeight="1">
      <c r="A52" s="65">
        <f t="shared" si="4"/>
        <v>50</v>
      </c>
      <c r="B52" s="76" t="str">
        <f t="shared" si="3"/>
        <v>reserved_byte50</v>
      </c>
      <c r="C52" s="59">
        <v>255</v>
      </c>
      <c r="D52" s="60">
        <v>255</v>
      </c>
      <c r="E52" s="59">
        <v>0</v>
      </c>
      <c r="F52" s="59">
        <v>255</v>
      </c>
      <c r="G52" s="76" t="s">
        <v>59</v>
      </c>
      <c r="H52" s="64" t="str">
        <f t="shared" si="5"/>
        <v>2533</v>
      </c>
      <c r="I52" s="59">
        <v>1</v>
      </c>
      <c r="J52" s="61"/>
    </row>
    <row r="53" spans="1:10" s="25" customFormat="1" ht="27" customHeight="1">
      <c r="A53" s="65">
        <f t="shared" si="4"/>
        <v>51</v>
      </c>
      <c r="B53" s="76" t="str">
        <f t="shared" si="3"/>
        <v>reserved_byte51</v>
      </c>
      <c r="C53" s="59">
        <v>255</v>
      </c>
      <c r="D53" s="60">
        <v>255</v>
      </c>
      <c r="E53" s="59">
        <v>0</v>
      </c>
      <c r="F53" s="59">
        <v>255</v>
      </c>
      <c r="G53" s="76" t="s">
        <v>59</v>
      </c>
      <c r="H53" s="64" t="str">
        <f t="shared" si="5"/>
        <v>2534</v>
      </c>
      <c r="I53" s="59">
        <v>1</v>
      </c>
      <c r="J53" s="61"/>
    </row>
    <row r="54" spans="1:10" s="25" customFormat="1" ht="27" customHeight="1">
      <c r="A54" s="65">
        <f t="shared" si="4"/>
        <v>52</v>
      </c>
      <c r="B54" s="76" t="str">
        <f t="shared" si="3"/>
        <v>reserved_byte52</v>
      </c>
      <c r="C54" s="59">
        <v>255</v>
      </c>
      <c r="D54" s="60">
        <v>255</v>
      </c>
      <c r="E54" s="59">
        <v>0</v>
      </c>
      <c r="F54" s="59">
        <v>255</v>
      </c>
      <c r="G54" s="76" t="s">
        <v>59</v>
      </c>
      <c r="H54" s="64" t="str">
        <f t="shared" si="5"/>
        <v>2535</v>
      </c>
      <c r="I54" s="59">
        <v>1</v>
      </c>
      <c r="J54" s="61"/>
    </row>
    <row r="55" spans="1:10" s="25" customFormat="1" ht="27" customHeight="1">
      <c r="A55" s="65">
        <f t="shared" si="4"/>
        <v>53</v>
      </c>
      <c r="B55" s="76" t="str">
        <f t="shared" si="3"/>
        <v>reserved_byte53</v>
      </c>
      <c r="C55" s="59">
        <v>255</v>
      </c>
      <c r="D55" s="60">
        <v>255</v>
      </c>
      <c r="E55" s="59">
        <v>0</v>
      </c>
      <c r="F55" s="59">
        <v>255</v>
      </c>
      <c r="G55" s="76" t="s">
        <v>59</v>
      </c>
      <c r="H55" s="64" t="str">
        <f t="shared" si="5"/>
        <v>2536</v>
      </c>
      <c r="I55" s="59">
        <v>1</v>
      </c>
      <c r="J55" s="61"/>
    </row>
    <row r="56" spans="1:10" s="25" customFormat="1" ht="27" customHeight="1">
      <c r="A56" s="65">
        <f t="shared" si="4"/>
        <v>54</v>
      </c>
      <c r="B56" s="76" t="str">
        <f t="shared" si="3"/>
        <v>reserved_byte54</v>
      </c>
      <c r="C56" s="59">
        <v>255</v>
      </c>
      <c r="D56" s="60">
        <v>255</v>
      </c>
      <c r="E56" s="59">
        <v>0</v>
      </c>
      <c r="F56" s="59">
        <v>255</v>
      </c>
      <c r="G56" s="76" t="s">
        <v>59</v>
      </c>
      <c r="H56" s="64" t="str">
        <f t="shared" si="5"/>
        <v>2537</v>
      </c>
      <c r="I56" s="59">
        <v>1</v>
      </c>
      <c r="J56" s="61"/>
    </row>
    <row r="57" spans="1:10" s="25" customFormat="1" ht="27" customHeight="1">
      <c r="A57" s="65">
        <f t="shared" si="4"/>
        <v>55</v>
      </c>
      <c r="B57" s="76" t="str">
        <f t="shared" si="3"/>
        <v>reserved_byte55</v>
      </c>
      <c r="C57" s="59">
        <v>255</v>
      </c>
      <c r="D57" s="60">
        <v>255</v>
      </c>
      <c r="E57" s="59">
        <v>0</v>
      </c>
      <c r="F57" s="59">
        <v>255</v>
      </c>
      <c r="G57" s="76" t="s">
        <v>59</v>
      </c>
      <c r="H57" s="64" t="str">
        <f t="shared" si="5"/>
        <v>2538</v>
      </c>
      <c r="I57" s="59">
        <v>1</v>
      </c>
      <c r="J57" s="61"/>
    </row>
    <row r="58" spans="1:10" s="25" customFormat="1" ht="27" customHeight="1">
      <c r="A58" s="65">
        <f t="shared" si="4"/>
        <v>56</v>
      </c>
      <c r="B58" s="76" t="str">
        <f t="shared" si="3"/>
        <v>reserved_byte56</v>
      </c>
      <c r="C58" s="59">
        <v>255</v>
      </c>
      <c r="D58" s="60">
        <v>255</v>
      </c>
      <c r="E58" s="59">
        <v>0</v>
      </c>
      <c r="F58" s="59">
        <v>255</v>
      </c>
      <c r="G58" s="76" t="s">
        <v>59</v>
      </c>
      <c r="H58" s="64" t="str">
        <f t="shared" si="5"/>
        <v>2539</v>
      </c>
      <c r="I58" s="59">
        <v>1</v>
      </c>
      <c r="J58" s="61"/>
    </row>
    <row r="59" spans="1:10" s="25" customFormat="1" ht="27" customHeight="1">
      <c r="A59" s="65">
        <f t="shared" si="4"/>
        <v>57</v>
      </c>
      <c r="B59" s="76" t="str">
        <f t="shared" si="3"/>
        <v>reserved_byte57</v>
      </c>
      <c r="C59" s="59">
        <v>255</v>
      </c>
      <c r="D59" s="60">
        <v>255</v>
      </c>
      <c r="E59" s="59">
        <v>0</v>
      </c>
      <c r="F59" s="59">
        <v>255</v>
      </c>
      <c r="G59" s="76" t="s">
        <v>59</v>
      </c>
      <c r="H59" s="64" t="str">
        <f t="shared" si="5"/>
        <v>253A</v>
      </c>
      <c r="I59" s="59">
        <v>1</v>
      </c>
      <c r="J59" s="61"/>
    </row>
    <row r="60" spans="1:10" s="25" customFormat="1" ht="27" customHeight="1">
      <c r="A60" s="65">
        <f t="shared" si="4"/>
        <v>58</v>
      </c>
      <c r="B60" s="76" t="str">
        <f t="shared" si="3"/>
        <v>reserved_byte58</v>
      </c>
      <c r="C60" s="59">
        <v>255</v>
      </c>
      <c r="D60" s="60">
        <v>255</v>
      </c>
      <c r="E60" s="59">
        <v>0</v>
      </c>
      <c r="F60" s="59">
        <v>255</v>
      </c>
      <c r="G60" s="76" t="s">
        <v>59</v>
      </c>
      <c r="H60" s="64" t="str">
        <f t="shared" si="5"/>
        <v>253B</v>
      </c>
      <c r="I60" s="59">
        <v>1</v>
      </c>
      <c r="J60" s="61"/>
    </row>
    <row r="61" spans="1:10" s="25" customFormat="1" ht="27" customHeight="1">
      <c r="A61" s="65">
        <f t="shared" si="4"/>
        <v>59</v>
      </c>
      <c r="B61" s="76" t="str">
        <f t="shared" si="3"/>
        <v>reserved_byte59</v>
      </c>
      <c r="C61" s="59">
        <v>255</v>
      </c>
      <c r="D61" s="60">
        <v>255</v>
      </c>
      <c r="E61" s="59">
        <v>0</v>
      </c>
      <c r="F61" s="59">
        <v>255</v>
      </c>
      <c r="G61" s="76" t="s">
        <v>59</v>
      </c>
      <c r="H61" s="64" t="str">
        <f t="shared" si="5"/>
        <v>253C</v>
      </c>
      <c r="I61" s="59">
        <v>1</v>
      </c>
      <c r="J61" s="61"/>
    </row>
    <row r="62" spans="1:10" s="25" customFormat="1" ht="27" customHeight="1">
      <c r="A62" s="65">
        <f t="shared" si="4"/>
        <v>60</v>
      </c>
      <c r="B62" s="76" t="str">
        <f t="shared" si="3"/>
        <v>reserved_byte60</v>
      </c>
      <c r="C62" s="59">
        <v>255</v>
      </c>
      <c r="D62" s="60">
        <v>255</v>
      </c>
      <c r="E62" s="59">
        <v>0</v>
      </c>
      <c r="F62" s="59">
        <v>255</v>
      </c>
      <c r="G62" s="76" t="s">
        <v>59</v>
      </c>
      <c r="H62" s="64" t="str">
        <f t="shared" si="5"/>
        <v>253D</v>
      </c>
      <c r="I62" s="59">
        <v>1</v>
      </c>
      <c r="J62" s="61"/>
    </row>
    <row r="63" spans="1:10" s="25" customFormat="1" ht="27" customHeight="1">
      <c r="A63" s="65">
        <f t="shared" si="4"/>
        <v>61</v>
      </c>
      <c r="B63" s="76" t="str">
        <f t="shared" si="3"/>
        <v>reserved_byte61</v>
      </c>
      <c r="C63" s="59">
        <v>255</v>
      </c>
      <c r="D63" s="60">
        <v>255</v>
      </c>
      <c r="E63" s="59">
        <v>0</v>
      </c>
      <c r="F63" s="59">
        <v>255</v>
      </c>
      <c r="G63" s="76" t="s">
        <v>59</v>
      </c>
      <c r="H63" s="64" t="str">
        <f t="shared" si="5"/>
        <v>253E</v>
      </c>
      <c r="I63" s="59">
        <v>1</v>
      </c>
      <c r="J63" s="61"/>
    </row>
    <row r="64" spans="1:10" s="25" customFormat="1" ht="27" customHeight="1">
      <c r="A64" s="65">
        <f t="shared" si="4"/>
        <v>62</v>
      </c>
      <c r="B64" s="76" t="str">
        <f t="shared" si="3"/>
        <v>reserved_byte62</v>
      </c>
      <c r="C64" s="59">
        <v>255</v>
      </c>
      <c r="D64" s="60">
        <v>255</v>
      </c>
      <c r="E64" s="59">
        <v>0</v>
      </c>
      <c r="F64" s="59">
        <v>255</v>
      </c>
      <c r="G64" s="76" t="s">
        <v>59</v>
      </c>
      <c r="H64" s="64" t="str">
        <f t="shared" si="5"/>
        <v>253F</v>
      </c>
      <c r="I64" s="59">
        <v>1</v>
      </c>
      <c r="J64" s="61"/>
    </row>
    <row r="65" spans="1:10" s="25" customFormat="1" ht="27" customHeight="1">
      <c r="A65" s="65">
        <f t="shared" si="4"/>
        <v>63</v>
      </c>
      <c r="B65" s="76" t="str">
        <f t="shared" si="3"/>
        <v>reserved_byte63</v>
      </c>
      <c r="C65" s="59">
        <v>255</v>
      </c>
      <c r="D65" s="60">
        <v>255</v>
      </c>
      <c r="E65" s="59">
        <v>0</v>
      </c>
      <c r="F65" s="59">
        <v>255</v>
      </c>
      <c r="G65" s="76" t="s">
        <v>59</v>
      </c>
      <c r="H65" s="64" t="str">
        <f t="shared" si="5"/>
        <v>2540</v>
      </c>
      <c r="I65" s="59">
        <v>1</v>
      </c>
      <c r="J65" s="61"/>
    </row>
    <row r="66" spans="1:10" s="25" customFormat="1" ht="27" customHeight="1">
      <c r="A66" s="65">
        <f t="shared" si="4"/>
        <v>64</v>
      </c>
      <c r="B66" s="76" t="str">
        <f t="shared" ref="B66:B97" si="6">"reserved_byte" &amp;TEXT(A66,0)</f>
        <v>reserved_byte64</v>
      </c>
      <c r="C66" s="59">
        <v>255</v>
      </c>
      <c r="D66" s="60">
        <v>255</v>
      </c>
      <c r="E66" s="59">
        <v>0</v>
      </c>
      <c r="F66" s="59">
        <v>255</v>
      </c>
      <c r="G66" s="76" t="s">
        <v>59</v>
      </c>
      <c r="H66" s="64" t="str">
        <f t="shared" si="5"/>
        <v>2541</v>
      </c>
      <c r="I66" s="59">
        <v>1</v>
      </c>
      <c r="J66" s="61"/>
    </row>
    <row r="67" spans="1:10" s="25" customFormat="1" ht="27" customHeight="1">
      <c r="A67" s="65">
        <f t="shared" ref="A67:A98" si="7">A66+1</f>
        <v>65</v>
      </c>
      <c r="B67" s="76" t="str">
        <f t="shared" si="6"/>
        <v>reserved_byte65</v>
      </c>
      <c r="C67" s="59">
        <v>255</v>
      </c>
      <c r="D67" s="60">
        <v>255</v>
      </c>
      <c r="E67" s="59">
        <v>0</v>
      </c>
      <c r="F67" s="59">
        <v>255</v>
      </c>
      <c r="G67" s="76" t="s">
        <v>59</v>
      </c>
      <c r="H67" s="64" t="str">
        <f t="shared" ref="H67:H98" si="8">DEC2HEX((HEX2DEC(H66)+1),4)</f>
        <v>2542</v>
      </c>
      <c r="I67" s="59">
        <v>1</v>
      </c>
      <c r="J67" s="61"/>
    </row>
    <row r="68" spans="1:10" s="25" customFormat="1" ht="27" customHeight="1">
      <c r="A68" s="65">
        <f t="shared" si="7"/>
        <v>66</v>
      </c>
      <c r="B68" s="76" t="str">
        <f t="shared" si="6"/>
        <v>reserved_byte66</v>
      </c>
      <c r="C68" s="59">
        <v>255</v>
      </c>
      <c r="D68" s="60">
        <v>255</v>
      </c>
      <c r="E68" s="59">
        <v>0</v>
      </c>
      <c r="F68" s="59">
        <v>255</v>
      </c>
      <c r="G68" s="76" t="s">
        <v>59</v>
      </c>
      <c r="H68" s="64" t="str">
        <f t="shared" si="8"/>
        <v>2543</v>
      </c>
      <c r="I68" s="59">
        <v>1</v>
      </c>
      <c r="J68" s="61"/>
    </row>
    <row r="69" spans="1:10" s="25" customFormat="1" ht="27" customHeight="1">
      <c r="A69" s="65">
        <f t="shared" si="7"/>
        <v>67</v>
      </c>
      <c r="B69" s="76" t="str">
        <f t="shared" si="6"/>
        <v>reserved_byte67</v>
      </c>
      <c r="C69" s="59">
        <v>255</v>
      </c>
      <c r="D69" s="60">
        <v>255</v>
      </c>
      <c r="E69" s="59">
        <v>0</v>
      </c>
      <c r="F69" s="59">
        <v>255</v>
      </c>
      <c r="G69" s="76" t="s">
        <v>59</v>
      </c>
      <c r="H69" s="64" t="str">
        <f t="shared" si="8"/>
        <v>2544</v>
      </c>
      <c r="I69" s="59">
        <v>1</v>
      </c>
      <c r="J69" s="61"/>
    </row>
    <row r="70" spans="1:10" s="25" customFormat="1" ht="27" customHeight="1">
      <c r="A70" s="65">
        <f t="shared" si="7"/>
        <v>68</v>
      </c>
      <c r="B70" s="76" t="str">
        <f t="shared" si="6"/>
        <v>reserved_byte68</v>
      </c>
      <c r="C70" s="59">
        <v>255</v>
      </c>
      <c r="D70" s="60">
        <v>255</v>
      </c>
      <c r="E70" s="59">
        <v>0</v>
      </c>
      <c r="F70" s="59">
        <v>255</v>
      </c>
      <c r="G70" s="76" t="s">
        <v>59</v>
      </c>
      <c r="H70" s="64" t="str">
        <f t="shared" si="8"/>
        <v>2545</v>
      </c>
      <c r="I70" s="59">
        <v>1</v>
      </c>
      <c r="J70" s="61"/>
    </row>
    <row r="71" spans="1:10" s="25" customFormat="1" ht="27" customHeight="1">
      <c r="A71" s="65">
        <f t="shared" si="7"/>
        <v>69</v>
      </c>
      <c r="B71" s="76" t="str">
        <f t="shared" si="6"/>
        <v>reserved_byte69</v>
      </c>
      <c r="C71" s="59">
        <v>255</v>
      </c>
      <c r="D71" s="60">
        <v>255</v>
      </c>
      <c r="E71" s="59">
        <v>0</v>
      </c>
      <c r="F71" s="59">
        <v>255</v>
      </c>
      <c r="G71" s="76" t="s">
        <v>59</v>
      </c>
      <c r="H71" s="64" t="str">
        <f t="shared" si="8"/>
        <v>2546</v>
      </c>
      <c r="I71" s="59">
        <v>1</v>
      </c>
      <c r="J71" s="61"/>
    </row>
    <row r="72" spans="1:10" s="25" customFormat="1" ht="27" customHeight="1">
      <c r="A72" s="65">
        <f t="shared" si="7"/>
        <v>70</v>
      </c>
      <c r="B72" s="76" t="str">
        <f t="shared" si="6"/>
        <v>reserved_byte70</v>
      </c>
      <c r="C72" s="59">
        <v>255</v>
      </c>
      <c r="D72" s="60">
        <v>255</v>
      </c>
      <c r="E72" s="59">
        <v>0</v>
      </c>
      <c r="F72" s="59">
        <v>255</v>
      </c>
      <c r="G72" s="76" t="s">
        <v>59</v>
      </c>
      <c r="H72" s="64" t="str">
        <f t="shared" si="8"/>
        <v>2547</v>
      </c>
      <c r="I72" s="59">
        <v>1</v>
      </c>
      <c r="J72" s="61"/>
    </row>
    <row r="73" spans="1:10" s="25" customFormat="1" ht="27" customHeight="1">
      <c r="A73" s="65">
        <f t="shared" si="7"/>
        <v>71</v>
      </c>
      <c r="B73" s="76" t="str">
        <f t="shared" si="6"/>
        <v>reserved_byte71</v>
      </c>
      <c r="C73" s="59">
        <v>255</v>
      </c>
      <c r="D73" s="60">
        <v>255</v>
      </c>
      <c r="E73" s="59">
        <v>0</v>
      </c>
      <c r="F73" s="59">
        <v>255</v>
      </c>
      <c r="G73" s="76" t="s">
        <v>59</v>
      </c>
      <c r="H73" s="64" t="str">
        <f t="shared" si="8"/>
        <v>2548</v>
      </c>
      <c r="I73" s="59">
        <v>1</v>
      </c>
      <c r="J73" s="61"/>
    </row>
    <row r="74" spans="1:10" s="25" customFormat="1" ht="27" customHeight="1">
      <c r="A74" s="65">
        <f t="shared" si="7"/>
        <v>72</v>
      </c>
      <c r="B74" s="76" t="str">
        <f t="shared" si="6"/>
        <v>reserved_byte72</v>
      </c>
      <c r="C74" s="59">
        <v>255</v>
      </c>
      <c r="D74" s="60">
        <v>255</v>
      </c>
      <c r="E74" s="59">
        <v>0</v>
      </c>
      <c r="F74" s="59">
        <v>255</v>
      </c>
      <c r="G74" s="76" t="s">
        <v>59</v>
      </c>
      <c r="H74" s="64" t="str">
        <f t="shared" si="8"/>
        <v>2549</v>
      </c>
      <c r="I74" s="59">
        <v>1</v>
      </c>
      <c r="J74" s="61"/>
    </row>
    <row r="75" spans="1:10" s="25" customFormat="1" ht="27" customHeight="1">
      <c r="A75" s="65">
        <f t="shared" si="7"/>
        <v>73</v>
      </c>
      <c r="B75" s="76" t="str">
        <f t="shared" si="6"/>
        <v>reserved_byte73</v>
      </c>
      <c r="C75" s="59">
        <v>255</v>
      </c>
      <c r="D75" s="60">
        <v>255</v>
      </c>
      <c r="E75" s="59">
        <v>0</v>
      </c>
      <c r="F75" s="59">
        <v>255</v>
      </c>
      <c r="G75" s="76" t="s">
        <v>59</v>
      </c>
      <c r="H75" s="64" t="str">
        <f t="shared" si="8"/>
        <v>254A</v>
      </c>
      <c r="I75" s="59">
        <v>1</v>
      </c>
      <c r="J75" s="61"/>
    </row>
    <row r="76" spans="1:10" s="25" customFormat="1" ht="27" customHeight="1">
      <c r="A76" s="65">
        <f t="shared" si="7"/>
        <v>74</v>
      </c>
      <c r="B76" s="76" t="str">
        <f t="shared" si="6"/>
        <v>reserved_byte74</v>
      </c>
      <c r="C76" s="59">
        <v>255</v>
      </c>
      <c r="D76" s="60">
        <v>255</v>
      </c>
      <c r="E76" s="59">
        <v>0</v>
      </c>
      <c r="F76" s="59">
        <v>255</v>
      </c>
      <c r="G76" s="76" t="s">
        <v>59</v>
      </c>
      <c r="H76" s="64" t="str">
        <f t="shared" si="8"/>
        <v>254B</v>
      </c>
      <c r="I76" s="59">
        <v>1</v>
      </c>
      <c r="J76" s="61"/>
    </row>
    <row r="77" spans="1:10" s="25" customFormat="1" ht="27" customHeight="1">
      <c r="A77" s="65">
        <f t="shared" si="7"/>
        <v>75</v>
      </c>
      <c r="B77" s="76" t="str">
        <f t="shared" si="6"/>
        <v>reserved_byte75</v>
      </c>
      <c r="C77" s="59">
        <v>255</v>
      </c>
      <c r="D77" s="60">
        <v>255</v>
      </c>
      <c r="E77" s="59">
        <v>0</v>
      </c>
      <c r="F77" s="59">
        <v>255</v>
      </c>
      <c r="G77" s="76" t="s">
        <v>59</v>
      </c>
      <c r="H77" s="64" t="str">
        <f t="shared" si="8"/>
        <v>254C</v>
      </c>
      <c r="I77" s="59">
        <v>1</v>
      </c>
      <c r="J77" s="61"/>
    </row>
    <row r="78" spans="1:10" s="25" customFormat="1" ht="27" customHeight="1">
      <c r="A78" s="65">
        <f t="shared" si="7"/>
        <v>76</v>
      </c>
      <c r="B78" s="76" t="str">
        <f t="shared" si="6"/>
        <v>reserved_byte76</v>
      </c>
      <c r="C78" s="59">
        <v>255</v>
      </c>
      <c r="D78" s="60">
        <v>255</v>
      </c>
      <c r="E78" s="59">
        <v>0</v>
      </c>
      <c r="F78" s="59">
        <v>255</v>
      </c>
      <c r="G78" s="76" t="s">
        <v>59</v>
      </c>
      <c r="H78" s="64" t="str">
        <f t="shared" si="8"/>
        <v>254D</v>
      </c>
      <c r="I78" s="59">
        <v>1</v>
      </c>
      <c r="J78" s="61"/>
    </row>
    <row r="79" spans="1:10" s="25" customFormat="1" ht="27" customHeight="1">
      <c r="A79" s="65">
        <f t="shared" si="7"/>
        <v>77</v>
      </c>
      <c r="B79" s="76" t="str">
        <f t="shared" si="6"/>
        <v>reserved_byte77</v>
      </c>
      <c r="C79" s="59">
        <v>255</v>
      </c>
      <c r="D79" s="60">
        <v>255</v>
      </c>
      <c r="E79" s="59">
        <v>0</v>
      </c>
      <c r="F79" s="59">
        <v>255</v>
      </c>
      <c r="G79" s="76" t="s">
        <v>59</v>
      </c>
      <c r="H79" s="64" t="str">
        <f t="shared" si="8"/>
        <v>254E</v>
      </c>
      <c r="I79" s="59">
        <v>1</v>
      </c>
      <c r="J79" s="61"/>
    </row>
    <row r="80" spans="1:10" s="25" customFormat="1" ht="27" customHeight="1">
      <c r="A80" s="65">
        <f t="shared" si="7"/>
        <v>78</v>
      </c>
      <c r="B80" s="76" t="str">
        <f t="shared" si="6"/>
        <v>reserved_byte78</v>
      </c>
      <c r="C80" s="59">
        <v>255</v>
      </c>
      <c r="D80" s="60">
        <v>255</v>
      </c>
      <c r="E80" s="59">
        <v>0</v>
      </c>
      <c r="F80" s="59">
        <v>255</v>
      </c>
      <c r="G80" s="76" t="s">
        <v>59</v>
      </c>
      <c r="H80" s="64" t="str">
        <f t="shared" si="8"/>
        <v>254F</v>
      </c>
      <c r="I80" s="59">
        <v>1</v>
      </c>
      <c r="J80" s="61"/>
    </row>
    <row r="81" spans="1:10" s="25" customFormat="1" ht="27" customHeight="1">
      <c r="A81" s="65">
        <f t="shared" si="7"/>
        <v>79</v>
      </c>
      <c r="B81" s="76" t="str">
        <f t="shared" si="6"/>
        <v>reserved_byte79</v>
      </c>
      <c r="C81" s="59">
        <v>255</v>
      </c>
      <c r="D81" s="60">
        <v>255</v>
      </c>
      <c r="E81" s="59">
        <v>0</v>
      </c>
      <c r="F81" s="59">
        <v>255</v>
      </c>
      <c r="G81" s="76" t="s">
        <v>59</v>
      </c>
      <c r="H81" s="64" t="str">
        <f t="shared" si="8"/>
        <v>2550</v>
      </c>
      <c r="I81" s="59">
        <v>1</v>
      </c>
      <c r="J81" s="61"/>
    </row>
    <row r="82" spans="1:10" s="25" customFormat="1" ht="27" customHeight="1">
      <c r="A82" s="65">
        <f t="shared" si="7"/>
        <v>80</v>
      </c>
      <c r="B82" s="76" t="str">
        <f t="shared" si="6"/>
        <v>reserved_byte80</v>
      </c>
      <c r="C82" s="59">
        <v>255</v>
      </c>
      <c r="D82" s="60">
        <v>255</v>
      </c>
      <c r="E82" s="59">
        <v>0</v>
      </c>
      <c r="F82" s="59">
        <v>255</v>
      </c>
      <c r="G82" s="76" t="s">
        <v>59</v>
      </c>
      <c r="H82" s="64" t="str">
        <f t="shared" si="8"/>
        <v>2551</v>
      </c>
      <c r="I82" s="59">
        <v>1</v>
      </c>
      <c r="J82" s="61"/>
    </row>
    <row r="83" spans="1:10" s="25" customFormat="1" ht="27" customHeight="1">
      <c r="A83" s="65">
        <f t="shared" si="7"/>
        <v>81</v>
      </c>
      <c r="B83" s="76" t="str">
        <f t="shared" si="6"/>
        <v>reserved_byte81</v>
      </c>
      <c r="C83" s="59">
        <v>255</v>
      </c>
      <c r="D83" s="60">
        <v>255</v>
      </c>
      <c r="E83" s="59">
        <v>0</v>
      </c>
      <c r="F83" s="59">
        <v>255</v>
      </c>
      <c r="G83" s="76" t="s">
        <v>59</v>
      </c>
      <c r="H83" s="64" t="str">
        <f t="shared" si="8"/>
        <v>2552</v>
      </c>
      <c r="I83" s="59">
        <v>1</v>
      </c>
      <c r="J83" s="61"/>
    </row>
    <row r="84" spans="1:10" s="25" customFormat="1" ht="27" customHeight="1">
      <c r="A84" s="65">
        <f t="shared" si="7"/>
        <v>82</v>
      </c>
      <c r="B84" s="76" t="str">
        <f t="shared" si="6"/>
        <v>reserved_byte82</v>
      </c>
      <c r="C84" s="59">
        <v>255</v>
      </c>
      <c r="D84" s="60">
        <v>255</v>
      </c>
      <c r="E84" s="59">
        <v>0</v>
      </c>
      <c r="F84" s="59">
        <v>255</v>
      </c>
      <c r="G84" s="76" t="s">
        <v>59</v>
      </c>
      <c r="H84" s="64" t="str">
        <f t="shared" si="8"/>
        <v>2553</v>
      </c>
      <c r="I84" s="59">
        <v>1</v>
      </c>
      <c r="J84" s="61"/>
    </row>
    <row r="85" spans="1:10" s="25" customFormat="1" ht="27" customHeight="1">
      <c r="A85" s="65">
        <f t="shared" si="7"/>
        <v>83</v>
      </c>
      <c r="B85" s="76" t="str">
        <f t="shared" si="6"/>
        <v>reserved_byte83</v>
      </c>
      <c r="C85" s="59">
        <v>255</v>
      </c>
      <c r="D85" s="60">
        <v>255</v>
      </c>
      <c r="E85" s="59">
        <v>0</v>
      </c>
      <c r="F85" s="59">
        <v>255</v>
      </c>
      <c r="G85" s="76" t="s">
        <v>59</v>
      </c>
      <c r="H85" s="64" t="str">
        <f t="shared" si="8"/>
        <v>2554</v>
      </c>
      <c r="I85" s="59">
        <v>1</v>
      </c>
      <c r="J85" s="61"/>
    </row>
    <row r="86" spans="1:10" s="25" customFormat="1" ht="27" customHeight="1">
      <c r="A86" s="65">
        <f t="shared" si="7"/>
        <v>84</v>
      </c>
      <c r="B86" s="76" t="str">
        <f t="shared" si="6"/>
        <v>reserved_byte84</v>
      </c>
      <c r="C86" s="59">
        <v>255</v>
      </c>
      <c r="D86" s="60">
        <v>255</v>
      </c>
      <c r="E86" s="59">
        <v>0</v>
      </c>
      <c r="F86" s="59">
        <v>255</v>
      </c>
      <c r="G86" s="76" t="s">
        <v>59</v>
      </c>
      <c r="H86" s="64" t="str">
        <f t="shared" si="8"/>
        <v>2555</v>
      </c>
      <c r="I86" s="59">
        <v>1</v>
      </c>
      <c r="J86" s="61"/>
    </row>
    <row r="87" spans="1:10" s="25" customFormat="1" ht="27" customHeight="1">
      <c r="A87" s="65">
        <f t="shared" si="7"/>
        <v>85</v>
      </c>
      <c r="B87" s="76" t="str">
        <f t="shared" si="6"/>
        <v>reserved_byte85</v>
      </c>
      <c r="C87" s="59">
        <v>255</v>
      </c>
      <c r="D87" s="60">
        <v>255</v>
      </c>
      <c r="E87" s="59">
        <v>0</v>
      </c>
      <c r="F87" s="59">
        <v>255</v>
      </c>
      <c r="G87" s="76" t="s">
        <v>59</v>
      </c>
      <c r="H87" s="64" t="str">
        <f t="shared" si="8"/>
        <v>2556</v>
      </c>
      <c r="I87" s="59">
        <v>1</v>
      </c>
      <c r="J87" s="61"/>
    </row>
    <row r="88" spans="1:10" s="25" customFormat="1" ht="27" customHeight="1">
      <c r="A88" s="65">
        <f t="shared" si="7"/>
        <v>86</v>
      </c>
      <c r="B88" s="76" t="str">
        <f t="shared" si="6"/>
        <v>reserved_byte86</v>
      </c>
      <c r="C88" s="59">
        <v>255</v>
      </c>
      <c r="D88" s="60">
        <v>255</v>
      </c>
      <c r="E88" s="59">
        <v>0</v>
      </c>
      <c r="F88" s="59">
        <v>255</v>
      </c>
      <c r="G88" s="76" t="s">
        <v>59</v>
      </c>
      <c r="H88" s="64" t="str">
        <f t="shared" si="8"/>
        <v>2557</v>
      </c>
      <c r="I88" s="59">
        <v>1</v>
      </c>
      <c r="J88" s="61"/>
    </row>
    <row r="89" spans="1:10" s="25" customFormat="1" ht="27" customHeight="1">
      <c r="A89" s="65">
        <f t="shared" si="7"/>
        <v>87</v>
      </c>
      <c r="B89" s="76" t="str">
        <f t="shared" si="6"/>
        <v>reserved_byte87</v>
      </c>
      <c r="C89" s="59">
        <v>255</v>
      </c>
      <c r="D89" s="60">
        <v>255</v>
      </c>
      <c r="E89" s="59">
        <v>0</v>
      </c>
      <c r="F89" s="59">
        <v>255</v>
      </c>
      <c r="G89" s="76" t="s">
        <v>59</v>
      </c>
      <c r="H89" s="64" t="str">
        <f t="shared" si="8"/>
        <v>2558</v>
      </c>
      <c r="I89" s="59">
        <v>1</v>
      </c>
      <c r="J89" s="61"/>
    </row>
    <row r="90" spans="1:10" s="25" customFormat="1" ht="27" customHeight="1">
      <c r="A90" s="65">
        <f t="shared" si="7"/>
        <v>88</v>
      </c>
      <c r="B90" s="76" t="str">
        <f t="shared" si="6"/>
        <v>reserved_byte88</v>
      </c>
      <c r="C90" s="59">
        <v>255</v>
      </c>
      <c r="D90" s="60">
        <v>255</v>
      </c>
      <c r="E90" s="59">
        <v>0</v>
      </c>
      <c r="F90" s="59">
        <v>255</v>
      </c>
      <c r="G90" s="76" t="s">
        <v>59</v>
      </c>
      <c r="H90" s="64" t="str">
        <f t="shared" si="8"/>
        <v>2559</v>
      </c>
      <c r="I90" s="59">
        <v>1</v>
      </c>
      <c r="J90" s="61"/>
    </row>
    <row r="91" spans="1:10" s="25" customFormat="1" ht="27" customHeight="1">
      <c r="A91" s="65">
        <f t="shared" si="7"/>
        <v>89</v>
      </c>
      <c r="B91" s="76" t="str">
        <f t="shared" si="6"/>
        <v>reserved_byte89</v>
      </c>
      <c r="C91" s="59">
        <v>255</v>
      </c>
      <c r="D91" s="60">
        <v>255</v>
      </c>
      <c r="E91" s="59">
        <v>0</v>
      </c>
      <c r="F91" s="59">
        <v>255</v>
      </c>
      <c r="G91" s="76" t="s">
        <v>59</v>
      </c>
      <c r="H91" s="64" t="str">
        <f t="shared" si="8"/>
        <v>255A</v>
      </c>
      <c r="I91" s="59">
        <v>1</v>
      </c>
      <c r="J91" s="61"/>
    </row>
    <row r="92" spans="1:10" s="25" customFormat="1" ht="27" customHeight="1">
      <c r="A92" s="65">
        <f t="shared" si="7"/>
        <v>90</v>
      </c>
      <c r="B92" s="76" t="str">
        <f t="shared" si="6"/>
        <v>reserved_byte90</v>
      </c>
      <c r="C92" s="59">
        <v>255</v>
      </c>
      <c r="D92" s="60">
        <v>255</v>
      </c>
      <c r="E92" s="59">
        <v>0</v>
      </c>
      <c r="F92" s="59">
        <v>255</v>
      </c>
      <c r="G92" s="76" t="s">
        <v>59</v>
      </c>
      <c r="H92" s="64" t="str">
        <f t="shared" si="8"/>
        <v>255B</v>
      </c>
      <c r="I92" s="59">
        <v>1</v>
      </c>
      <c r="J92" s="61"/>
    </row>
    <row r="93" spans="1:10" s="25" customFormat="1" ht="27" customHeight="1">
      <c r="A93" s="65">
        <f t="shared" si="7"/>
        <v>91</v>
      </c>
      <c r="B93" s="76" t="str">
        <f t="shared" si="6"/>
        <v>reserved_byte91</v>
      </c>
      <c r="C93" s="59">
        <v>255</v>
      </c>
      <c r="D93" s="60">
        <v>255</v>
      </c>
      <c r="E93" s="59">
        <v>0</v>
      </c>
      <c r="F93" s="59">
        <v>255</v>
      </c>
      <c r="G93" s="76" t="s">
        <v>59</v>
      </c>
      <c r="H93" s="64" t="str">
        <f t="shared" si="8"/>
        <v>255C</v>
      </c>
      <c r="I93" s="59">
        <v>1</v>
      </c>
      <c r="J93" s="61"/>
    </row>
    <row r="94" spans="1:10" s="25" customFormat="1" ht="27" customHeight="1">
      <c r="A94" s="65">
        <f t="shared" si="7"/>
        <v>92</v>
      </c>
      <c r="B94" s="76" t="str">
        <f t="shared" si="6"/>
        <v>reserved_byte92</v>
      </c>
      <c r="C94" s="59">
        <v>255</v>
      </c>
      <c r="D94" s="60">
        <v>255</v>
      </c>
      <c r="E94" s="59">
        <v>0</v>
      </c>
      <c r="F94" s="59">
        <v>255</v>
      </c>
      <c r="G94" s="76" t="s">
        <v>59</v>
      </c>
      <c r="H94" s="64" t="str">
        <f t="shared" si="8"/>
        <v>255D</v>
      </c>
      <c r="I94" s="59">
        <v>1</v>
      </c>
      <c r="J94" s="61"/>
    </row>
    <row r="95" spans="1:10" s="25" customFormat="1" ht="27" customHeight="1">
      <c r="A95" s="65">
        <f t="shared" si="7"/>
        <v>93</v>
      </c>
      <c r="B95" s="76" t="str">
        <f t="shared" si="6"/>
        <v>reserved_byte93</v>
      </c>
      <c r="C95" s="59">
        <v>255</v>
      </c>
      <c r="D95" s="60">
        <v>255</v>
      </c>
      <c r="E95" s="59">
        <v>0</v>
      </c>
      <c r="F95" s="59">
        <v>255</v>
      </c>
      <c r="G95" s="76" t="s">
        <v>59</v>
      </c>
      <c r="H95" s="64" t="str">
        <f t="shared" si="8"/>
        <v>255E</v>
      </c>
      <c r="I95" s="59">
        <v>1</v>
      </c>
      <c r="J95" s="61"/>
    </row>
    <row r="96" spans="1:10" s="25" customFormat="1" ht="27" customHeight="1">
      <c r="A96" s="65">
        <f t="shared" si="7"/>
        <v>94</v>
      </c>
      <c r="B96" s="76" t="str">
        <f t="shared" si="6"/>
        <v>reserved_byte94</v>
      </c>
      <c r="C96" s="59">
        <v>255</v>
      </c>
      <c r="D96" s="60">
        <v>255</v>
      </c>
      <c r="E96" s="59">
        <v>0</v>
      </c>
      <c r="F96" s="59">
        <v>255</v>
      </c>
      <c r="G96" s="76" t="s">
        <v>59</v>
      </c>
      <c r="H96" s="64" t="str">
        <f t="shared" si="8"/>
        <v>255F</v>
      </c>
      <c r="I96" s="59">
        <v>1</v>
      </c>
      <c r="J96" s="61"/>
    </row>
    <row r="97" spans="1:10" s="25" customFormat="1" ht="27" customHeight="1">
      <c r="A97" s="65">
        <f t="shared" si="7"/>
        <v>95</v>
      </c>
      <c r="B97" s="76" t="str">
        <f t="shared" si="6"/>
        <v>reserved_byte95</v>
      </c>
      <c r="C97" s="59">
        <v>255</v>
      </c>
      <c r="D97" s="60">
        <v>255</v>
      </c>
      <c r="E97" s="59">
        <v>0</v>
      </c>
      <c r="F97" s="59">
        <v>255</v>
      </c>
      <c r="G97" s="76" t="s">
        <v>59</v>
      </c>
      <c r="H97" s="64" t="str">
        <f t="shared" si="8"/>
        <v>2560</v>
      </c>
      <c r="I97" s="59">
        <v>1</v>
      </c>
      <c r="J97" s="61"/>
    </row>
    <row r="98" spans="1:10" s="25" customFormat="1" ht="27" customHeight="1">
      <c r="A98" s="65">
        <f t="shared" si="7"/>
        <v>96</v>
      </c>
      <c r="B98" s="76" t="str">
        <f t="shared" ref="B98:B129" si="9">"reserved_byte" &amp;TEXT(A98,0)</f>
        <v>reserved_byte96</v>
      </c>
      <c r="C98" s="59">
        <v>255</v>
      </c>
      <c r="D98" s="60">
        <v>255</v>
      </c>
      <c r="E98" s="59">
        <v>0</v>
      </c>
      <c r="F98" s="59">
        <v>255</v>
      </c>
      <c r="G98" s="76" t="s">
        <v>59</v>
      </c>
      <c r="H98" s="64" t="str">
        <f t="shared" si="8"/>
        <v>2561</v>
      </c>
      <c r="I98" s="59">
        <v>1</v>
      </c>
      <c r="J98" s="61"/>
    </row>
    <row r="99" spans="1:10" s="25" customFormat="1" ht="27" customHeight="1">
      <c r="A99" s="65">
        <f t="shared" ref="A99:A130" si="10">A98+1</f>
        <v>97</v>
      </c>
      <c r="B99" s="76" t="str">
        <f t="shared" si="9"/>
        <v>reserved_byte97</v>
      </c>
      <c r="C99" s="59">
        <v>255</v>
      </c>
      <c r="D99" s="60">
        <v>255</v>
      </c>
      <c r="E99" s="59">
        <v>0</v>
      </c>
      <c r="F99" s="59">
        <v>255</v>
      </c>
      <c r="G99" s="76" t="s">
        <v>59</v>
      </c>
      <c r="H99" s="64" t="str">
        <f t="shared" ref="H99:H130" si="11">DEC2HEX((HEX2DEC(H98)+1),4)</f>
        <v>2562</v>
      </c>
      <c r="I99" s="59">
        <v>1</v>
      </c>
      <c r="J99" s="61"/>
    </row>
    <row r="100" spans="1:10" s="25" customFormat="1" ht="27" customHeight="1">
      <c r="A100" s="65">
        <f t="shared" si="10"/>
        <v>98</v>
      </c>
      <c r="B100" s="76" t="str">
        <f t="shared" si="9"/>
        <v>reserved_byte98</v>
      </c>
      <c r="C100" s="59">
        <v>255</v>
      </c>
      <c r="D100" s="60">
        <v>255</v>
      </c>
      <c r="E100" s="59">
        <v>0</v>
      </c>
      <c r="F100" s="59">
        <v>255</v>
      </c>
      <c r="G100" s="76" t="s">
        <v>59</v>
      </c>
      <c r="H100" s="64" t="str">
        <f t="shared" si="11"/>
        <v>2563</v>
      </c>
      <c r="I100" s="59">
        <v>1</v>
      </c>
      <c r="J100" s="61"/>
    </row>
    <row r="101" spans="1:10" s="25" customFormat="1" ht="27" customHeight="1">
      <c r="A101" s="65">
        <f t="shared" si="10"/>
        <v>99</v>
      </c>
      <c r="B101" s="76" t="str">
        <f t="shared" si="9"/>
        <v>reserved_byte99</v>
      </c>
      <c r="C101" s="59">
        <v>255</v>
      </c>
      <c r="D101" s="60">
        <v>255</v>
      </c>
      <c r="E101" s="59">
        <v>0</v>
      </c>
      <c r="F101" s="59">
        <v>255</v>
      </c>
      <c r="G101" s="76" t="s">
        <v>59</v>
      </c>
      <c r="H101" s="64" t="str">
        <f t="shared" si="11"/>
        <v>2564</v>
      </c>
      <c r="I101" s="59">
        <v>1</v>
      </c>
      <c r="J101" s="61"/>
    </row>
    <row r="102" spans="1:10" s="25" customFormat="1" ht="27" customHeight="1">
      <c r="A102" s="65">
        <f t="shared" si="10"/>
        <v>100</v>
      </c>
      <c r="B102" s="76" t="str">
        <f t="shared" si="9"/>
        <v>reserved_byte100</v>
      </c>
      <c r="C102" s="59">
        <v>255</v>
      </c>
      <c r="D102" s="60">
        <v>255</v>
      </c>
      <c r="E102" s="59">
        <v>0</v>
      </c>
      <c r="F102" s="59">
        <v>255</v>
      </c>
      <c r="G102" s="76" t="s">
        <v>59</v>
      </c>
      <c r="H102" s="64" t="str">
        <f t="shared" si="11"/>
        <v>2565</v>
      </c>
      <c r="I102" s="59">
        <v>1</v>
      </c>
      <c r="J102" s="61"/>
    </row>
    <row r="103" spans="1:10" s="25" customFormat="1" ht="27" customHeight="1">
      <c r="A103" s="65">
        <f t="shared" si="10"/>
        <v>101</v>
      </c>
      <c r="B103" s="76" t="str">
        <f t="shared" si="9"/>
        <v>reserved_byte101</v>
      </c>
      <c r="C103" s="59">
        <v>255</v>
      </c>
      <c r="D103" s="60">
        <v>255</v>
      </c>
      <c r="E103" s="59">
        <v>0</v>
      </c>
      <c r="F103" s="59">
        <v>255</v>
      </c>
      <c r="G103" s="76" t="s">
        <v>59</v>
      </c>
      <c r="H103" s="64" t="str">
        <f t="shared" si="11"/>
        <v>2566</v>
      </c>
      <c r="I103" s="59">
        <v>1</v>
      </c>
      <c r="J103" s="61"/>
    </row>
    <row r="104" spans="1:10" s="25" customFormat="1" ht="27" customHeight="1">
      <c r="A104" s="65">
        <f t="shared" si="10"/>
        <v>102</v>
      </c>
      <c r="B104" s="76" t="str">
        <f t="shared" si="9"/>
        <v>reserved_byte102</v>
      </c>
      <c r="C104" s="59">
        <v>255</v>
      </c>
      <c r="D104" s="60">
        <v>255</v>
      </c>
      <c r="E104" s="59">
        <v>0</v>
      </c>
      <c r="F104" s="59">
        <v>255</v>
      </c>
      <c r="G104" s="76" t="s">
        <v>59</v>
      </c>
      <c r="H104" s="64" t="str">
        <f t="shared" si="11"/>
        <v>2567</v>
      </c>
      <c r="I104" s="59">
        <v>1</v>
      </c>
      <c r="J104" s="61"/>
    </row>
    <row r="105" spans="1:10" s="25" customFormat="1" ht="27" customHeight="1">
      <c r="A105" s="65">
        <f t="shared" si="10"/>
        <v>103</v>
      </c>
      <c r="B105" s="76" t="str">
        <f t="shared" si="9"/>
        <v>reserved_byte103</v>
      </c>
      <c r="C105" s="59">
        <v>255</v>
      </c>
      <c r="D105" s="60">
        <v>255</v>
      </c>
      <c r="E105" s="59">
        <v>0</v>
      </c>
      <c r="F105" s="59">
        <v>255</v>
      </c>
      <c r="G105" s="76" t="s">
        <v>59</v>
      </c>
      <c r="H105" s="64" t="str">
        <f t="shared" si="11"/>
        <v>2568</v>
      </c>
      <c r="I105" s="59">
        <v>1</v>
      </c>
      <c r="J105" s="61"/>
    </row>
    <row r="106" spans="1:10" s="25" customFormat="1" ht="27" customHeight="1">
      <c r="A106" s="65">
        <f t="shared" si="10"/>
        <v>104</v>
      </c>
      <c r="B106" s="76" t="str">
        <f t="shared" si="9"/>
        <v>reserved_byte104</v>
      </c>
      <c r="C106" s="59">
        <v>255</v>
      </c>
      <c r="D106" s="60">
        <v>255</v>
      </c>
      <c r="E106" s="59">
        <v>0</v>
      </c>
      <c r="F106" s="59">
        <v>255</v>
      </c>
      <c r="G106" s="76" t="s">
        <v>59</v>
      </c>
      <c r="H106" s="64" t="str">
        <f t="shared" si="11"/>
        <v>2569</v>
      </c>
      <c r="I106" s="59">
        <v>1</v>
      </c>
      <c r="J106" s="61"/>
    </row>
    <row r="107" spans="1:10" s="25" customFormat="1" ht="27" customHeight="1">
      <c r="A107" s="65">
        <f t="shared" si="10"/>
        <v>105</v>
      </c>
      <c r="B107" s="76" t="str">
        <f t="shared" si="9"/>
        <v>reserved_byte105</v>
      </c>
      <c r="C107" s="59">
        <v>255</v>
      </c>
      <c r="D107" s="60">
        <v>255</v>
      </c>
      <c r="E107" s="59">
        <v>0</v>
      </c>
      <c r="F107" s="59">
        <v>255</v>
      </c>
      <c r="G107" s="76" t="s">
        <v>59</v>
      </c>
      <c r="H107" s="64" t="str">
        <f t="shared" si="11"/>
        <v>256A</v>
      </c>
      <c r="I107" s="59">
        <v>1</v>
      </c>
      <c r="J107" s="61"/>
    </row>
    <row r="108" spans="1:10" s="25" customFormat="1" ht="27" customHeight="1">
      <c r="A108" s="65">
        <f t="shared" si="10"/>
        <v>106</v>
      </c>
      <c r="B108" s="76" t="str">
        <f t="shared" si="9"/>
        <v>reserved_byte106</v>
      </c>
      <c r="C108" s="59">
        <v>255</v>
      </c>
      <c r="D108" s="60">
        <v>255</v>
      </c>
      <c r="E108" s="59">
        <v>0</v>
      </c>
      <c r="F108" s="59">
        <v>255</v>
      </c>
      <c r="G108" s="76" t="s">
        <v>59</v>
      </c>
      <c r="H108" s="64" t="str">
        <f t="shared" si="11"/>
        <v>256B</v>
      </c>
      <c r="I108" s="59">
        <v>1</v>
      </c>
      <c r="J108" s="61"/>
    </row>
    <row r="109" spans="1:10" s="25" customFormat="1" ht="27" customHeight="1">
      <c r="A109" s="65">
        <f t="shared" si="10"/>
        <v>107</v>
      </c>
      <c r="B109" s="76" t="str">
        <f t="shared" si="9"/>
        <v>reserved_byte107</v>
      </c>
      <c r="C109" s="59">
        <v>255</v>
      </c>
      <c r="D109" s="60">
        <v>255</v>
      </c>
      <c r="E109" s="59">
        <v>0</v>
      </c>
      <c r="F109" s="59">
        <v>255</v>
      </c>
      <c r="G109" s="76" t="s">
        <v>59</v>
      </c>
      <c r="H109" s="64" t="str">
        <f t="shared" si="11"/>
        <v>256C</v>
      </c>
      <c r="I109" s="59">
        <v>1</v>
      </c>
      <c r="J109" s="61"/>
    </row>
    <row r="110" spans="1:10" s="25" customFormat="1" ht="27" customHeight="1">
      <c r="A110" s="65">
        <f t="shared" si="10"/>
        <v>108</v>
      </c>
      <c r="B110" s="76" t="str">
        <f t="shared" si="9"/>
        <v>reserved_byte108</v>
      </c>
      <c r="C110" s="59">
        <v>255</v>
      </c>
      <c r="D110" s="60">
        <v>255</v>
      </c>
      <c r="E110" s="59">
        <v>0</v>
      </c>
      <c r="F110" s="59">
        <v>255</v>
      </c>
      <c r="G110" s="76" t="s">
        <v>59</v>
      </c>
      <c r="H110" s="64" t="str">
        <f t="shared" si="11"/>
        <v>256D</v>
      </c>
      <c r="I110" s="59">
        <v>1</v>
      </c>
      <c r="J110" s="61"/>
    </row>
    <row r="111" spans="1:10" s="25" customFormat="1" ht="27" customHeight="1">
      <c r="A111" s="65">
        <f t="shared" si="10"/>
        <v>109</v>
      </c>
      <c r="B111" s="76" t="str">
        <f t="shared" si="9"/>
        <v>reserved_byte109</v>
      </c>
      <c r="C111" s="59">
        <v>255</v>
      </c>
      <c r="D111" s="60">
        <v>255</v>
      </c>
      <c r="E111" s="59">
        <v>0</v>
      </c>
      <c r="F111" s="59">
        <v>255</v>
      </c>
      <c r="G111" s="76" t="s">
        <v>59</v>
      </c>
      <c r="H111" s="64" t="str">
        <f t="shared" si="11"/>
        <v>256E</v>
      </c>
      <c r="I111" s="59">
        <v>1</v>
      </c>
      <c r="J111" s="61"/>
    </row>
    <row r="112" spans="1:10" s="25" customFormat="1" ht="27" customHeight="1">
      <c r="A112" s="65">
        <f t="shared" si="10"/>
        <v>110</v>
      </c>
      <c r="B112" s="76" t="str">
        <f t="shared" si="9"/>
        <v>reserved_byte110</v>
      </c>
      <c r="C112" s="59">
        <v>255</v>
      </c>
      <c r="D112" s="60">
        <v>255</v>
      </c>
      <c r="E112" s="59">
        <v>0</v>
      </c>
      <c r="F112" s="59">
        <v>255</v>
      </c>
      <c r="G112" s="76" t="s">
        <v>59</v>
      </c>
      <c r="H112" s="64" t="str">
        <f t="shared" si="11"/>
        <v>256F</v>
      </c>
      <c r="I112" s="59">
        <v>1</v>
      </c>
      <c r="J112" s="61"/>
    </row>
    <row r="113" spans="1:10" s="25" customFormat="1" ht="27" customHeight="1">
      <c r="A113" s="65">
        <f t="shared" si="10"/>
        <v>111</v>
      </c>
      <c r="B113" s="76" t="str">
        <f t="shared" si="9"/>
        <v>reserved_byte111</v>
      </c>
      <c r="C113" s="59">
        <v>255</v>
      </c>
      <c r="D113" s="60">
        <v>255</v>
      </c>
      <c r="E113" s="59">
        <v>0</v>
      </c>
      <c r="F113" s="59">
        <v>255</v>
      </c>
      <c r="G113" s="76" t="s">
        <v>59</v>
      </c>
      <c r="H113" s="64" t="str">
        <f t="shared" si="11"/>
        <v>2570</v>
      </c>
      <c r="I113" s="59">
        <v>1</v>
      </c>
      <c r="J113" s="61"/>
    </row>
    <row r="114" spans="1:10" s="25" customFormat="1" ht="27" customHeight="1">
      <c r="A114" s="65">
        <f t="shared" si="10"/>
        <v>112</v>
      </c>
      <c r="B114" s="76" t="str">
        <f t="shared" si="9"/>
        <v>reserved_byte112</v>
      </c>
      <c r="C114" s="59">
        <v>255</v>
      </c>
      <c r="D114" s="60">
        <v>255</v>
      </c>
      <c r="E114" s="59">
        <v>0</v>
      </c>
      <c r="F114" s="59">
        <v>255</v>
      </c>
      <c r="G114" s="76" t="s">
        <v>59</v>
      </c>
      <c r="H114" s="64" t="str">
        <f t="shared" si="11"/>
        <v>2571</v>
      </c>
      <c r="I114" s="59">
        <v>1</v>
      </c>
      <c r="J114" s="61"/>
    </row>
    <row r="115" spans="1:10" s="25" customFormat="1" ht="27" customHeight="1">
      <c r="A115" s="65">
        <f t="shared" si="10"/>
        <v>113</v>
      </c>
      <c r="B115" s="76" t="str">
        <f t="shared" si="9"/>
        <v>reserved_byte113</v>
      </c>
      <c r="C115" s="59">
        <v>255</v>
      </c>
      <c r="D115" s="60">
        <v>255</v>
      </c>
      <c r="E115" s="59">
        <v>0</v>
      </c>
      <c r="F115" s="59">
        <v>255</v>
      </c>
      <c r="G115" s="76" t="s">
        <v>59</v>
      </c>
      <c r="H115" s="64" t="str">
        <f t="shared" si="11"/>
        <v>2572</v>
      </c>
      <c r="I115" s="59">
        <v>1</v>
      </c>
      <c r="J115" s="61"/>
    </row>
    <row r="116" spans="1:10" s="25" customFormat="1" ht="27" customHeight="1">
      <c r="A116" s="65">
        <f t="shared" si="10"/>
        <v>114</v>
      </c>
      <c r="B116" s="76" t="str">
        <f t="shared" si="9"/>
        <v>reserved_byte114</v>
      </c>
      <c r="C116" s="59">
        <v>255</v>
      </c>
      <c r="D116" s="60">
        <v>255</v>
      </c>
      <c r="E116" s="59">
        <v>0</v>
      </c>
      <c r="F116" s="59">
        <v>255</v>
      </c>
      <c r="G116" s="76" t="s">
        <v>59</v>
      </c>
      <c r="H116" s="64" t="str">
        <f t="shared" si="11"/>
        <v>2573</v>
      </c>
      <c r="I116" s="59">
        <v>1</v>
      </c>
      <c r="J116" s="61"/>
    </row>
    <row r="117" spans="1:10" s="25" customFormat="1" ht="27" customHeight="1">
      <c r="A117" s="65">
        <f t="shared" si="10"/>
        <v>115</v>
      </c>
      <c r="B117" s="76" t="str">
        <f t="shared" si="9"/>
        <v>reserved_byte115</v>
      </c>
      <c r="C117" s="59">
        <v>255</v>
      </c>
      <c r="D117" s="60">
        <v>255</v>
      </c>
      <c r="E117" s="59">
        <v>0</v>
      </c>
      <c r="F117" s="59">
        <v>255</v>
      </c>
      <c r="G117" s="76" t="s">
        <v>59</v>
      </c>
      <c r="H117" s="64" t="str">
        <f t="shared" si="11"/>
        <v>2574</v>
      </c>
      <c r="I117" s="59">
        <v>1</v>
      </c>
      <c r="J117" s="61"/>
    </row>
    <row r="118" spans="1:10" s="25" customFormat="1" ht="27" customHeight="1">
      <c r="A118" s="65">
        <f t="shared" si="10"/>
        <v>116</v>
      </c>
      <c r="B118" s="76" t="str">
        <f t="shared" si="9"/>
        <v>reserved_byte116</v>
      </c>
      <c r="C118" s="59">
        <v>255</v>
      </c>
      <c r="D118" s="60">
        <v>255</v>
      </c>
      <c r="E118" s="59">
        <v>0</v>
      </c>
      <c r="F118" s="59">
        <v>255</v>
      </c>
      <c r="G118" s="76" t="s">
        <v>59</v>
      </c>
      <c r="H118" s="64" t="str">
        <f t="shared" si="11"/>
        <v>2575</v>
      </c>
      <c r="I118" s="59">
        <v>1</v>
      </c>
      <c r="J118" s="61"/>
    </row>
    <row r="119" spans="1:10" s="25" customFormat="1" ht="27" customHeight="1">
      <c r="A119" s="65">
        <f t="shared" si="10"/>
        <v>117</v>
      </c>
      <c r="B119" s="76" t="str">
        <f t="shared" si="9"/>
        <v>reserved_byte117</v>
      </c>
      <c r="C119" s="59">
        <v>255</v>
      </c>
      <c r="D119" s="60">
        <v>255</v>
      </c>
      <c r="E119" s="59">
        <v>0</v>
      </c>
      <c r="F119" s="59">
        <v>255</v>
      </c>
      <c r="G119" s="76" t="s">
        <v>59</v>
      </c>
      <c r="H119" s="64" t="str">
        <f t="shared" si="11"/>
        <v>2576</v>
      </c>
      <c r="I119" s="59">
        <v>1</v>
      </c>
      <c r="J119" s="61"/>
    </row>
    <row r="120" spans="1:10" s="25" customFormat="1" ht="27" customHeight="1">
      <c r="A120" s="65">
        <f t="shared" si="10"/>
        <v>118</v>
      </c>
      <c r="B120" s="76" t="str">
        <f t="shared" si="9"/>
        <v>reserved_byte118</v>
      </c>
      <c r="C120" s="59">
        <v>255</v>
      </c>
      <c r="D120" s="60">
        <v>255</v>
      </c>
      <c r="E120" s="59">
        <v>0</v>
      </c>
      <c r="F120" s="59">
        <v>255</v>
      </c>
      <c r="G120" s="76" t="s">
        <v>59</v>
      </c>
      <c r="H120" s="64" t="str">
        <f t="shared" si="11"/>
        <v>2577</v>
      </c>
      <c r="I120" s="59">
        <v>1</v>
      </c>
      <c r="J120" s="61"/>
    </row>
    <row r="121" spans="1:10" s="25" customFormat="1" ht="27" customHeight="1">
      <c r="A121" s="65">
        <f t="shared" si="10"/>
        <v>119</v>
      </c>
      <c r="B121" s="76" t="str">
        <f t="shared" si="9"/>
        <v>reserved_byte119</v>
      </c>
      <c r="C121" s="59">
        <v>255</v>
      </c>
      <c r="D121" s="60">
        <v>255</v>
      </c>
      <c r="E121" s="59">
        <v>0</v>
      </c>
      <c r="F121" s="59">
        <v>255</v>
      </c>
      <c r="G121" s="76" t="s">
        <v>59</v>
      </c>
      <c r="H121" s="64" t="str">
        <f t="shared" si="11"/>
        <v>2578</v>
      </c>
      <c r="I121" s="59">
        <v>1</v>
      </c>
      <c r="J121" s="61"/>
    </row>
    <row r="122" spans="1:10" s="25" customFormat="1" ht="27" customHeight="1">
      <c r="A122" s="65">
        <f t="shared" si="10"/>
        <v>120</v>
      </c>
      <c r="B122" s="76" t="str">
        <f t="shared" si="9"/>
        <v>reserved_byte120</v>
      </c>
      <c r="C122" s="59">
        <v>255</v>
      </c>
      <c r="D122" s="60">
        <v>255</v>
      </c>
      <c r="E122" s="59">
        <v>0</v>
      </c>
      <c r="F122" s="59">
        <v>255</v>
      </c>
      <c r="G122" s="76" t="s">
        <v>59</v>
      </c>
      <c r="H122" s="64" t="str">
        <f t="shared" si="11"/>
        <v>2579</v>
      </c>
      <c r="I122" s="59">
        <v>1</v>
      </c>
      <c r="J122" s="61"/>
    </row>
    <row r="123" spans="1:10" s="25" customFormat="1" ht="27" customHeight="1">
      <c r="A123" s="65">
        <f t="shared" si="10"/>
        <v>121</v>
      </c>
      <c r="B123" s="76" t="str">
        <f t="shared" si="9"/>
        <v>reserved_byte121</v>
      </c>
      <c r="C123" s="59">
        <v>255</v>
      </c>
      <c r="D123" s="60">
        <v>255</v>
      </c>
      <c r="E123" s="59">
        <v>0</v>
      </c>
      <c r="F123" s="59">
        <v>255</v>
      </c>
      <c r="G123" s="76" t="s">
        <v>59</v>
      </c>
      <c r="H123" s="64" t="str">
        <f t="shared" si="11"/>
        <v>257A</v>
      </c>
      <c r="I123" s="59">
        <v>1</v>
      </c>
      <c r="J123" s="61"/>
    </row>
    <row r="124" spans="1:10" s="25" customFormat="1" ht="27" customHeight="1">
      <c r="A124" s="65">
        <f t="shared" si="10"/>
        <v>122</v>
      </c>
      <c r="B124" s="76" t="str">
        <f t="shared" si="9"/>
        <v>reserved_byte122</v>
      </c>
      <c r="C124" s="59">
        <v>255</v>
      </c>
      <c r="D124" s="60">
        <v>255</v>
      </c>
      <c r="E124" s="59">
        <v>0</v>
      </c>
      <c r="F124" s="59">
        <v>255</v>
      </c>
      <c r="G124" s="76" t="s">
        <v>59</v>
      </c>
      <c r="H124" s="64" t="str">
        <f t="shared" si="11"/>
        <v>257B</v>
      </c>
      <c r="I124" s="59">
        <v>1</v>
      </c>
      <c r="J124" s="61"/>
    </row>
    <row r="125" spans="1:10" s="25" customFormat="1" ht="27" customHeight="1">
      <c r="A125" s="65">
        <f t="shared" si="10"/>
        <v>123</v>
      </c>
      <c r="B125" s="76" t="str">
        <f t="shared" si="9"/>
        <v>reserved_byte123</v>
      </c>
      <c r="C125" s="59">
        <v>255</v>
      </c>
      <c r="D125" s="60">
        <v>255</v>
      </c>
      <c r="E125" s="59">
        <v>0</v>
      </c>
      <c r="F125" s="59">
        <v>255</v>
      </c>
      <c r="G125" s="76" t="s">
        <v>59</v>
      </c>
      <c r="H125" s="64" t="str">
        <f t="shared" si="11"/>
        <v>257C</v>
      </c>
      <c r="I125" s="59">
        <v>1</v>
      </c>
      <c r="J125" s="61"/>
    </row>
    <row r="126" spans="1:10" s="25" customFormat="1" ht="27" customHeight="1">
      <c r="A126" s="65">
        <f t="shared" si="10"/>
        <v>124</v>
      </c>
      <c r="B126" s="76" t="str">
        <f t="shared" si="9"/>
        <v>reserved_byte124</v>
      </c>
      <c r="C126" s="59">
        <v>255</v>
      </c>
      <c r="D126" s="60">
        <v>255</v>
      </c>
      <c r="E126" s="59">
        <v>0</v>
      </c>
      <c r="F126" s="59">
        <v>255</v>
      </c>
      <c r="G126" s="76" t="s">
        <v>59</v>
      </c>
      <c r="H126" s="64" t="str">
        <f t="shared" si="11"/>
        <v>257D</v>
      </c>
      <c r="I126" s="59">
        <v>1</v>
      </c>
      <c r="J126" s="61"/>
    </row>
    <row r="127" spans="1:10" s="25" customFormat="1" ht="27" customHeight="1">
      <c r="A127" s="65">
        <f t="shared" si="10"/>
        <v>125</v>
      </c>
      <c r="B127" s="76" t="str">
        <f t="shared" si="9"/>
        <v>reserved_byte125</v>
      </c>
      <c r="C127" s="59">
        <v>255</v>
      </c>
      <c r="D127" s="60">
        <v>255</v>
      </c>
      <c r="E127" s="59">
        <v>0</v>
      </c>
      <c r="F127" s="59">
        <v>255</v>
      </c>
      <c r="G127" s="76" t="s">
        <v>59</v>
      </c>
      <c r="H127" s="64" t="str">
        <f t="shared" si="11"/>
        <v>257E</v>
      </c>
      <c r="I127" s="59">
        <v>1</v>
      </c>
      <c r="J127" s="61"/>
    </row>
    <row r="128" spans="1:10" s="25" customFormat="1" ht="27" customHeight="1">
      <c r="A128" s="65">
        <f t="shared" si="10"/>
        <v>126</v>
      </c>
      <c r="B128" s="76" t="str">
        <f t="shared" si="9"/>
        <v>reserved_byte126</v>
      </c>
      <c r="C128" s="59">
        <v>255</v>
      </c>
      <c r="D128" s="60">
        <v>255</v>
      </c>
      <c r="E128" s="59">
        <v>0</v>
      </c>
      <c r="F128" s="59">
        <v>255</v>
      </c>
      <c r="G128" s="76" t="s">
        <v>59</v>
      </c>
      <c r="H128" s="64" t="str">
        <f t="shared" si="11"/>
        <v>257F</v>
      </c>
      <c r="I128" s="59">
        <v>1</v>
      </c>
      <c r="J128" s="61"/>
    </row>
    <row r="129" spans="1:10" s="25" customFormat="1" ht="27" customHeight="1">
      <c r="A129" s="65">
        <f t="shared" si="10"/>
        <v>127</v>
      </c>
      <c r="B129" s="76" t="str">
        <f t="shared" si="9"/>
        <v>reserved_byte127</v>
      </c>
      <c r="C129" s="59">
        <v>255</v>
      </c>
      <c r="D129" s="60">
        <v>255</v>
      </c>
      <c r="E129" s="59">
        <v>0</v>
      </c>
      <c r="F129" s="59">
        <v>255</v>
      </c>
      <c r="G129" s="76" t="s">
        <v>59</v>
      </c>
      <c r="H129" s="64" t="str">
        <f t="shared" si="11"/>
        <v>2580</v>
      </c>
      <c r="I129" s="59">
        <v>1</v>
      </c>
      <c r="J129" s="61"/>
    </row>
    <row r="130" spans="1:10" s="25" customFormat="1" ht="27" customHeight="1">
      <c r="A130" s="65">
        <f t="shared" si="10"/>
        <v>128</v>
      </c>
      <c r="B130" s="76" t="str">
        <f t="shared" ref="B130:B161" si="12">"reserved_byte" &amp;TEXT(A130,0)</f>
        <v>reserved_byte128</v>
      </c>
      <c r="C130" s="59">
        <v>255</v>
      </c>
      <c r="D130" s="60">
        <v>255</v>
      </c>
      <c r="E130" s="59">
        <v>0</v>
      </c>
      <c r="F130" s="59">
        <v>255</v>
      </c>
      <c r="G130" s="76" t="s">
        <v>59</v>
      </c>
      <c r="H130" s="64" t="str">
        <f t="shared" si="11"/>
        <v>2581</v>
      </c>
      <c r="I130" s="59">
        <v>1</v>
      </c>
      <c r="J130" s="61"/>
    </row>
    <row r="131" spans="1:10" s="25" customFormat="1" ht="27" customHeight="1">
      <c r="A131" s="65">
        <f t="shared" ref="A131:A162" si="13">A130+1</f>
        <v>129</v>
      </c>
      <c r="B131" s="76" t="str">
        <f t="shared" si="12"/>
        <v>reserved_byte129</v>
      </c>
      <c r="C131" s="59">
        <v>255</v>
      </c>
      <c r="D131" s="60">
        <v>255</v>
      </c>
      <c r="E131" s="59">
        <v>0</v>
      </c>
      <c r="F131" s="59">
        <v>255</v>
      </c>
      <c r="G131" s="76" t="s">
        <v>59</v>
      </c>
      <c r="H131" s="64" t="str">
        <f t="shared" ref="H131:H162" si="14">DEC2HEX((HEX2DEC(H130)+1),4)</f>
        <v>2582</v>
      </c>
      <c r="I131" s="59">
        <v>1</v>
      </c>
      <c r="J131" s="61"/>
    </row>
    <row r="132" spans="1:10" s="25" customFormat="1" ht="27" customHeight="1">
      <c r="A132" s="65">
        <f t="shared" si="13"/>
        <v>130</v>
      </c>
      <c r="B132" s="76" t="str">
        <f t="shared" si="12"/>
        <v>reserved_byte130</v>
      </c>
      <c r="C132" s="59">
        <v>255</v>
      </c>
      <c r="D132" s="60">
        <v>255</v>
      </c>
      <c r="E132" s="59">
        <v>0</v>
      </c>
      <c r="F132" s="59">
        <v>255</v>
      </c>
      <c r="G132" s="76" t="s">
        <v>59</v>
      </c>
      <c r="H132" s="64" t="str">
        <f t="shared" si="14"/>
        <v>2583</v>
      </c>
      <c r="I132" s="59">
        <v>1</v>
      </c>
      <c r="J132" s="61"/>
    </row>
    <row r="133" spans="1:10" s="25" customFormat="1" ht="27" customHeight="1">
      <c r="A133" s="65">
        <f t="shared" si="13"/>
        <v>131</v>
      </c>
      <c r="B133" s="76" t="str">
        <f t="shared" si="12"/>
        <v>reserved_byte131</v>
      </c>
      <c r="C133" s="59">
        <v>255</v>
      </c>
      <c r="D133" s="60">
        <v>255</v>
      </c>
      <c r="E133" s="59">
        <v>0</v>
      </c>
      <c r="F133" s="59">
        <v>255</v>
      </c>
      <c r="G133" s="76" t="s">
        <v>59</v>
      </c>
      <c r="H133" s="64" t="str">
        <f t="shared" si="14"/>
        <v>2584</v>
      </c>
      <c r="I133" s="59">
        <v>1</v>
      </c>
      <c r="J133" s="61"/>
    </row>
    <row r="134" spans="1:10" s="25" customFormat="1" ht="27" customHeight="1">
      <c r="A134" s="65">
        <f t="shared" si="13"/>
        <v>132</v>
      </c>
      <c r="B134" s="76" t="str">
        <f t="shared" si="12"/>
        <v>reserved_byte132</v>
      </c>
      <c r="C134" s="59">
        <v>255</v>
      </c>
      <c r="D134" s="60">
        <v>255</v>
      </c>
      <c r="E134" s="59">
        <v>0</v>
      </c>
      <c r="F134" s="59">
        <v>255</v>
      </c>
      <c r="G134" s="76" t="s">
        <v>59</v>
      </c>
      <c r="H134" s="64" t="str">
        <f t="shared" si="14"/>
        <v>2585</v>
      </c>
      <c r="I134" s="59">
        <v>1</v>
      </c>
      <c r="J134" s="61"/>
    </row>
    <row r="135" spans="1:10" s="25" customFormat="1" ht="27" customHeight="1">
      <c r="A135" s="65">
        <f t="shared" si="13"/>
        <v>133</v>
      </c>
      <c r="B135" s="76" t="str">
        <f t="shared" si="12"/>
        <v>reserved_byte133</v>
      </c>
      <c r="C135" s="59">
        <v>255</v>
      </c>
      <c r="D135" s="60">
        <v>255</v>
      </c>
      <c r="E135" s="59">
        <v>0</v>
      </c>
      <c r="F135" s="59">
        <v>255</v>
      </c>
      <c r="G135" s="76" t="s">
        <v>59</v>
      </c>
      <c r="H135" s="64" t="str">
        <f t="shared" si="14"/>
        <v>2586</v>
      </c>
      <c r="I135" s="59">
        <v>1</v>
      </c>
      <c r="J135" s="61"/>
    </row>
    <row r="136" spans="1:10" s="25" customFormat="1" ht="27" customHeight="1">
      <c r="A136" s="65">
        <f t="shared" si="13"/>
        <v>134</v>
      </c>
      <c r="B136" s="76" t="str">
        <f t="shared" si="12"/>
        <v>reserved_byte134</v>
      </c>
      <c r="C136" s="59">
        <v>255</v>
      </c>
      <c r="D136" s="60">
        <v>255</v>
      </c>
      <c r="E136" s="59">
        <v>0</v>
      </c>
      <c r="F136" s="59">
        <v>255</v>
      </c>
      <c r="G136" s="76" t="s">
        <v>59</v>
      </c>
      <c r="H136" s="64" t="str">
        <f t="shared" si="14"/>
        <v>2587</v>
      </c>
      <c r="I136" s="59">
        <v>1</v>
      </c>
      <c r="J136" s="61"/>
    </row>
    <row r="137" spans="1:10" s="25" customFormat="1" ht="27" customHeight="1">
      <c r="A137" s="65">
        <f t="shared" si="13"/>
        <v>135</v>
      </c>
      <c r="B137" s="76" t="str">
        <f t="shared" si="12"/>
        <v>reserved_byte135</v>
      </c>
      <c r="C137" s="59">
        <v>255</v>
      </c>
      <c r="D137" s="60">
        <v>255</v>
      </c>
      <c r="E137" s="59">
        <v>0</v>
      </c>
      <c r="F137" s="59">
        <v>255</v>
      </c>
      <c r="G137" s="76" t="s">
        <v>59</v>
      </c>
      <c r="H137" s="64" t="str">
        <f t="shared" si="14"/>
        <v>2588</v>
      </c>
      <c r="I137" s="59">
        <v>1</v>
      </c>
      <c r="J137" s="61"/>
    </row>
    <row r="138" spans="1:10" s="25" customFormat="1" ht="27" customHeight="1">
      <c r="A138" s="65">
        <f t="shared" si="13"/>
        <v>136</v>
      </c>
      <c r="B138" s="76" t="str">
        <f t="shared" si="12"/>
        <v>reserved_byte136</v>
      </c>
      <c r="C138" s="59">
        <v>255</v>
      </c>
      <c r="D138" s="60">
        <v>255</v>
      </c>
      <c r="E138" s="59">
        <v>0</v>
      </c>
      <c r="F138" s="59">
        <v>255</v>
      </c>
      <c r="G138" s="76" t="s">
        <v>59</v>
      </c>
      <c r="H138" s="64" t="str">
        <f t="shared" si="14"/>
        <v>2589</v>
      </c>
      <c r="I138" s="59">
        <v>1</v>
      </c>
      <c r="J138" s="61"/>
    </row>
    <row r="139" spans="1:10" s="25" customFormat="1" ht="27" customHeight="1">
      <c r="A139" s="65">
        <f t="shared" si="13"/>
        <v>137</v>
      </c>
      <c r="B139" s="76" t="str">
        <f t="shared" si="12"/>
        <v>reserved_byte137</v>
      </c>
      <c r="C139" s="59">
        <v>255</v>
      </c>
      <c r="D139" s="60">
        <v>255</v>
      </c>
      <c r="E139" s="59">
        <v>0</v>
      </c>
      <c r="F139" s="59">
        <v>255</v>
      </c>
      <c r="G139" s="76" t="s">
        <v>59</v>
      </c>
      <c r="H139" s="64" t="str">
        <f t="shared" si="14"/>
        <v>258A</v>
      </c>
      <c r="I139" s="59">
        <v>1</v>
      </c>
      <c r="J139" s="61"/>
    </row>
    <row r="140" spans="1:10" s="25" customFormat="1" ht="27" customHeight="1">
      <c r="A140" s="65">
        <f t="shared" si="13"/>
        <v>138</v>
      </c>
      <c r="B140" s="76" t="str">
        <f t="shared" si="12"/>
        <v>reserved_byte138</v>
      </c>
      <c r="C140" s="59">
        <v>255</v>
      </c>
      <c r="D140" s="60">
        <v>255</v>
      </c>
      <c r="E140" s="59">
        <v>0</v>
      </c>
      <c r="F140" s="59">
        <v>255</v>
      </c>
      <c r="G140" s="76" t="s">
        <v>59</v>
      </c>
      <c r="H140" s="64" t="str">
        <f t="shared" si="14"/>
        <v>258B</v>
      </c>
      <c r="I140" s="59">
        <v>1</v>
      </c>
      <c r="J140" s="61"/>
    </row>
    <row r="141" spans="1:10" s="25" customFormat="1" ht="27" customHeight="1">
      <c r="A141" s="65">
        <f t="shared" si="13"/>
        <v>139</v>
      </c>
      <c r="B141" s="76" t="str">
        <f t="shared" si="12"/>
        <v>reserved_byte139</v>
      </c>
      <c r="C141" s="59">
        <v>255</v>
      </c>
      <c r="D141" s="60">
        <v>255</v>
      </c>
      <c r="E141" s="59">
        <v>0</v>
      </c>
      <c r="F141" s="59">
        <v>255</v>
      </c>
      <c r="G141" s="76" t="s">
        <v>59</v>
      </c>
      <c r="H141" s="64" t="str">
        <f t="shared" si="14"/>
        <v>258C</v>
      </c>
      <c r="I141" s="59">
        <v>1</v>
      </c>
      <c r="J141" s="61"/>
    </row>
    <row r="142" spans="1:10" s="25" customFormat="1" ht="27" customHeight="1">
      <c r="A142" s="65">
        <f t="shared" si="13"/>
        <v>140</v>
      </c>
      <c r="B142" s="76" t="str">
        <f t="shared" si="12"/>
        <v>reserved_byte140</v>
      </c>
      <c r="C142" s="59">
        <v>255</v>
      </c>
      <c r="D142" s="60">
        <v>255</v>
      </c>
      <c r="E142" s="59">
        <v>0</v>
      </c>
      <c r="F142" s="59">
        <v>255</v>
      </c>
      <c r="G142" s="76" t="s">
        <v>59</v>
      </c>
      <c r="H142" s="64" t="str">
        <f t="shared" si="14"/>
        <v>258D</v>
      </c>
      <c r="I142" s="59">
        <v>1</v>
      </c>
      <c r="J142" s="61"/>
    </row>
    <row r="143" spans="1:10" s="25" customFormat="1" ht="27" customHeight="1">
      <c r="A143" s="65">
        <f t="shared" si="13"/>
        <v>141</v>
      </c>
      <c r="B143" s="76" t="str">
        <f t="shared" si="12"/>
        <v>reserved_byte141</v>
      </c>
      <c r="C143" s="59">
        <v>255</v>
      </c>
      <c r="D143" s="60">
        <v>255</v>
      </c>
      <c r="E143" s="59">
        <v>0</v>
      </c>
      <c r="F143" s="59">
        <v>255</v>
      </c>
      <c r="G143" s="76" t="s">
        <v>59</v>
      </c>
      <c r="H143" s="64" t="str">
        <f t="shared" si="14"/>
        <v>258E</v>
      </c>
      <c r="I143" s="59">
        <v>1</v>
      </c>
      <c r="J143" s="61"/>
    </row>
    <row r="144" spans="1:10" s="25" customFormat="1" ht="27" customHeight="1">
      <c r="A144" s="65">
        <f t="shared" si="13"/>
        <v>142</v>
      </c>
      <c r="B144" s="76" t="str">
        <f t="shared" si="12"/>
        <v>reserved_byte142</v>
      </c>
      <c r="C144" s="59">
        <v>255</v>
      </c>
      <c r="D144" s="60">
        <v>255</v>
      </c>
      <c r="E144" s="59">
        <v>0</v>
      </c>
      <c r="F144" s="59">
        <v>255</v>
      </c>
      <c r="G144" s="76" t="s">
        <v>59</v>
      </c>
      <c r="H144" s="64" t="str">
        <f t="shared" si="14"/>
        <v>258F</v>
      </c>
      <c r="I144" s="59">
        <v>1</v>
      </c>
      <c r="J144" s="61"/>
    </row>
    <row r="145" spans="1:10" s="25" customFormat="1" ht="27" customHeight="1">
      <c r="A145" s="65">
        <f t="shared" si="13"/>
        <v>143</v>
      </c>
      <c r="B145" s="76" t="str">
        <f t="shared" si="12"/>
        <v>reserved_byte143</v>
      </c>
      <c r="C145" s="59">
        <v>255</v>
      </c>
      <c r="D145" s="60">
        <v>255</v>
      </c>
      <c r="E145" s="59">
        <v>0</v>
      </c>
      <c r="F145" s="59">
        <v>255</v>
      </c>
      <c r="G145" s="76" t="s">
        <v>59</v>
      </c>
      <c r="H145" s="64" t="str">
        <f t="shared" si="14"/>
        <v>2590</v>
      </c>
      <c r="I145" s="59">
        <v>1</v>
      </c>
      <c r="J145" s="61"/>
    </row>
    <row r="146" spans="1:10" s="25" customFormat="1" ht="27" customHeight="1">
      <c r="A146" s="65">
        <f t="shared" si="13"/>
        <v>144</v>
      </c>
      <c r="B146" s="76" t="str">
        <f t="shared" si="12"/>
        <v>reserved_byte144</v>
      </c>
      <c r="C146" s="59">
        <v>255</v>
      </c>
      <c r="D146" s="60">
        <v>255</v>
      </c>
      <c r="E146" s="59">
        <v>0</v>
      </c>
      <c r="F146" s="59">
        <v>255</v>
      </c>
      <c r="G146" s="76" t="s">
        <v>59</v>
      </c>
      <c r="H146" s="64" t="str">
        <f t="shared" si="14"/>
        <v>2591</v>
      </c>
      <c r="I146" s="59">
        <v>1</v>
      </c>
      <c r="J146" s="61"/>
    </row>
    <row r="147" spans="1:10" s="25" customFormat="1" ht="27" customHeight="1">
      <c r="A147" s="65">
        <f t="shared" si="13"/>
        <v>145</v>
      </c>
      <c r="B147" s="76" t="str">
        <f t="shared" si="12"/>
        <v>reserved_byte145</v>
      </c>
      <c r="C147" s="59">
        <v>255</v>
      </c>
      <c r="D147" s="60">
        <v>255</v>
      </c>
      <c r="E147" s="59">
        <v>0</v>
      </c>
      <c r="F147" s="59">
        <v>255</v>
      </c>
      <c r="G147" s="76" t="s">
        <v>59</v>
      </c>
      <c r="H147" s="64" t="str">
        <f t="shared" si="14"/>
        <v>2592</v>
      </c>
      <c r="I147" s="59">
        <v>1</v>
      </c>
      <c r="J147" s="61"/>
    </row>
    <row r="148" spans="1:10" s="25" customFormat="1" ht="27" customHeight="1">
      <c r="A148" s="65">
        <f t="shared" si="13"/>
        <v>146</v>
      </c>
      <c r="B148" s="76" t="str">
        <f t="shared" si="12"/>
        <v>reserved_byte146</v>
      </c>
      <c r="C148" s="59">
        <v>255</v>
      </c>
      <c r="D148" s="60">
        <v>255</v>
      </c>
      <c r="E148" s="59">
        <v>0</v>
      </c>
      <c r="F148" s="59">
        <v>255</v>
      </c>
      <c r="G148" s="76" t="s">
        <v>59</v>
      </c>
      <c r="H148" s="64" t="str">
        <f t="shared" si="14"/>
        <v>2593</v>
      </c>
      <c r="I148" s="59">
        <v>1</v>
      </c>
      <c r="J148" s="61"/>
    </row>
    <row r="149" spans="1:10" s="25" customFormat="1" ht="27" customHeight="1">
      <c r="A149" s="65">
        <f t="shared" si="13"/>
        <v>147</v>
      </c>
      <c r="B149" s="76" t="str">
        <f t="shared" si="12"/>
        <v>reserved_byte147</v>
      </c>
      <c r="C149" s="59">
        <v>255</v>
      </c>
      <c r="D149" s="60">
        <v>255</v>
      </c>
      <c r="E149" s="59">
        <v>0</v>
      </c>
      <c r="F149" s="59">
        <v>255</v>
      </c>
      <c r="G149" s="76" t="s">
        <v>59</v>
      </c>
      <c r="H149" s="64" t="str">
        <f t="shared" si="14"/>
        <v>2594</v>
      </c>
      <c r="I149" s="59">
        <v>1</v>
      </c>
      <c r="J149" s="61"/>
    </row>
    <row r="150" spans="1:10" s="25" customFormat="1" ht="27" customHeight="1">
      <c r="A150" s="65">
        <f t="shared" si="13"/>
        <v>148</v>
      </c>
      <c r="B150" s="76" t="str">
        <f t="shared" si="12"/>
        <v>reserved_byte148</v>
      </c>
      <c r="C150" s="59">
        <v>255</v>
      </c>
      <c r="D150" s="60">
        <v>255</v>
      </c>
      <c r="E150" s="59">
        <v>0</v>
      </c>
      <c r="F150" s="59">
        <v>255</v>
      </c>
      <c r="G150" s="76" t="s">
        <v>59</v>
      </c>
      <c r="H150" s="64" t="str">
        <f t="shared" si="14"/>
        <v>2595</v>
      </c>
      <c r="I150" s="59">
        <v>1</v>
      </c>
      <c r="J150" s="61"/>
    </row>
    <row r="151" spans="1:10" s="25" customFormat="1" ht="27" customHeight="1">
      <c r="A151" s="65">
        <f t="shared" si="13"/>
        <v>149</v>
      </c>
      <c r="B151" s="76" t="str">
        <f t="shared" si="12"/>
        <v>reserved_byte149</v>
      </c>
      <c r="C151" s="59">
        <v>255</v>
      </c>
      <c r="D151" s="60">
        <v>255</v>
      </c>
      <c r="E151" s="59">
        <v>0</v>
      </c>
      <c r="F151" s="59">
        <v>255</v>
      </c>
      <c r="G151" s="76" t="s">
        <v>59</v>
      </c>
      <c r="H151" s="64" t="str">
        <f t="shared" si="14"/>
        <v>2596</v>
      </c>
      <c r="I151" s="59">
        <v>1</v>
      </c>
      <c r="J151" s="61"/>
    </row>
    <row r="152" spans="1:10" s="25" customFormat="1" ht="27" customHeight="1">
      <c r="A152" s="65">
        <f t="shared" si="13"/>
        <v>150</v>
      </c>
      <c r="B152" s="76" t="str">
        <f t="shared" si="12"/>
        <v>reserved_byte150</v>
      </c>
      <c r="C152" s="59">
        <v>255</v>
      </c>
      <c r="D152" s="60">
        <v>255</v>
      </c>
      <c r="E152" s="59">
        <v>0</v>
      </c>
      <c r="F152" s="59">
        <v>255</v>
      </c>
      <c r="G152" s="76" t="s">
        <v>59</v>
      </c>
      <c r="H152" s="64" t="str">
        <f t="shared" si="14"/>
        <v>2597</v>
      </c>
      <c r="I152" s="59">
        <v>1</v>
      </c>
      <c r="J152" s="61"/>
    </row>
    <row r="153" spans="1:10" s="25" customFormat="1" ht="27" customHeight="1">
      <c r="A153" s="65">
        <f t="shared" si="13"/>
        <v>151</v>
      </c>
      <c r="B153" s="76" t="str">
        <f t="shared" si="12"/>
        <v>reserved_byte151</v>
      </c>
      <c r="C153" s="59">
        <v>255</v>
      </c>
      <c r="D153" s="60">
        <v>255</v>
      </c>
      <c r="E153" s="59">
        <v>0</v>
      </c>
      <c r="F153" s="59">
        <v>255</v>
      </c>
      <c r="G153" s="76" t="s">
        <v>59</v>
      </c>
      <c r="H153" s="64" t="str">
        <f t="shared" si="14"/>
        <v>2598</v>
      </c>
      <c r="I153" s="59">
        <v>1</v>
      </c>
      <c r="J153" s="61"/>
    </row>
    <row r="154" spans="1:10" s="25" customFormat="1" ht="27" customHeight="1">
      <c r="A154" s="65">
        <f t="shared" si="13"/>
        <v>152</v>
      </c>
      <c r="B154" s="76" t="str">
        <f t="shared" si="12"/>
        <v>reserved_byte152</v>
      </c>
      <c r="C154" s="59">
        <v>255</v>
      </c>
      <c r="D154" s="60">
        <v>255</v>
      </c>
      <c r="E154" s="59">
        <v>0</v>
      </c>
      <c r="F154" s="59">
        <v>255</v>
      </c>
      <c r="G154" s="76" t="s">
        <v>59</v>
      </c>
      <c r="H154" s="64" t="str">
        <f t="shared" si="14"/>
        <v>2599</v>
      </c>
      <c r="I154" s="59">
        <v>1</v>
      </c>
      <c r="J154" s="61"/>
    </row>
    <row r="155" spans="1:10" s="25" customFormat="1" ht="27" customHeight="1">
      <c r="A155" s="65">
        <f t="shared" si="13"/>
        <v>153</v>
      </c>
      <c r="B155" s="76" t="str">
        <f t="shared" si="12"/>
        <v>reserved_byte153</v>
      </c>
      <c r="C155" s="59">
        <v>255</v>
      </c>
      <c r="D155" s="60">
        <v>255</v>
      </c>
      <c r="E155" s="59">
        <v>0</v>
      </c>
      <c r="F155" s="59">
        <v>255</v>
      </c>
      <c r="G155" s="76" t="s">
        <v>59</v>
      </c>
      <c r="H155" s="64" t="str">
        <f t="shared" si="14"/>
        <v>259A</v>
      </c>
      <c r="I155" s="59">
        <v>1</v>
      </c>
      <c r="J155" s="61"/>
    </row>
    <row r="156" spans="1:10" s="25" customFormat="1" ht="27" customHeight="1">
      <c r="A156" s="65">
        <f t="shared" si="13"/>
        <v>154</v>
      </c>
      <c r="B156" s="76" t="str">
        <f t="shared" si="12"/>
        <v>reserved_byte154</v>
      </c>
      <c r="C156" s="59">
        <v>255</v>
      </c>
      <c r="D156" s="60">
        <v>255</v>
      </c>
      <c r="E156" s="59">
        <v>0</v>
      </c>
      <c r="F156" s="59">
        <v>255</v>
      </c>
      <c r="G156" s="76" t="s">
        <v>59</v>
      </c>
      <c r="H156" s="64" t="str">
        <f t="shared" si="14"/>
        <v>259B</v>
      </c>
      <c r="I156" s="59">
        <v>1</v>
      </c>
      <c r="J156" s="61"/>
    </row>
    <row r="157" spans="1:10" s="25" customFormat="1" ht="27" customHeight="1">
      <c r="A157" s="65">
        <f t="shared" si="13"/>
        <v>155</v>
      </c>
      <c r="B157" s="76" t="str">
        <f t="shared" si="12"/>
        <v>reserved_byte155</v>
      </c>
      <c r="C157" s="59">
        <v>255</v>
      </c>
      <c r="D157" s="60">
        <v>255</v>
      </c>
      <c r="E157" s="59">
        <v>0</v>
      </c>
      <c r="F157" s="59">
        <v>255</v>
      </c>
      <c r="G157" s="76" t="s">
        <v>59</v>
      </c>
      <c r="H157" s="64" t="str">
        <f t="shared" si="14"/>
        <v>259C</v>
      </c>
      <c r="I157" s="59">
        <v>1</v>
      </c>
      <c r="J157" s="61"/>
    </row>
    <row r="158" spans="1:10" s="25" customFormat="1" ht="27" customHeight="1">
      <c r="A158" s="65">
        <f t="shared" si="13"/>
        <v>156</v>
      </c>
      <c r="B158" s="76" t="str">
        <f t="shared" si="12"/>
        <v>reserved_byte156</v>
      </c>
      <c r="C158" s="59">
        <v>255</v>
      </c>
      <c r="D158" s="60">
        <v>255</v>
      </c>
      <c r="E158" s="59">
        <v>0</v>
      </c>
      <c r="F158" s="59">
        <v>255</v>
      </c>
      <c r="G158" s="76" t="s">
        <v>59</v>
      </c>
      <c r="H158" s="64" t="str">
        <f t="shared" si="14"/>
        <v>259D</v>
      </c>
      <c r="I158" s="59">
        <v>1</v>
      </c>
      <c r="J158" s="61"/>
    </row>
    <row r="159" spans="1:10" s="25" customFormat="1" ht="27" customHeight="1">
      <c r="A159" s="65">
        <f t="shared" si="13"/>
        <v>157</v>
      </c>
      <c r="B159" s="76" t="str">
        <f t="shared" si="12"/>
        <v>reserved_byte157</v>
      </c>
      <c r="C159" s="59">
        <v>255</v>
      </c>
      <c r="D159" s="60">
        <v>255</v>
      </c>
      <c r="E159" s="59">
        <v>0</v>
      </c>
      <c r="F159" s="59">
        <v>255</v>
      </c>
      <c r="G159" s="76" t="s">
        <v>59</v>
      </c>
      <c r="H159" s="64" t="str">
        <f t="shared" si="14"/>
        <v>259E</v>
      </c>
      <c r="I159" s="59">
        <v>1</v>
      </c>
      <c r="J159" s="61"/>
    </row>
    <row r="160" spans="1:10" s="25" customFormat="1" ht="27" customHeight="1">
      <c r="A160" s="65">
        <f t="shared" si="13"/>
        <v>158</v>
      </c>
      <c r="B160" s="76" t="str">
        <f t="shared" si="12"/>
        <v>reserved_byte158</v>
      </c>
      <c r="C160" s="59">
        <v>255</v>
      </c>
      <c r="D160" s="60">
        <v>255</v>
      </c>
      <c r="E160" s="59">
        <v>0</v>
      </c>
      <c r="F160" s="59">
        <v>255</v>
      </c>
      <c r="G160" s="76" t="s">
        <v>59</v>
      </c>
      <c r="H160" s="64" t="str">
        <f t="shared" si="14"/>
        <v>259F</v>
      </c>
      <c r="I160" s="59">
        <v>1</v>
      </c>
      <c r="J160" s="61"/>
    </row>
    <row r="161" spans="1:10" s="25" customFormat="1" ht="27" customHeight="1">
      <c r="A161" s="65">
        <f t="shared" si="13"/>
        <v>159</v>
      </c>
      <c r="B161" s="76" t="str">
        <f t="shared" si="12"/>
        <v>reserved_byte159</v>
      </c>
      <c r="C161" s="59">
        <v>255</v>
      </c>
      <c r="D161" s="60">
        <v>255</v>
      </c>
      <c r="E161" s="59">
        <v>0</v>
      </c>
      <c r="F161" s="59">
        <v>255</v>
      </c>
      <c r="G161" s="76" t="s">
        <v>59</v>
      </c>
      <c r="H161" s="64" t="str">
        <f t="shared" si="14"/>
        <v>25A0</v>
      </c>
      <c r="I161" s="59">
        <v>1</v>
      </c>
      <c r="J161" s="61"/>
    </row>
    <row r="162" spans="1:10" s="25" customFormat="1" ht="27" customHeight="1">
      <c r="A162" s="65">
        <f t="shared" si="13"/>
        <v>160</v>
      </c>
      <c r="B162" s="76" t="str">
        <f t="shared" ref="B162:B193" si="15">"reserved_byte" &amp;TEXT(A162,0)</f>
        <v>reserved_byte160</v>
      </c>
      <c r="C162" s="59">
        <v>255</v>
      </c>
      <c r="D162" s="60">
        <v>255</v>
      </c>
      <c r="E162" s="59">
        <v>0</v>
      </c>
      <c r="F162" s="59">
        <v>255</v>
      </c>
      <c r="G162" s="76" t="s">
        <v>59</v>
      </c>
      <c r="H162" s="64" t="str">
        <f t="shared" si="14"/>
        <v>25A1</v>
      </c>
      <c r="I162" s="59">
        <v>1</v>
      </c>
      <c r="J162" s="61"/>
    </row>
    <row r="163" spans="1:10" s="25" customFormat="1" ht="27" customHeight="1">
      <c r="A163" s="65">
        <f t="shared" ref="A163:A194" si="16">A162+1</f>
        <v>161</v>
      </c>
      <c r="B163" s="76" t="str">
        <f t="shared" si="15"/>
        <v>reserved_byte161</v>
      </c>
      <c r="C163" s="59">
        <v>255</v>
      </c>
      <c r="D163" s="60">
        <v>255</v>
      </c>
      <c r="E163" s="59">
        <v>0</v>
      </c>
      <c r="F163" s="59">
        <v>255</v>
      </c>
      <c r="G163" s="76" t="s">
        <v>59</v>
      </c>
      <c r="H163" s="64" t="str">
        <f t="shared" ref="H163:H194" si="17">DEC2HEX((HEX2DEC(H162)+1),4)</f>
        <v>25A2</v>
      </c>
      <c r="I163" s="59">
        <v>1</v>
      </c>
      <c r="J163" s="61"/>
    </row>
    <row r="164" spans="1:10" s="25" customFormat="1" ht="27" customHeight="1">
      <c r="A164" s="65">
        <f t="shared" si="16"/>
        <v>162</v>
      </c>
      <c r="B164" s="76" t="str">
        <f t="shared" si="15"/>
        <v>reserved_byte162</v>
      </c>
      <c r="C164" s="59">
        <v>255</v>
      </c>
      <c r="D164" s="60">
        <v>255</v>
      </c>
      <c r="E164" s="59">
        <v>0</v>
      </c>
      <c r="F164" s="59">
        <v>255</v>
      </c>
      <c r="G164" s="76" t="s">
        <v>59</v>
      </c>
      <c r="H164" s="64" t="str">
        <f t="shared" si="17"/>
        <v>25A3</v>
      </c>
      <c r="I164" s="59">
        <v>1</v>
      </c>
      <c r="J164" s="61"/>
    </row>
    <row r="165" spans="1:10" s="25" customFormat="1" ht="27" customHeight="1">
      <c r="A165" s="65">
        <f t="shared" si="16"/>
        <v>163</v>
      </c>
      <c r="B165" s="76" t="str">
        <f t="shared" si="15"/>
        <v>reserved_byte163</v>
      </c>
      <c r="C165" s="59">
        <v>255</v>
      </c>
      <c r="D165" s="60">
        <v>255</v>
      </c>
      <c r="E165" s="59">
        <v>0</v>
      </c>
      <c r="F165" s="59">
        <v>255</v>
      </c>
      <c r="G165" s="76" t="s">
        <v>59</v>
      </c>
      <c r="H165" s="64" t="str">
        <f t="shared" si="17"/>
        <v>25A4</v>
      </c>
      <c r="I165" s="59">
        <v>1</v>
      </c>
      <c r="J165" s="61"/>
    </row>
    <row r="166" spans="1:10" s="25" customFormat="1" ht="27" customHeight="1">
      <c r="A166" s="65">
        <f t="shared" si="16"/>
        <v>164</v>
      </c>
      <c r="B166" s="76" t="str">
        <f t="shared" si="15"/>
        <v>reserved_byte164</v>
      </c>
      <c r="C166" s="59">
        <v>255</v>
      </c>
      <c r="D166" s="60">
        <v>255</v>
      </c>
      <c r="E166" s="59">
        <v>0</v>
      </c>
      <c r="F166" s="59">
        <v>255</v>
      </c>
      <c r="G166" s="76" t="s">
        <v>59</v>
      </c>
      <c r="H166" s="64" t="str">
        <f t="shared" si="17"/>
        <v>25A5</v>
      </c>
      <c r="I166" s="59">
        <v>1</v>
      </c>
      <c r="J166" s="61"/>
    </row>
    <row r="167" spans="1:10" s="25" customFormat="1" ht="27" customHeight="1">
      <c r="A167" s="65">
        <f t="shared" si="16"/>
        <v>165</v>
      </c>
      <c r="B167" s="76" t="str">
        <f t="shared" si="15"/>
        <v>reserved_byte165</v>
      </c>
      <c r="C167" s="59">
        <v>255</v>
      </c>
      <c r="D167" s="60">
        <v>255</v>
      </c>
      <c r="E167" s="59">
        <v>0</v>
      </c>
      <c r="F167" s="59">
        <v>255</v>
      </c>
      <c r="G167" s="76" t="s">
        <v>59</v>
      </c>
      <c r="H167" s="64" t="str">
        <f t="shared" si="17"/>
        <v>25A6</v>
      </c>
      <c r="I167" s="59">
        <v>1</v>
      </c>
      <c r="J167" s="61"/>
    </row>
    <row r="168" spans="1:10" s="25" customFormat="1" ht="27" customHeight="1">
      <c r="A168" s="65">
        <f t="shared" si="16"/>
        <v>166</v>
      </c>
      <c r="B168" s="76" t="str">
        <f t="shared" si="15"/>
        <v>reserved_byte166</v>
      </c>
      <c r="C168" s="59">
        <v>255</v>
      </c>
      <c r="D168" s="60">
        <v>255</v>
      </c>
      <c r="E168" s="59">
        <v>0</v>
      </c>
      <c r="F168" s="59">
        <v>255</v>
      </c>
      <c r="G168" s="76" t="s">
        <v>59</v>
      </c>
      <c r="H168" s="64" t="str">
        <f t="shared" si="17"/>
        <v>25A7</v>
      </c>
      <c r="I168" s="59">
        <v>1</v>
      </c>
      <c r="J168" s="61"/>
    </row>
    <row r="169" spans="1:10" s="25" customFormat="1" ht="27" customHeight="1">
      <c r="A169" s="65">
        <f t="shared" si="16"/>
        <v>167</v>
      </c>
      <c r="B169" s="76" t="str">
        <f t="shared" si="15"/>
        <v>reserved_byte167</v>
      </c>
      <c r="C169" s="59">
        <v>255</v>
      </c>
      <c r="D169" s="60">
        <v>255</v>
      </c>
      <c r="E169" s="59">
        <v>0</v>
      </c>
      <c r="F169" s="59">
        <v>255</v>
      </c>
      <c r="G169" s="76" t="s">
        <v>59</v>
      </c>
      <c r="H169" s="64" t="str">
        <f t="shared" si="17"/>
        <v>25A8</v>
      </c>
      <c r="I169" s="59">
        <v>1</v>
      </c>
      <c r="J169" s="61"/>
    </row>
    <row r="170" spans="1:10" s="25" customFormat="1" ht="27" customHeight="1">
      <c r="A170" s="65">
        <f t="shared" si="16"/>
        <v>168</v>
      </c>
      <c r="B170" s="76" t="str">
        <f t="shared" si="15"/>
        <v>reserved_byte168</v>
      </c>
      <c r="C170" s="59">
        <v>255</v>
      </c>
      <c r="D170" s="60">
        <v>255</v>
      </c>
      <c r="E170" s="59">
        <v>0</v>
      </c>
      <c r="F170" s="59">
        <v>255</v>
      </c>
      <c r="G170" s="76" t="s">
        <v>59</v>
      </c>
      <c r="H170" s="64" t="str">
        <f t="shared" si="17"/>
        <v>25A9</v>
      </c>
      <c r="I170" s="59">
        <v>1</v>
      </c>
      <c r="J170" s="61"/>
    </row>
    <row r="171" spans="1:10" s="25" customFormat="1" ht="27" customHeight="1">
      <c r="A171" s="65">
        <f t="shared" si="16"/>
        <v>169</v>
      </c>
      <c r="B171" s="76" t="str">
        <f t="shared" si="15"/>
        <v>reserved_byte169</v>
      </c>
      <c r="C171" s="59">
        <v>255</v>
      </c>
      <c r="D171" s="60">
        <v>255</v>
      </c>
      <c r="E171" s="59">
        <v>0</v>
      </c>
      <c r="F171" s="59">
        <v>255</v>
      </c>
      <c r="G171" s="76" t="s">
        <v>59</v>
      </c>
      <c r="H171" s="64" t="str">
        <f t="shared" si="17"/>
        <v>25AA</v>
      </c>
      <c r="I171" s="59">
        <v>1</v>
      </c>
      <c r="J171" s="61"/>
    </row>
    <row r="172" spans="1:10" s="25" customFormat="1" ht="27" customHeight="1">
      <c r="A172" s="65">
        <f t="shared" si="16"/>
        <v>170</v>
      </c>
      <c r="B172" s="76" t="str">
        <f t="shared" si="15"/>
        <v>reserved_byte170</v>
      </c>
      <c r="C172" s="59">
        <v>255</v>
      </c>
      <c r="D172" s="60">
        <v>255</v>
      </c>
      <c r="E172" s="59">
        <v>0</v>
      </c>
      <c r="F172" s="59">
        <v>255</v>
      </c>
      <c r="G172" s="76" t="s">
        <v>59</v>
      </c>
      <c r="H172" s="64" t="str">
        <f t="shared" si="17"/>
        <v>25AB</v>
      </c>
      <c r="I172" s="59">
        <v>1</v>
      </c>
      <c r="J172" s="61"/>
    </row>
    <row r="173" spans="1:10" s="25" customFormat="1" ht="27" customHeight="1">
      <c r="A173" s="65">
        <f t="shared" si="16"/>
        <v>171</v>
      </c>
      <c r="B173" s="76" t="str">
        <f t="shared" si="15"/>
        <v>reserved_byte171</v>
      </c>
      <c r="C173" s="59">
        <v>255</v>
      </c>
      <c r="D173" s="60">
        <v>255</v>
      </c>
      <c r="E173" s="59">
        <v>0</v>
      </c>
      <c r="F173" s="59">
        <v>255</v>
      </c>
      <c r="G173" s="76" t="s">
        <v>59</v>
      </c>
      <c r="H173" s="64" t="str">
        <f t="shared" si="17"/>
        <v>25AC</v>
      </c>
      <c r="I173" s="59">
        <v>1</v>
      </c>
      <c r="J173" s="61"/>
    </row>
    <row r="174" spans="1:10" s="25" customFormat="1" ht="27" customHeight="1">
      <c r="A174" s="65">
        <f t="shared" si="16"/>
        <v>172</v>
      </c>
      <c r="B174" s="76" t="str">
        <f t="shared" si="15"/>
        <v>reserved_byte172</v>
      </c>
      <c r="C174" s="59">
        <v>255</v>
      </c>
      <c r="D174" s="60">
        <v>255</v>
      </c>
      <c r="E174" s="59">
        <v>0</v>
      </c>
      <c r="F174" s="59">
        <v>255</v>
      </c>
      <c r="G174" s="76" t="s">
        <v>59</v>
      </c>
      <c r="H174" s="64" t="str">
        <f t="shared" si="17"/>
        <v>25AD</v>
      </c>
      <c r="I174" s="59">
        <v>1</v>
      </c>
      <c r="J174" s="61"/>
    </row>
    <row r="175" spans="1:10" s="25" customFormat="1" ht="27" customHeight="1">
      <c r="A175" s="65">
        <f t="shared" si="16"/>
        <v>173</v>
      </c>
      <c r="B175" s="76" t="str">
        <f t="shared" si="15"/>
        <v>reserved_byte173</v>
      </c>
      <c r="C175" s="59">
        <v>255</v>
      </c>
      <c r="D175" s="60">
        <v>255</v>
      </c>
      <c r="E175" s="59">
        <v>0</v>
      </c>
      <c r="F175" s="59">
        <v>255</v>
      </c>
      <c r="G175" s="76" t="s">
        <v>59</v>
      </c>
      <c r="H175" s="64" t="str">
        <f t="shared" si="17"/>
        <v>25AE</v>
      </c>
      <c r="I175" s="59">
        <v>1</v>
      </c>
      <c r="J175" s="61"/>
    </row>
    <row r="176" spans="1:10" s="25" customFormat="1" ht="27" customHeight="1">
      <c r="A176" s="65">
        <f t="shared" si="16"/>
        <v>174</v>
      </c>
      <c r="B176" s="76" t="str">
        <f t="shared" si="15"/>
        <v>reserved_byte174</v>
      </c>
      <c r="C176" s="59">
        <v>255</v>
      </c>
      <c r="D176" s="60">
        <v>255</v>
      </c>
      <c r="E176" s="59">
        <v>0</v>
      </c>
      <c r="F176" s="59">
        <v>255</v>
      </c>
      <c r="G176" s="76" t="s">
        <v>59</v>
      </c>
      <c r="H176" s="64" t="str">
        <f t="shared" si="17"/>
        <v>25AF</v>
      </c>
      <c r="I176" s="59">
        <v>1</v>
      </c>
      <c r="J176" s="61"/>
    </row>
    <row r="177" spans="1:10" s="25" customFormat="1" ht="27" customHeight="1">
      <c r="A177" s="65">
        <f t="shared" si="16"/>
        <v>175</v>
      </c>
      <c r="B177" s="76" t="str">
        <f t="shared" si="15"/>
        <v>reserved_byte175</v>
      </c>
      <c r="C177" s="59">
        <v>255</v>
      </c>
      <c r="D177" s="60">
        <v>255</v>
      </c>
      <c r="E177" s="59">
        <v>0</v>
      </c>
      <c r="F177" s="59">
        <v>255</v>
      </c>
      <c r="G177" s="76" t="s">
        <v>59</v>
      </c>
      <c r="H177" s="64" t="str">
        <f t="shared" si="17"/>
        <v>25B0</v>
      </c>
      <c r="I177" s="59">
        <v>1</v>
      </c>
      <c r="J177" s="61"/>
    </row>
    <row r="178" spans="1:10" s="25" customFormat="1" ht="27" customHeight="1">
      <c r="A178" s="65">
        <f t="shared" si="16"/>
        <v>176</v>
      </c>
      <c r="B178" s="76" t="str">
        <f t="shared" si="15"/>
        <v>reserved_byte176</v>
      </c>
      <c r="C178" s="59">
        <v>255</v>
      </c>
      <c r="D178" s="60">
        <v>255</v>
      </c>
      <c r="E178" s="59">
        <v>0</v>
      </c>
      <c r="F178" s="59">
        <v>255</v>
      </c>
      <c r="G178" s="76" t="s">
        <v>59</v>
      </c>
      <c r="H178" s="64" t="str">
        <f t="shared" si="17"/>
        <v>25B1</v>
      </c>
      <c r="I178" s="59">
        <v>1</v>
      </c>
      <c r="J178" s="61"/>
    </row>
    <row r="179" spans="1:10" s="25" customFormat="1" ht="27" customHeight="1">
      <c r="A179" s="65">
        <f t="shared" si="16"/>
        <v>177</v>
      </c>
      <c r="B179" s="76" t="str">
        <f t="shared" si="15"/>
        <v>reserved_byte177</v>
      </c>
      <c r="C179" s="59">
        <v>255</v>
      </c>
      <c r="D179" s="60">
        <v>255</v>
      </c>
      <c r="E179" s="59">
        <v>0</v>
      </c>
      <c r="F179" s="59">
        <v>255</v>
      </c>
      <c r="G179" s="76" t="s">
        <v>59</v>
      </c>
      <c r="H179" s="64" t="str">
        <f t="shared" si="17"/>
        <v>25B2</v>
      </c>
      <c r="I179" s="59">
        <v>1</v>
      </c>
      <c r="J179" s="61"/>
    </row>
    <row r="180" spans="1:10" s="25" customFormat="1" ht="27" customHeight="1">
      <c r="A180" s="65">
        <f t="shared" si="16"/>
        <v>178</v>
      </c>
      <c r="B180" s="76" t="str">
        <f t="shared" si="15"/>
        <v>reserved_byte178</v>
      </c>
      <c r="C180" s="59">
        <v>255</v>
      </c>
      <c r="D180" s="60">
        <v>255</v>
      </c>
      <c r="E180" s="59">
        <v>0</v>
      </c>
      <c r="F180" s="59">
        <v>255</v>
      </c>
      <c r="G180" s="76" t="s">
        <v>59</v>
      </c>
      <c r="H180" s="64" t="str">
        <f t="shared" si="17"/>
        <v>25B3</v>
      </c>
      <c r="I180" s="59">
        <v>1</v>
      </c>
      <c r="J180" s="61"/>
    </row>
    <row r="181" spans="1:10" s="25" customFormat="1" ht="27" customHeight="1">
      <c r="A181" s="65">
        <f t="shared" si="16"/>
        <v>179</v>
      </c>
      <c r="B181" s="76" t="str">
        <f t="shared" si="15"/>
        <v>reserved_byte179</v>
      </c>
      <c r="C181" s="59">
        <v>255</v>
      </c>
      <c r="D181" s="60">
        <v>255</v>
      </c>
      <c r="E181" s="59">
        <v>0</v>
      </c>
      <c r="F181" s="59">
        <v>255</v>
      </c>
      <c r="G181" s="76" t="s">
        <v>59</v>
      </c>
      <c r="H181" s="64" t="str">
        <f t="shared" si="17"/>
        <v>25B4</v>
      </c>
      <c r="I181" s="59">
        <v>1</v>
      </c>
      <c r="J181" s="61"/>
    </row>
    <row r="182" spans="1:10" s="25" customFormat="1" ht="27" customHeight="1">
      <c r="A182" s="65">
        <f t="shared" si="16"/>
        <v>180</v>
      </c>
      <c r="B182" s="76" t="str">
        <f t="shared" si="15"/>
        <v>reserved_byte180</v>
      </c>
      <c r="C182" s="59">
        <v>255</v>
      </c>
      <c r="D182" s="60">
        <v>255</v>
      </c>
      <c r="E182" s="59">
        <v>0</v>
      </c>
      <c r="F182" s="59">
        <v>255</v>
      </c>
      <c r="G182" s="76" t="s">
        <v>59</v>
      </c>
      <c r="H182" s="64" t="str">
        <f t="shared" si="17"/>
        <v>25B5</v>
      </c>
      <c r="I182" s="59">
        <v>1</v>
      </c>
      <c r="J182" s="61"/>
    </row>
    <row r="183" spans="1:10" s="25" customFormat="1" ht="27" customHeight="1">
      <c r="A183" s="65">
        <f t="shared" si="16"/>
        <v>181</v>
      </c>
      <c r="B183" s="76" t="str">
        <f t="shared" si="15"/>
        <v>reserved_byte181</v>
      </c>
      <c r="C183" s="59">
        <v>255</v>
      </c>
      <c r="D183" s="60">
        <v>255</v>
      </c>
      <c r="E183" s="59">
        <v>0</v>
      </c>
      <c r="F183" s="59">
        <v>255</v>
      </c>
      <c r="G183" s="76" t="s">
        <v>59</v>
      </c>
      <c r="H183" s="64" t="str">
        <f t="shared" si="17"/>
        <v>25B6</v>
      </c>
      <c r="I183" s="59">
        <v>1</v>
      </c>
      <c r="J183" s="61"/>
    </row>
    <row r="184" spans="1:10" s="25" customFormat="1" ht="27" customHeight="1">
      <c r="A184" s="65">
        <f t="shared" si="16"/>
        <v>182</v>
      </c>
      <c r="B184" s="76" t="str">
        <f t="shared" si="15"/>
        <v>reserved_byte182</v>
      </c>
      <c r="C184" s="59">
        <v>255</v>
      </c>
      <c r="D184" s="60">
        <v>255</v>
      </c>
      <c r="E184" s="59">
        <v>0</v>
      </c>
      <c r="F184" s="59">
        <v>255</v>
      </c>
      <c r="G184" s="76" t="s">
        <v>59</v>
      </c>
      <c r="H184" s="64" t="str">
        <f t="shared" si="17"/>
        <v>25B7</v>
      </c>
      <c r="I184" s="59">
        <v>1</v>
      </c>
      <c r="J184" s="61"/>
    </row>
    <row r="185" spans="1:10" s="25" customFormat="1" ht="27" customHeight="1">
      <c r="A185" s="65">
        <f t="shared" si="16"/>
        <v>183</v>
      </c>
      <c r="B185" s="76" t="str">
        <f t="shared" si="15"/>
        <v>reserved_byte183</v>
      </c>
      <c r="C185" s="59">
        <v>255</v>
      </c>
      <c r="D185" s="60">
        <v>255</v>
      </c>
      <c r="E185" s="59">
        <v>0</v>
      </c>
      <c r="F185" s="59">
        <v>255</v>
      </c>
      <c r="G185" s="76" t="s">
        <v>59</v>
      </c>
      <c r="H185" s="64" t="str">
        <f t="shared" si="17"/>
        <v>25B8</v>
      </c>
      <c r="I185" s="59">
        <v>1</v>
      </c>
      <c r="J185" s="61"/>
    </row>
    <row r="186" spans="1:10" s="25" customFormat="1" ht="27" customHeight="1">
      <c r="A186" s="65">
        <f t="shared" si="16"/>
        <v>184</v>
      </c>
      <c r="B186" s="76" t="str">
        <f t="shared" si="15"/>
        <v>reserved_byte184</v>
      </c>
      <c r="C186" s="59">
        <v>255</v>
      </c>
      <c r="D186" s="60">
        <v>255</v>
      </c>
      <c r="E186" s="59">
        <v>0</v>
      </c>
      <c r="F186" s="59">
        <v>255</v>
      </c>
      <c r="G186" s="76" t="s">
        <v>59</v>
      </c>
      <c r="H186" s="64" t="str">
        <f t="shared" si="17"/>
        <v>25B9</v>
      </c>
      <c r="I186" s="59">
        <v>1</v>
      </c>
      <c r="J186" s="61"/>
    </row>
    <row r="187" spans="1:10" s="25" customFormat="1" ht="27" customHeight="1">
      <c r="A187" s="65">
        <f t="shared" si="16"/>
        <v>185</v>
      </c>
      <c r="B187" s="76" t="str">
        <f t="shared" si="15"/>
        <v>reserved_byte185</v>
      </c>
      <c r="C187" s="59">
        <v>255</v>
      </c>
      <c r="D187" s="60">
        <v>255</v>
      </c>
      <c r="E187" s="59">
        <v>0</v>
      </c>
      <c r="F187" s="59">
        <v>255</v>
      </c>
      <c r="G187" s="76" t="s">
        <v>59</v>
      </c>
      <c r="H187" s="64" t="str">
        <f t="shared" si="17"/>
        <v>25BA</v>
      </c>
      <c r="I187" s="59">
        <v>1</v>
      </c>
      <c r="J187" s="61"/>
    </row>
    <row r="188" spans="1:10" s="25" customFormat="1" ht="27" customHeight="1">
      <c r="A188" s="65">
        <f t="shared" si="16"/>
        <v>186</v>
      </c>
      <c r="B188" s="76" t="str">
        <f t="shared" si="15"/>
        <v>reserved_byte186</v>
      </c>
      <c r="C188" s="59">
        <v>255</v>
      </c>
      <c r="D188" s="60">
        <v>255</v>
      </c>
      <c r="E188" s="59">
        <v>0</v>
      </c>
      <c r="F188" s="59">
        <v>255</v>
      </c>
      <c r="G188" s="76" t="s">
        <v>59</v>
      </c>
      <c r="H188" s="64" t="str">
        <f t="shared" si="17"/>
        <v>25BB</v>
      </c>
      <c r="I188" s="59">
        <v>1</v>
      </c>
      <c r="J188" s="61"/>
    </row>
    <row r="189" spans="1:10" s="25" customFormat="1" ht="27" customHeight="1">
      <c r="A189" s="65">
        <f t="shared" si="16"/>
        <v>187</v>
      </c>
      <c r="B189" s="76" t="str">
        <f t="shared" si="15"/>
        <v>reserved_byte187</v>
      </c>
      <c r="C189" s="59">
        <v>255</v>
      </c>
      <c r="D189" s="60">
        <v>255</v>
      </c>
      <c r="E189" s="59">
        <v>0</v>
      </c>
      <c r="F189" s="59">
        <v>255</v>
      </c>
      <c r="G189" s="76" t="s">
        <v>59</v>
      </c>
      <c r="H189" s="64" t="str">
        <f t="shared" si="17"/>
        <v>25BC</v>
      </c>
      <c r="I189" s="59">
        <v>1</v>
      </c>
      <c r="J189" s="61"/>
    </row>
    <row r="190" spans="1:10" s="25" customFormat="1" ht="27" customHeight="1">
      <c r="A190" s="65">
        <f t="shared" si="16"/>
        <v>188</v>
      </c>
      <c r="B190" s="76" t="str">
        <f t="shared" si="15"/>
        <v>reserved_byte188</v>
      </c>
      <c r="C190" s="59">
        <v>255</v>
      </c>
      <c r="D190" s="60">
        <v>255</v>
      </c>
      <c r="E190" s="59">
        <v>0</v>
      </c>
      <c r="F190" s="59">
        <v>255</v>
      </c>
      <c r="G190" s="76" t="s">
        <v>59</v>
      </c>
      <c r="H190" s="64" t="str">
        <f t="shared" si="17"/>
        <v>25BD</v>
      </c>
      <c r="I190" s="59">
        <v>1</v>
      </c>
      <c r="J190" s="61"/>
    </row>
    <row r="191" spans="1:10" s="25" customFormat="1" ht="27" customHeight="1">
      <c r="A191" s="65">
        <f t="shared" si="16"/>
        <v>189</v>
      </c>
      <c r="B191" s="76" t="str">
        <f t="shared" si="15"/>
        <v>reserved_byte189</v>
      </c>
      <c r="C191" s="59">
        <v>255</v>
      </c>
      <c r="D191" s="60">
        <v>255</v>
      </c>
      <c r="E191" s="59">
        <v>0</v>
      </c>
      <c r="F191" s="59">
        <v>255</v>
      </c>
      <c r="G191" s="76" t="s">
        <v>59</v>
      </c>
      <c r="H191" s="64" t="str">
        <f t="shared" si="17"/>
        <v>25BE</v>
      </c>
      <c r="I191" s="59">
        <v>1</v>
      </c>
      <c r="J191" s="61"/>
    </row>
    <row r="192" spans="1:10" s="25" customFormat="1" ht="27" customHeight="1">
      <c r="A192" s="65">
        <f t="shared" si="16"/>
        <v>190</v>
      </c>
      <c r="B192" s="76" t="str">
        <f t="shared" si="15"/>
        <v>reserved_byte190</v>
      </c>
      <c r="C192" s="59">
        <v>255</v>
      </c>
      <c r="D192" s="60">
        <v>255</v>
      </c>
      <c r="E192" s="59">
        <v>0</v>
      </c>
      <c r="F192" s="59">
        <v>255</v>
      </c>
      <c r="G192" s="76" t="s">
        <v>59</v>
      </c>
      <c r="H192" s="64" t="str">
        <f t="shared" si="17"/>
        <v>25BF</v>
      </c>
      <c r="I192" s="59">
        <v>1</v>
      </c>
      <c r="J192" s="61"/>
    </row>
    <row r="193" spans="1:10" s="25" customFormat="1" ht="27" customHeight="1">
      <c r="A193" s="65">
        <f t="shared" si="16"/>
        <v>191</v>
      </c>
      <c r="B193" s="76" t="str">
        <f t="shared" si="15"/>
        <v>reserved_byte191</v>
      </c>
      <c r="C193" s="59">
        <v>255</v>
      </c>
      <c r="D193" s="60">
        <v>255</v>
      </c>
      <c r="E193" s="59">
        <v>0</v>
      </c>
      <c r="F193" s="59">
        <v>255</v>
      </c>
      <c r="G193" s="76" t="s">
        <v>59</v>
      </c>
      <c r="H193" s="64" t="str">
        <f t="shared" si="17"/>
        <v>25C0</v>
      </c>
      <c r="I193" s="59">
        <v>1</v>
      </c>
      <c r="J193" s="61"/>
    </row>
    <row r="194" spans="1:10" s="25" customFormat="1" ht="27" customHeight="1">
      <c r="A194" s="65">
        <f t="shared" si="16"/>
        <v>192</v>
      </c>
      <c r="B194" s="76" t="str">
        <f t="shared" ref="B194:B201" si="18">"reserved_byte" &amp;TEXT(A194,0)</f>
        <v>reserved_byte192</v>
      </c>
      <c r="C194" s="59">
        <v>255</v>
      </c>
      <c r="D194" s="60">
        <v>255</v>
      </c>
      <c r="E194" s="59">
        <v>0</v>
      </c>
      <c r="F194" s="59">
        <v>255</v>
      </c>
      <c r="G194" s="76" t="s">
        <v>59</v>
      </c>
      <c r="H194" s="64" t="str">
        <f t="shared" si="17"/>
        <v>25C1</v>
      </c>
      <c r="I194" s="59">
        <v>1</v>
      </c>
      <c r="J194" s="61"/>
    </row>
    <row r="195" spans="1:10" s="25" customFormat="1" ht="27" customHeight="1">
      <c r="A195" s="65">
        <f t="shared" ref="A195:A201" si="19">A194+1</f>
        <v>193</v>
      </c>
      <c r="B195" s="76" t="str">
        <f t="shared" si="18"/>
        <v>reserved_byte193</v>
      </c>
      <c r="C195" s="59">
        <v>255</v>
      </c>
      <c r="D195" s="60">
        <v>255</v>
      </c>
      <c r="E195" s="59">
        <v>0</v>
      </c>
      <c r="F195" s="59">
        <v>255</v>
      </c>
      <c r="G195" s="76" t="s">
        <v>59</v>
      </c>
      <c r="H195" s="64" t="str">
        <f t="shared" ref="H195:H201" si="20">DEC2HEX((HEX2DEC(H194)+1),4)</f>
        <v>25C2</v>
      </c>
      <c r="I195" s="59">
        <v>1</v>
      </c>
      <c r="J195" s="61"/>
    </row>
    <row r="196" spans="1:10" s="25" customFormat="1" ht="27" customHeight="1">
      <c r="A196" s="65">
        <f t="shared" si="19"/>
        <v>194</v>
      </c>
      <c r="B196" s="76" t="str">
        <f t="shared" si="18"/>
        <v>reserved_byte194</v>
      </c>
      <c r="C196" s="59">
        <v>255</v>
      </c>
      <c r="D196" s="60">
        <v>255</v>
      </c>
      <c r="E196" s="59">
        <v>0</v>
      </c>
      <c r="F196" s="59">
        <v>255</v>
      </c>
      <c r="G196" s="76" t="s">
        <v>59</v>
      </c>
      <c r="H196" s="64" t="str">
        <f t="shared" si="20"/>
        <v>25C3</v>
      </c>
      <c r="I196" s="59">
        <v>1</v>
      </c>
      <c r="J196" s="61"/>
    </row>
    <row r="197" spans="1:10" s="25" customFormat="1" ht="27" customHeight="1">
      <c r="A197" s="65">
        <f t="shared" si="19"/>
        <v>195</v>
      </c>
      <c r="B197" s="76" t="str">
        <f t="shared" si="18"/>
        <v>reserved_byte195</v>
      </c>
      <c r="C197" s="59">
        <v>255</v>
      </c>
      <c r="D197" s="60">
        <v>255</v>
      </c>
      <c r="E197" s="59">
        <v>0</v>
      </c>
      <c r="F197" s="59">
        <v>255</v>
      </c>
      <c r="G197" s="76" t="s">
        <v>59</v>
      </c>
      <c r="H197" s="64" t="str">
        <f t="shared" si="20"/>
        <v>25C4</v>
      </c>
      <c r="I197" s="59">
        <v>1</v>
      </c>
      <c r="J197" s="61"/>
    </row>
    <row r="198" spans="1:10" s="25" customFormat="1" ht="27" customHeight="1">
      <c r="A198" s="65">
        <f t="shared" si="19"/>
        <v>196</v>
      </c>
      <c r="B198" s="76" t="str">
        <f t="shared" si="18"/>
        <v>reserved_byte196</v>
      </c>
      <c r="C198" s="59">
        <v>255</v>
      </c>
      <c r="D198" s="60">
        <v>255</v>
      </c>
      <c r="E198" s="59">
        <v>0</v>
      </c>
      <c r="F198" s="59">
        <v>255</v>
      </c>
      <c r="G198" s="76" t="s">
        <v>59</v>
      </c>
      <c r="H198" s="64" t="str">
        <f t="shared" si="20"/>
        <v>25C5</v>
      </c>
      <c r="I198" s="59">
        <v>1</v>
      </c>
      <c r="J198" s="61"/>
    </row>
    <row r="199" spans="1:10" s="25" customFormat="1" ht="27" customHeight="1">
      <c r="A199" s="65">
        <f t="shared" si="19"/>
        <v>197</v>
      </c>
      <c r="B199" s="76" t="str">
        <f t="shared" si="18"/>
        <v>reserved_byte197</v>
      </c>
      <c r="C199" s="59">
        <v>255</v>
      </c>
      <c r="D199" s="60">
        <v>255</v>
      </c>
      <c r="E199" s="59">
        <v>0</v>
      </c>
      <c r="F199" s="59">
        <v>255</v>
      </c>
      <c r="G199" s="76" t="s">
        <v>59</v>
      </c>
      <c r="H199" s="64" t="str">
        <f t="shared" si="20"/>
        <v>25C6</v>
      </c>
      <c r="I199" s="59">
        <v>1</v>
      </c>
      <c r="J199" s="61"/>
    </row>
    <row r="200" spans="1:10" s="25" customFormat="1" ht="27" customHeight="1">
      <c r="A200" s="65">
        <f t="shared" si="19"/>
        <v>198</v>
      </c>
      <c r="B200" s="76" t="str">
        <f t="shared" si="18"/>
        <v>reserved_byte198</v>
      </c>
      <c r="C200" s="59">
        <v>255</v>
      </c>
      <c r="D200" s="60">
        <v>255</v>
      </c>
      <c r="E200" s="59">
        <v>0</v>
      </c>
      <c r="F200" s="59">
        <v>255</v>
      </c>
      <c r="G200" s="76" t="s">
        <v>59</v>
      </c>
      <c r="H200" s="64" t="str">
        <f t="shared" si="20"/>
        <v>25C7</v>
      </c>
      <c r="I200" s="59">
        <v>1</v>
      </c>
      <c r="J200" s="61"/>
    </row>
    <row r="201" spans="1:10" s="25" customFormat="1" ht="27" customHeight="1">
      <c r="A201" s="65">
        <f t="shared" si="19"/>
        <v>199</v>
      </c>
      <c r="B201" s="76" t="str">
        <f t="shared" si="18"/>
        <v>reserved_byte199</v>
      </c>
      <c r="C201" s="59">
        <v>255</v>
      </c>
      <c r="D201" s="60">
        <v>255</v>
      </c>
      <c r="E201" s="59">
        <v>0</v>
      </c>
      <c r="F201" s="59">
        <v>255</v>
      </c>
      <c r="G201" s="76" t="s">
        <v>59</v>
      </c>
      <c r="H201" s="64" t="str">
        <f t="shared" si="20"/>
        <v>25C8</v>
      </c>
      <c r="I201" s="59">
        <v>1</v>
      </c>
      <c r="J201" s="61"/>
    </row>
  </sheetData>
  <dataValidations count="3">
    <dataValidation type="decimal" operator="lessThanOrEqual" allowBlank="1" showInputMessage="1" showErrorMessage="1" sqref="F2:F201">
      <formula1>255</formula1>
    </dataValidation>
    <dataValidation type="decimal" allowBlank="1" showInputMessage="1" showErrorMessage="1" sqref="D2:D201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4">
    <tabColor rgb="FFFF0000"/>
    <pageSetUpPr fitToPage="1"/>
  </sheetPr>
  <dimension ref="A1:J5"/>
  <sheetViews>
    <sheetView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6" t="s">
        <v>59</v>
      </c>
      <c r="H2" s="63">
        <v>801</v>
      </c>
      <c r="I2" s="59">
        <v>1</v>
      </c>
      <c r="J2" s="61"/>
    </row>
    <row r="3" spans="1:10" s="25" customFormat="1" ht="27" customHeight="1">
      <c r="A3" s="65">
        <f>A2+1</f>
        <v>1</v>
      </c>
      <c r="B3" s="76" t="str">
        <f>"reserved_byte" &amp;TEXT(A3,0)</f>
        <v>reserved_byte1</v>
      </c>
      <c r="C3" s="59">
        <v>255</v>
      </c>
      <c r="D3" s="60">
        <v>255</v>
      </c>
      <c r="E3" s="59">
        <v>0</v>
      </c>
      <c r="F3" s="59">
        <v>255</v>
      </c>
      <c r="G3" s="76" t="s">
        <v>59</v>
      </c>
      <c r="H3" s="64" t="str">
        <f>DEC2HEX((HEX2DEC(H2)+1),4)</f>
        <v>0802</v>
      </c>
      <c r="I3" s="59">
        <v>1</v>
      </c>
      <c r="J3" s="61"/>
    </row>
    <row r="4" spans="1:10" s="25" customFormat="1" ht="27" customHeight="1">
      <c r="A4" s="65">
        <f>A3+1</f>
        <v>2</v>
      </c>
      <c r="B4" s="76" t="str">
        <f>"reserved_byte" &amp;TEXT(A4,0)</f>
        <v>reserved_byte2</v>
      </c>
      <c r="C4" s="59">
        <v>255</v>
      </c>
      <c r="D4" s="60">
        <v>255</v>
      </c>
      <c r="E4" s="59">
        <v>0</v>
      </c>
      <c r="F4" s="59">
        <v>255</v>
      </c>
      <c r="G4" s="76" t="s">
        <v>59</v>
      </c>
      <c r="H4" s="64" t="str">
        <f>DEC2HEX((HEX2DEC(H3)+1),4)</f>
        <v>0803</v>
      </c>
      <c r="I4" s="59">
        <v>1</v>
      </c>
      <c r="J4" s="61"/>
    </row>
    <row r="5" spans="1:10" s="25" customFormat="1" ht="27" customHeight="1">
      <c r="A5" s="65">
        <f>A4+1</f>
        <v>3</v>
      </c>
      <c r="B5" s="76" t="str">
        <f>"reserved_byte" &amp;TEXT(A5,0)</f>
        <v>reserved_byte3</v>
      </c>
      <c r="C5" s="59">
        <v>255</v>
      </c>
      <c r="D5" s="60">
        <v>255</v>
      </c>
      <c r="E5" s="59">
        <v>0</v>
      </c>
      <c r="F5" s="59">
        <v>255</v>
      </c>
      <c r="G5" s="76" t="s">
        <v>59</v>
      </c>
      <c r="H5" s="64" t="str">
        <f>DEC2HEX((HEX2DEC(H4)+1),4)</f>
        <v>0804</v>
      </c>
      <c r="I5" s="59">
        <v>1</v>
      </c>
      <c r="J5" s="61"/>
    </row>
  </sheetData>
  <dataValidations count="3">
    <dataValidation type="decimal" operator="lessThanOrEqual" allowBlank="1" showInputMessage="1" showErrorMessage="1" sqref="F2:F5">
      <formula1>255</formula1>
    </dataValidation>
    <dataValidation type="decimal" allowBlank="1" showInputMessage="1" showErrorMessage="1" sqref="D2:D5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5">
    <tabColor rgb="FFFF0000"/>
    <pageSetUpPr fitToPage="1"/>
  </sheetPr>
  <dimension ref="A1:J17"/>
  <sheetViews>
    <sheetView zoomScale="85" zoomScaleNormal="85" workbookViewId="0">
      <selection activeCell="B7" sqref="B7"/>
    </sheetView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 t="shared" ref="B2:B17" si="0"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76" t="s">
        <v>59</v>
      </c>
      <c r="H2" s="63">
        <v>901</v>
      </c>
      <c r="I2" s="59">
        <v>1</v>
      </c>
      <c r="J2" s="61"/>
    </row>
    <row r="3" spans="1:10" s="25" customFormat="1" ht="27" customHeight="1">
      <c r="A3" s="65">
        <f t="shared" ref="A3:A17" si="1">A2+1</f>
        <v>1</v>
      </c>
      <c r="B3" s="76" t="str">
        <f t="shared" si="0"/>
        <v>reserved_byte1</v>
      </c>
      <c r="C3" s="59">
        <v>255</v>
      </c>
      <c r="D3" s="60">
        <v>255</v>
      </c>
      <c r="E3" s="59">
        <v>0</v>
      </c>
      <c r="F3" s="59">
        <v>255</v>
      </c>
      <c r="G3" s="76" t="s">
        <v>59</v>
      </c>
      <c r="H3" s="64" t="str">
        <f t="shared" ref="H3:H17" si="2">DEC2HEX((HEX2DEC(H2)+1),4)</f>
        <v>0902</v>
      </c>
      <c r="I3" s="59">
        <v>1</v>
      </c>
      <c r="J3" s="61"/>
    </row>
    <row r="4" spans="1:10" s="25" customFormat="1" ht="27" customHeight="1">
      <c r="A4" s="65">
        <f t="shared" si="1"/>
        <v>2</v>
      </c>
      <c r="B4" s="76" t="str">
        <f t="shared" si="0"/>
        <v>reserved_byte2</v>
      </c>
      <c r="C4" s="59">
        <v>255</v>
      </c>
      <c r="D4" s="60">
        <v>255</v>
      </c>
      <c r="E4" s="59">
        <v>0</v>
      </c>
      <c r="F4" s="59">
        <v>255</v>
      </c>
      <c r="G4" s="76" t="s">
        <v>59</v>
      </c>
      <c r="H4" s="64" t="str">
        <f t="shared" si="2"/>
        <v>0903</v>
      </c>
      <c r="I4" s="59">
        <v>1</v>
      </c>
      <c r="J4" s="61"/>
    </row>
    <row r="5" spans="1:10" s="25" customFormat="1" ht="27" customHeight="1">
      <c r="A5" s="65">
        <f t="shared" si="1"/>
        <v>3</v>
      </c>
      <c r="B5" s="76" t="str">
        <f t="shared" si="0"/>
        <v>reserved_byte3</v>
      </c>
      <c r="C5" s="59">
        <v>255</v>
      </c>
      <c r="D5" s="60">
        <v>255</v>
      </c>
      <c r="E5" s="59">
        <v>0</v>
      </c>
      <c r="F5" s="59">
        <v>255</v>
      </c>
      <c r="G5" s="76" t="s">
        <v>59</v>
      </c>
      <c r="H5" s="64" t="str">
        <f t="shared" si="2"/>
        <v>0904</v>
      </c>
      <c r="I5" s="59">
        <v>1</v>
      </c>
      <c r="J5" s="61"/>
    </row>
    <row r="6" spans="1:10" s="25" customFormat="1" ht="27" customHeight="1">
      <c r="A6" s="65">
        <f t="shared" si="1"/>
        <v>4</v>
      </c>
      <c r="B6" s="76" t="str">
        <f t="shared" si="0"/>
        <v>reserved_byte4</v>
      </c>
      <c r="C6" s="59">
        <v>255</v>
      </c>
      <c r="D6" s="60">
        <v>255</v>
      </c>
      <c r="E6" s="59">
        <v>0</v>
      </c>
      <c r="F6" s="59">
        <v>255</v>
      </c>
      <c r="G6" s="76" t="s">
        <v>59</v>
      </c>
      <c r="H6" s="64" t="str">
        <f t="shared" si="2"/>
        <v>0905</v>
      </c>
      <c r="I6" s="59">
        <v>1</v>
      </c>
      <c r="J6" s="61"/>
    </row>
    <row r="7" spans="1:10" s="25" customFormat="1" ht="27" customHeight="1">
      <c r="A7" s="65">
        <f t="shared" si="1"/>
        <v>5</v>
      </c>
      <c r="B7" s="76" t="str">
        <f t="shared" si="0"/>
        <v>reserved_byte5</v>
      </c>
      <c r="C7" s="59">
        <v>255</v>
      </c>
      <c r="D7" s="60">
        <v>255</v>
      </c>
      <c r="E7" s="59">
        <v>0</v>
      </c>
      <c r="F7" s="59">
        <v>255</v>
      </c>
      <c r="G7" s="76" t="s">
        <v>59</v>
      </c>
      <c r="H7" s="64" t="str">
        <f t="shared" si="2"/>
        <v>0906</v>
      </c>
      <c r="I7" s="59">
        <v>1</v>
      </c>
      <c r="J7" s="61"/>
    </row>
    <row r="8" spans="1:10" s="25" customFormat="1" ht="27" customHeight="1">
      <c r="A8" s="65">
        <f t="shared" si="1"/>
        <v>6</v>
      </c>
      <c r="B8" s="76" t="str">
        <f t="shared" si="0"/>
        <v>reserved_byte6</v>
      </c>
      <c r="C8" s="59">
        <v>255</v>
      </c>
      <c r="D8" s="60">
        <v>255</v>
      </c>
      <c r="E8" s="59">
        <v>0</v>
      </c>
      <c r="F8" s="59">
        <v>255</v>
      </c>
      <c r="G8" s="76" t="s">
        <v>59</v>
      </c>
      <c r="H8" s="64" t="str">
        <f t="shared" si="2"/>
        <v>0907</v>
      </c>
      <c r="I8" s="59">
        <v>1</v>
      </c>
      <c r="J8" s="61"/>
    </row>
    <row r="9" spans="1:10" s="25" customFormat="1" ht="27" customHeight="1">
      <c r="A9" s="65">
        <f t="shared" si="1"/>
        <v>7</v>
      </c>
      <c r="B9" s="76" t="str">
        <f t="shared" si="0"/>
        <v>reserved_byte7</v>
      </c>
      <c r="C9" s="59">
        <v>255</v>
      </c>
      <c r="D9" s="60">
        <v>255</v>
      </c>
      <c r="E9" s="59">
        <v>0</v>
      </c>
      <c r="F9" s="59">
        <v>255</v>
      </c>
      <c r="G9" s="76" t="s">
        <v>59</v>
      </c>
      <c r="H9" s="64" t="str">
        <f t="shared" si="2"/>
        <v>0908</v>
      </c>
      <c r="I9" s="59">
        <v>1</v>
      </c>
      <c r="J9" s="61"/>
    </row>
    <row r="10" spans="1:10" s="25" customFormat="1" ht="27" customHeight="1">
      <c r="A10" s="65">
        <f t="shared" si="1"/>
        <v>8</v>
      </c>
      <c r="B10" s="76" t="str">
        <f t="shared" si="0"/>
        <v>reserved_byte8</v>
      </c>
      <c r="C10" s="59">
        <v>255</v>
      </c>
      <c r="D10" s="60">
        <v>255</v>
      </c>
      <c r="E10" s="59">
        <v>0</v>
      </c>
      <c r="F10" s="59">
        <v>255</v>
      </c>
      <c r="G10" s="76" t="s">
        <v>59</v>
      </c>
      <c r="H10" s="64" t="str">
        <f t="shared" si="2"/>
        <v>0909</v>
      </c>
      <c r="I10" s="59">
        <v>1</v>
      </c>
      <c r="J10" s="61"/>
    </row>
    <row r="11" spans="1:10" s="25" customFormat="1" ht="27" customHeight="1">
      <c r="A11" s="65">
        <f t="shared" si="1"/>
        <v>9</v>
      </c>
      <c r="B11" s="76" t="str">
        <f t="shared" si="0"/>
        <v>reserved_byte9</v>
      </c>
      <c r="C11" s="59">
        <v>255</v>
      </c>
      <c r="D11" s="60">
        <v>255</v>
      </c>
      <c r="E11" s="59">
        <v>0</v>
      </c>
      <c r="F11" s="59">
        <v>255</v>
      </c>
      <c r="G11" s="76" t="s">
        <v>59</v>
      </c>
      <c r="H11" s="64" t="str">
        <f t="shared" si="2"/>
        <v>090A</v>
      </c>
      <c r="I11" s="59">
        <v>1</v>
      </c>
      <c r="J11" s="61"/>
    </row>
    <row r="12" spans="1:10" s="25" customFormat="1" ht="27" customHeight="1">
      <c r="A12" s="65">
        <f t="shared" si="1"/>
        <v>10</v>
      </c>
      <c r="B12" s="76" t="str">
        <f t="shared" si="0"/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6" t="s">
        <v>59</v>
      </c>
      <c r="H12" s="64" t="str">
        <f t="shared" si="2"/>
        <v>090B</v>
      </c>
      <c r="I12" s="59">
        <v>1</v>
      </c>
      <c r="J12" s="61"/>
    </row>
    <row r="13" spans="1:10" s="25" customFormat="1" ht="27" customHeight="1">
      <c r="A13" s="65">
        <f t="shared" si="1"/>
        <v>11</v>
      </c>
      <c r="B13" s="76" t="str">
        <f t="shared" si="0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6" t="s">
        <v>59</v>
      </c>
      <c r="H13" s="64" t="str">
        <f t="shared" si="2"/>
        <v>090C</v>
      </c>
      <c r="I13" s="59">
        <v>1</v>
      </c>
      <c r="J13" s="61"/>
    </row>
    <row r="14" spans="1:10" s="25" customFormat="1" ht="27" customHeight="1">
      <c r="A14" s="65">
        <f t="shared" si="1"/>
        <v>12</v>
      </c>
      <c r="B14" s="76" t="str">
        <f t="shared" si="0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6" t="s">
        <v>59</v>
      </c>
      <c r="H14" s="64" t="str">
        <f t="shared" si="2"/>
        <v>090D</v>
      </c>
      <c r="I14" s="59">
        <v>1</v>
      </c>
      <c r="J14" s="61"/>
    </row>
    <row r="15" spans="1:10" s="25" customFormat="1" ht="27" customHeight="1">
      <c r="A15" s="65">
        <f t="shared" si="1"/>
        <v>13</v>
      </c>
      <c r="B15" s="76" t="str">
        <f t="shared" si="0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6" t="s">
        <v>59</v>
      </c>
      <c r="H15" s="64" t="str">
        <f t="shared" si="2"/>
        <v>090E</v>
      </c>
      <c r="I15" s="59">
        <v>1</v>
      </c>
      <c r="J15" s="61"/>
    </row>
    <row r="16" spans="1:10" s="25" customFormat="1" ht="27" customHeight="1">
      <c r="A16" s="65">
        <f t="shared" si="1"/>
        <v>14</v>
      </c>
      <c r="B16" s="76" t="str">
        <f t="shared" si="0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6" t="s">
        <v>59</v>
      </c>
      <c r="H16" s="64" t="str">
        <f t="shared" si="2"/>
        <v>090F</v>
      </c>
      <c r="I16" s="59">
        <v>1</v>
      </c>
      <c r="J16" s="61"/>
    </row>
    <row r="17" spans="1:10" s="25" customFormat="1" ht="27" customHeight="1">
      <c r="A17" s="65">
        <f t="shared" si="1"/>
        <v>15</v>
      </c>
      <c r="B17" s="76" t="str">
        <f t="shared" si="0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6" t="s">
        <v>59</v>
      </c>
      <c r="H17" s="64" t="str">
        <f t="shared" si="2"/>
        <v>0910</v>
      </c>
      <c r="I17" s="59">
        <v>1</v>
      </c>
      <c r="J17" s="61"/>
    </row>
  </sheetData>
  <dataValidations count="3">
    <dataValidation type="decimal" operator="lessThanOrEqual" allowBlank="1" showInputMessage="1" showErrorMessage="1" sqref="F2:F17">
      <formula1>255</formula1>
    </dataValidation>
    <dataValidation type="decimal" allowBlank="1" showInputMessage="1" showErrorMessage="1" sqref="D2:D17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6">
    <tabColor rgb="FFFF0000"/>
    <pageSetUpPr fitToPage="1"/>
  </sheetPr>
  <dimension ref="A1:N77"/>
  <sheetViews>
    <sheetView topLeftCell="A22" zoomScaleNormal="100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  <col min="14" max="14" width="12.28515625" bestFit="1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">
        <v>1266</v>
      </c>
      <c r="C2" s="129">
        <v>32</v>
      </c>
      <c r="D2" s="129">
        <v>32</v>
      </c>
      <c r="E2" s="61">
        <v>0</v>
      </c>
      <c r="F2" s="61">
        <v>255</v>
      </c>
      <c r="G2" s="76" t="s">
        <v>1267</v>
      </c>
      <c r="H2" s="63">
        <v>301</v>
      </c>
      <c r="I2" s="61">
        <v>1</v>
      </c>
      <c r="J2" s="61"/>
    </row>
    <row r="3" spans="1:10" s="25" customFormat="1" ht="27" customHeight="1">
      <c r="A3" s="65">
        <f t="shared" ref="A3:A34" si="0">A2+1</f>
        <v>1</v>
      </c>
      <c r="B3" s="76" t="s">
        <v>1268</v>
      </c>
      <c r="C3" s="129">
        <v>32</v>
      </c>
      <c r="D3" s="129">
        <v>32</v>
      </c>
      <c r="E3" s="61">
        <v>0</v>
      </c>
      <c r="F3" s="61">
        <v>255</v>
      </c>
      <c r="G3" s="76" t="s">
        <v>1269</v>
      </c>
      <c r="H3" s="130" t="str">
        <f t="shared" ref="H3:H66" si="1">DEC2HEX((HEX2DEC(H2)+1),4)</f>
        <v>0302</v>
      </c>
      <c r="I3" s="61">
        <v>1</v>
      </c>
      <c r="J3" s="61"/>
    </row>
    <row r="4" spans="1:10" s="25" customFormat="1" ht="27" customHeight="1">
      <c r="A4" s="65">
        <f t="shared" si="0"/>
        <v>2</v>
      </c>
      <c r="B4" s="76" t="s">
        <v>1270</v>
      </c>
      <c r="C4" s="129">
        <v>32</v>
      </c>
      <c r="D4" s="129">
        <v>32</v>
      </c>
      <c r="E4" s="61">
        <v>0</v>
      </c>
      <c r="F4" s="61">
        <v>255</v>
      </c>
      <c r="G4" s="76" t="s">
        <v>1271</v>
      </c>
      <c r="H4" s="130" t="str">
        <f t="shared" si="1"/>
        <v>0303</v>
      </c>
      <c r="I4" s="61">
        <v>1</v>
      </c>
      <c r="J4" s="61"/>
    </row>
    <row r="5" spans="1:10" s="25" customFormat="1" ht="27" customHeight="1">
      <c r="A5" s="65">
        <f t="shared" si="0"/>
        <v>3</v>
      </c>
      <c r="B5" s="76" t="s">
        <v>1272</v>
      </c>
      <c r="C5" s="129">
        <v>32</v>
      </c>
      <c r="D5" s="129">
        <v>32</v>
      </c>
      <c r="E5" s="61">
        <v>0</v>
      </c>
      <c r="F5" s="61">
        <v>255</v>
      </c>
      <c r="G5" s="76" t="s">
        <v>1273</v>
      </c>
      <c r="H5" s="130" t="str">
        <f t="shared" si="1"/>
        <v>0304</v>
      </c>
      <c r="I5" s="61">
        <v>1</v>
      </c>
      <c r="J5" s="61"/>
    </row>
    <row r="6" spans="1:10" s="25" customFormat="1" ht="27" customHeight="1">
      <c r="A6" s="65">
        <f t="shared" si="0"/>
        <v>4</v>
      </c>
      <c r="B6" s="76" t="s">
        <v>1274</v>
      </c>
      <c r="C6" s="129">
        <v>32</v>
      </c>
      <c r="D6" s="129">
        <v>32</v>
      </c>
      <c r="E6" s="61">
        <v>0</v>
      </c>
      <c r="F6" s="61">
        <v>255</v>
      </c>
      <c r="G6" s="76" t="s">
        <v>1275</v>
      </c>
      <c r="H6" s="130" t="str">
        <f t="shared" si="1"/>
        <v>0305</v>
      </c>
      <c r="I6" s="61">
        <v>1</v>
      </c>
      <c r="J6" s="61"/>
    </row>
    <row r="7" spans="1:10" s="25" customFormat="1" ht="27" customHeight="1">
      <c r="A7" s="65">
        <f t="shared" si="0"/>
        <v>5</v>
      </c>
      <c r="B7" s="76" t="s">
        <v>1276</v>
      </c>
      <c r="C7" s="129">
        <v>32</v>
      </c>
      <c r="D7" s="129">
        <v>32</v>
      </c>
      <c r="E7" s="61">
        <v>0</v>
      </c>
      <c r="F7" s="61">
        <v>255</v>
      </c>
      <c r="G7" s="76" t="s">
        <v>1277</v>
      </c>
      <c r="H7" s="130" t="str">
        <f t="shared" si="1"/>
        <v>0306</v>
      </c>
      <c r="I7" s="61">
        <v>1</v>
      </c>
      <c r="J7" s="61"/>
    </row>
    <row r="8" spans="1:10" s="25" customFormat="1" ht="27" customHeight="1">
      <c r="A8" s="65">
        <f t="shared" si="0"/>
        <v>6</v>
      </c>
      <c r="B8" s="76" t="s">
        <v>1278</v>
      </c>
      <c r="C8" s="129">
        <v>32</v>
      </c>
      <c r="D8" s="129">
        <v>32</v>
      </c>
      <c r="E8" s="61">
        <v>0</v>
      </c>
      <c r="F8" s="61">
        <v>255</v>
      </c>
      <c r="G8" s="76" t="s">
        <v>1279</v>
      </c>
      <c r="H8" s="130" t="str">
        <f t="shared" si="1"/>
        <v>0307</v>
      </c>
      <c r="I8" s="61">
        <v>1</v>
      </c>
      <c r="J8" s="61"/>
    </row>
    <row r="9" spans="1:10" s="25" customFormat="1" ht="27" customHeight="1">
      <c r="A9" s="65">
        <f t="shared" si="0"/>
        <v>7</v>
      </c>
      <c r="B9" s="76" t="s">
        <v>1280</v>
      </c>
      <c r="C9" s="129">
        <v>32</v>
      </c>
      <c r="D9" s="129">
        <v>32</v>
      </c>
      <c r="E9" s="61">
        <v>0</v>
      </c>
      <c r="F9" s="61">
        <v>255</v>
      </c>
      <c r="G9" s="76" t="s">
        <v>1281</v>
      </c>
      <c r="H9" s="130" t="str">
        <f t="shared" si="1"/>
        <v>0308</v>
      </c>
      <c r="I9" s="61">
        <v>1</v>
      </c>
      <c r="J9" s="61"/>
    </row>
    <row r="10" spans="1:10" s="25" customFormat="1" ht="27" customHeight="1">
      <c r="A10" s="65">
        <f t="shared" si="0"/>
        <v>8</v>
      </c>
      <c r="B10" s="76" t="s">
        <v>1282</v>
      </c>
      <c r="C10" s="129">
        <v>32</v>
      </c>
      <c r="D10" s="129">
        <v>32</v>
      </c>
      <c r="E10" s="61">
        <v>0</v>
      </c>
      <c r="F10" s="61">
        <v>255</v>
      </c>
      <c r="G10" s="76" t="s">
        <v>1283</v>
      </c>
      <c r="H10" s="130" t="str">
        <f t="shared" si="1"/>
        <v>0309</v>
      </c>
      <c r="I10" s="61">
        <v>1</v>
      </c>
      <c r="J10" s="61"/>
    </row>
    <row r="11" spans="1:10" s="25" customFormat="1" ht="27" customHeight="1">
      <c r="A11" s="65">
        <f t="shared" si="0"/>
        <v>9</v>
      </c>
      <c r="B11" s="76" t="s">
        <v>1284</v>
      </c>
      <c r="C11" s="129">
        <v>32</v>
      </c>
      <c r="D11" s="129">
        <v>32</v>
      </c>
      <c r="E11" s="61">
        <v>0</v>
      </c>
      <c r="F11" s="61">
        <v>255</v>
      </c>
      <c r="G11" s="76" t="s">
        <v>1285</v>
      </c>
      <c r="H11" s="130" t="str">
        <f t="shared" si="1"/>
        <v>030A</v>
      </c>
      <c r="I11" s="61">
        <v>1</v>
      </c>
      <c r="J11" s="61"/>
    </row>
    <row r="12" spans="1:10" s="25" customFormat="1" ht="27" customHeight="1">
      <c r="A12" s="65">
        <f t="shared" si="0"/>
        <v>10</v>
      </c>
      <c r="B12" s="76" t="s">
        <v>1286</v>
      </c>
      <c r="C12" s="129">
        <v>32</v>
      </c>
      <c r="D12" s="129">
        <v>32</v>
      </c>
      <c r="E12" s="61">
        <v>0</v>
      </c>
      <c r="F12" s="61">
        <v>255</v>
      </c>
      <c r="G12" s="76" t="s">
        <v>1287</v>
      </c>
      <c r="H12" s="130" t="str">
        <f t="shared" si="1"/>
        <v>030B</v>
      </c>
      <c r="I12" s="61">
        <v>1</v>
      </c>
      <c r="J12" s="61"/>
    </row>
    <row r="13" spans="1:10" s="25" customFormat="1" ht="27" customHeight="1">
      <c r="A13" s="65">
        <f t="shared" si="0"/>
        <v>11</v>
      </c>
      <c r="B13" s="76" t="s">
        <v>1288</v>
      </c>
      <c r="C13" s="129">
        <v>32</v>
      </c>
      <c r="D13" s="129">
        <v>32</v>
      </c>
      <c r="E13" s="61">
        <v>0</v>
      </c>
      <c r="F13" s="61">
        <v>255</v>
      </c>
      <c r="G13" s="76" t="s">
        <v>1289</v>
      </c>
      <c r="H13" s="130" t="str">
        <f t="shared" si="1"/>
        <v>030C</v>
      </c>
      <c r="I13" s="61">
        <v>1</v>
      </c>
      <c r="J13" s="61"/>
    </row>
    <row r="14" spans="1:10" s="25" customFormat="1" ht="27" customHeight="1">
      <c r="A14" s="65">
        <f t="shared" si="0"/>
        <v>12</v>
      </c>
      <c r="B14" s="76" t="s">
        <v>1290</v>
      </c>
      <c r="C14" s="129">
        <v>32</v>
      </c>
      <c r="D14" s="129">
        <v>32</v>
      </c>
      <c r="E14" s="61">
        <v>0</v>
      </c>
      <c r="F14" s="61">
        <v>255</v>
      </c>
      <c r="G14" s="76" t="s">
        <v>1291</v>
      </c>
      <c r="H14" s="130" t="str">
        <f t="shared" si="1"/>
        <v>030D</v>
      </c>
      <c r="I14" s="61">
        <v>1</v>
      </c>
      <c r="J14" s="61"/>
    </row>
    <row r="15" spans="1:10" s="25" customFormat="1" ht="27" customHeight="1">
      <c r="A15" s="65">
        <f t="shared" si="0"/>
        <v>13</v>
      </c>
      <c r="B15" s="76" t="s">
        <v>1292</v>
      </c>
      <c r="C15" s="129">
        <v>32</v>
      </c>
      <c r="D15" s="129">
        <v>32</v>
      </c>
      <c r="E15" s="61">
        <v>0</v>
      </c>
      <c r="F15" s="61">
        <v>255</v>
      </c>
      <c r="G15" s="76" t="s">
        <v>1293</v>
      </c>
      <c r="H15" s="130" t="str">
        <f t="shared" si="1"/>
        <v>030E</v>
      </c>
      <c r="I15" s="61">
        <v>1</v>
      </c>
      <c r="J15" s="61"/>
    </row>
    <row r="16" spans="1:10" s="25" customFormat="1" ht="27" customHeight="1">
      <c r="A16" s="65">
        <f t="shared" si="0"/>
        <v>14</v>
      </c>
      <c r="B16" s="76" t="s">
        <v>1294</v>
      </c>
      <c r="C16" s="129">
        <v>32</v>
      </c>
      <c r="D16" s="129">
        <v>32</v>
      </c>
      <c r="E16" s="61">
        <v>0</v>
      </c>
      <c r="F16" s="61">
        <v>255</v>
      </c>
      <c r="G16" s="76" t="s">
        <v>1295</v>
      </c>
      <c r="H16" s="130" t="str">
        <f t="shared" si="1"/>
        <v>030F</v>
      </c>
      <c r="I16" s="61">
        <v>1</v>
      </c>
      <c r="J16" s="61"/>
    </row>
    <row r="17" spans="1:10" s="25" customFormat="1" ht="27" customHeight="1">
      <c r="A17" s="65">
        <f t="shared" si="0"/>
        <v>15</v>
      </c>
      <c r="B17" s="76" t="s">
        <v>1296</v>
      </c>
      <c r="C17" s="129">
        <v>32</v>
      </c>
      <c r="D17" s="129">
        <v>32</v>
      </c>
      <c r="E17" s="61">
        <v>0</v>
      </c>
      <c r="F17" s="61">
        <v>255</v>
      </c>
      <c r="G17" s="76" t="s">
        <v>1297</v>
      </c>
      <c r="H17" s="130" t="str">
        <f t="shared" si="1"/>
        <v>0310</v>
      </c>
      <c r="I17" s="61">
        <v>1</v>
      </c>
      <c r="J17" s="61"/>
    </row>
    <row r="18" spans="1:10" s="25" customFormat="1" ht="27" customHeight="1">
      <c r="A18" s="65">
        <f t="shared" si="0"/>
        <v>16</v>
      </c>
      <c r="B18" s="76" t="s">
        <v>1298</v>
      </c>
      <c r="C18" s="129">
        <v>32</v>
      </c>
      <c r="D18" s="129">
        <v>32</v>
      </c>
      <c r="E18" s="61">
        <v>0</v>
      </c>
      <c r="F18" s="61">
        <v>255</v>
      </c>
      <c r="G18" s="76" t="s">
        <v>1299</v>
      </c>
      <c r="H18" s="130" t="str">
        <f t="shared" si="1"/>
        <v>0311</v>
      </c>
      <c r="I18" s="61">
        <v>1</v>
      </c>
      <c r="J18" s="61"/>
    </row>
    <row r="19" spans="1:10" s="25" customFormat="1" ht="27" customHeight="1">
      <c r="A19" s="65">
        <f t="shared" si="0"/>
        <v>17</v>
      </c>
      <c r="B19" s="285" t="s">
        <v>2115</v>
      </c>
      <c r="C19" s="129">
        <v>255</v>
      </c>
      <c r="D19" s="129">
        <v>255</v>
      </c>
      <c r="E19" s="61">
        <v>0</v>
      </c>
      <c r="F19" s="61">
        <v>255</v>
      </c>
      <c r="G19" s="76" t="s">
        <v>2116</v>
      </c>
      <c r="H19" s="130" t="str">
        <f t="shared" si="1"/>
        <v>0312</v>
      </c>
      <c r="I19" s="61">
        <v>1</v>
      </c>
      <c r="J19" s="61"/>
    </row>
    <row r="20" spans="1:10" s="25" customFormat="1" ht="27" customHeight="1">
      <c r="A20" s="65">
        <f t="shared" si="0"/>
        <v>18</v>
      </c>
      <c r="B20" s="285" t="s">
        <v>2117</v>
      </c>
      <c r="C20" s="129">
        <v>255</v>
      </c>
      <c r="D20" s="129">
        <v>255</v>
      </c>
      <c r="E20" s="61">
        <v>0</v>
      </c>
      <c r="F20" s="61">
        <v>255</v>
      </c>
      <c r="G20" s="76" t="s">
        <v>2118</v>
      </c>
      <c r="H20" s="130" t="str">
        <f t="shared" si="1"/>
        <v>0313</v>
      </c>
      <c r="I20" s="61">
        <v>1</v>
      </c>
      <c r="J20" s="61"/>
    </row>
    <row r="21" spans="1:10" s="25" customFormat="1" ht="27" customHeight="1">
      <c r="A21" s="65">
        <f t="shared" si="0"/>
        <v>19</v>
      </c>
      <c r="B21" s="285" t="s">
        <v>2119</v>
      </c>
      <c r="C21" s="129">
        <v>255</v>
      </c>
      <c r="D21" s="129">
        <v>255</v>
      </c>
      <c r="E21" s="61">
        <v>0</v>
      </c>
      <c r="F21" s="61">
        <v>255</v>
      </c>
      <c r="G21" s="76" t="s">
        <v>2120</v>
      </c>
      <c r="H21" s="130" t="str">
        <f t="shared" si="1"/>
        <v>0314</v>
      </c>
      <c r="I21" s="61">
        <v>1</v>
      </c>
      <c r="J21" s="61"/>
    </row>
    <row r="22" spans="1:10" s="25" customFormat="1" ht="27" customHeight="1">
      <c r="A22" s="65">
        <f t="shared" si="0"/>
        <v>20</v>
      </c>
      <c r="B22" s="285" t="s">
        <v>2121</v>
      </c>
      <c r="C22" s="129">
        <v>255</v>
      </c>
      <c r="D22" s="129">
        <v>255</v>
      </c>
      <c r="E22" s="61">
        <v>0</v>
      </c>
      <c r="F22" s="61">
        <v>255</v>
      </c>
      <c r="G22" s="76" t="s">
        <v>2122</v>
      </c>
      <c r="H22" s="130" t="str">
        <f t="shared" si="1"/>
        <v>0315</v>
      </c>
      <c r="I22" s="61">
        <v>1</v>
      </c>
      <c r="J22" s="61"/>
    </row>
    <row r="23" spans="1:10" s="25" customFormat="1" ht="27" customHeight="1">
      <c r="A23" s="65">
        <f t="shared" si="0"/>
        <v>21</v>
      </c>
      <c r="B23" s="285" t="s">
        <v>2123</v>
      </c>
      <c r="C23" s="129">
        <v>32</v>
      </c>
      <c r="D23" s="129">
        <v>32</v>
      </c>
      <c r="E23" s="61">
        <v>0</v>
      </c>
      <c r="F23" s="61">
        <v>255</v>
      </c>
      <c r="G23" s="76" t="s">
        <v>2124</v>
      </c>
      <c r="H23" s="130" t="str">
        <f t="shared" si="1"/>
        <v>0316</v>
      </c>
      <c r="I23" s="61">
        <v>1</v>
      </c>
      <c r="J23" s="61"/>
    </row>
    <row r="24" spans="1:10" s="25" customFormat="1" ht="27" customHeight="1">
      <c r="A24" s="65">
        <f t="shared" si="0"/>
        <v>22</v>
      </c>
      <c r="B24" s="285" t="s">
        <v>2125</v>
      </c>
      <c r="C24" s="129">
        <v>32</v>
      </c>
      <c r="D24" s="129">
        <v>32</v>
      </c>
      <c r="E24" s="61">
        <v>0</v>
      </c>
      <c r="F24" s="61">
        <v>255</v>
      </c>
      <c r="G24" s="76" t="s">
        <v>2126</v>
      </c>
      <c r="H24" s="130" t="str">
        <f t="shared" si="1"/>
        <v>0317</v>
      </c>
      <c r="I24" s="61">
        <v>1</v>
      </c>
      <c r="J24" s="61"/>
    </row>
    <row r="25" spans="1:10" s="25" customFormat="1" ht="27" customHeight="1">
      <c r="A25" s="65">
        <f t="shared" si="0"/>
        <v>23</v>
      </c>
      <c r="B25" s="285" t="s">
        <v>2127</v>
      </c>
      <c r="C25" s="129">
        <v>32</v>
      </c>
      <c r="D25" s="129">
        <v>32</v>
      </c>
      <c r="E25" s="61">
        <v>0</v>
      </c>
      <c r="F25" s="61">
        <v>255</v>
      </c>
      <c r="G25" s="76" t="s">
        <v>2128</v>
      </c>
      <c r="H25" s="130" t="str">
        <f t="shared" si="1"/>
        <v>0318</v>
      </c>
      <c r="I25" s="61">
        <v>1</v>
      </c>
      <c r="J25" s="61"/>
    </row>
    <row r="26" spans="1:10" s="25" customFormat="1" ht="27" customHeight="1">
      <c r="A26" s="65">
        <f t="shared" si="0"/>
        <v>24</v>
      </c>
      <c r="B26" s="285" t="s">
        <v>2129</v>
      </c>
      <c r="C26" s="129">
        <v>32</v>
      </c>
      <c r="D26" s="129">
        <v>32</v>
      </c>
      <c r="E26" s="61">
        <v>0</v>
      </c>
      <c r="F26" s="61">
        <v>255</v>
      </c>
      <c r="G26" s="76" t="s">
        <v>2130</v>
      </c>
      <c r="H26" s="130" t="str">
        <f t="shared" si="1"/>
        <v>0319</v>
      </c>
      <c r="I26" s="61">
        <v>1</v>
      </c>
      <c r="J26" s="61"/>
    </row>
    <row r="27" spans="1:10" s="25" customFormat="1" ht="27" customHeight="1">
      <c r="A27" s="65">
        <f t="shared" si="0"/>
        <v>25</v>
      </c>
      <c r="B27" s="285" t="s">
        <v>2131</v>
      </c>
      <c r="C27" s="129">
        <v>32</v>
      </c>
      <c r="D27" s="129">
        <v>32</v>
      </c>
      <c r="E27" s="61">
        <v>0</v>
      </c>
      <c r="F27" s="61">
        <v>255</v>
      </c>
      <c r="G27" s="76" t="s">
        <v>2132</v>
      </c>
      <c r="H27" s="130" t="str">
        <f t="shared" si="1"/>
        <v>031A</v>
      </c>
      <c r="I27" s="61">
        <v>1</v>
      </c>
      <c r="J27" s="61"/>
    </row>
    <row r="28" spans="1:10" s="25" customFormat="1" ht="27" customHeight="1">
      <c r="A28" s="65">
        <f t="shared" si="0"/>
        <v>26</v>
      </c>
      <c r="B28" s="285" t="s">
        <v>2133</v>
      </c>
      <c r="C28" s="129">
        <v>32</v>
      </c>
      <c r="D28" s="129">
        <v>32</v>
      </c>
      <c r="E28" s="61">
        <v>0</v>
      </c>
      <c r="F28" s="61">
        <v>255</v>
      </c>
      <c r="G28" s="76" t="s">
        <v>2134</v>
      </c>
      <c r="H28" s="130" t="str">
        <f t="shared" si="1"/>
        <v>031B</v>
      </c>
      <c r="I28" s="61">
        <v>1</v>
      </c>
      <c r="J28" s="61"/>
    </row>
    <row r="29" spans="1:10" s="25" customFormat="1" ht="27" customHeight="1">
      <c r="A29" s="65">
        <f t="shared" si="0"/>
        <v>27</v>
      </c>
      <c r="B29" s="285" t="s">
        <v>2135</v>
      </c>
      <c r="C29" s="129">
        <v>32</v>
      </c>
      <c r="D29" s="129">
        <v>32</v>
      </c>
      <c r="E29" s="61">
        <v>0</v>
      </c>
      <c r="F29" s="61">
        <v>255</v>
      </c>
      <c r="G29" s="76" t="s">
        <v>2136</v>
      </c>
      <c r="H29" s="130" t="str">
        <f t="shared" si="1"/>
        <v>031C</v>
      </c>
      <c r="I29" s="61">
        <v>1</v>
      </c>
      <c r="J29" s="61"/>
    </row>
    <row r="30" spans="1:10" s="25" customFormat="1" ht="27" customHeight="1">
      <c r="A30" s="65">
        <f t="shared" si="0"/>
        <v>28</v>
      </c>
      <c r="B30" s="285" t="s">
        <v>2137</v>
      </c>
      <c r="C30" s="129">
        <v>32</v>
      </c>
      <c r="D30" s="129">
        <v>32</v>
      </c>
      <c r="E30" s="61">
        <v>0</v>
      </c>
      <c r="F30" s="61">
        <v>255</v>
      </c>
      <c r="G30" s="76" t="s">
        <v>2138</v>
      </c>
      <c r="H30" s="130" t="str">
        <f t="shared" si="1"/>
        <v>031D</v>
      </c>
      <c r="I30" s="61">
        <v>1</v>
      </c>
      <c r="J30" s="61"/>
    </row>
    <row r="31" spans="1:10" s="25" customFormat="1" ht="27" customHeight="1">
      <c r="A31" s="65">
        <f t="shared" si="0"/>
        <v>29</v>
      </c>
      <c r="B31" s="76" t="s">
        <v>1300</v>
      </c>
      <c r="C31" s="129">
        <v>255</v>
      </c>
      <c r="D31" s="129">
        <v>255</v>
      </c>
      <c r="E31" s="61">
        <v>0</v>
      </c>
      <c r="F31" s="61">
        <v>255</v>
      </c>
      <c r="G31" s="76" t="s">
        <v>59</v>
      </c>
      <c r="H31" s="130" t="str">
        <f t="shared" si="1"/>
        <v>031E</v>
      </c>
      <c r="I31" s="61">
        <v>1</v>
      </c>
      <c r="J31" s="61"/>
    </row>
    <row r="32" spans="1:10" s="25" customFormat="1" ht="27" customHeight="1">
      <c r="A32" s="65">
        <f t="shared" si="0"/>
        <v>30</v>
      </c>
      <c r="B32" s="76" t="s">
        <v>1301</v>
      </c>
      <c r="C32" s="129">
        <v>255</v>
      </c>
      <c r="D32" s="129">
        <v>255</v>
      </c>
      <c r="E32" s="61">
        <v>0</v>
      </c>
      <c r="F32" s="61">
        <v>255</v>
      </c>
      <c r="G32" s="76" t="s">
        <v>59</v>
      </c>
      <c r="H32" s="130" t="str">
        <f t="shared" si="1"/>
        <v>031F</v>
      </c>
      <c r="I32" s="61">
        <v>1</v>
      </c>
      <c r="J32" s="61"/>
    </row>
    <row r="33" spans="1:14" s="25" customFormat="1" ht="27" customHeight="1">
      <c r="A33" s="65">
        <f t="shared" si="0"/>
        <v>31</v>
      </c>
      <c r="B33" s="76" t="s">
        <v>1302</v>
      </c>
      <c r="C33" s="129">
        <v>255</v>
      </c>
      <c r="D33" s="129">
        <v>255</v>
      </c>
      <c r="E33" s="61">
        <v>0</v>
      </c>
      <c r="F33" s="61">
        <v>255</v>
      </c>
      <c r="G33" s="76" t="s">
        <v>59</v>
      </c>
      <c r="H33" s="130" t="str">
        <f t="shared" si="1"/>
        <v>0320</v>
      </c>
      <c r="I33" s="61">
        <v>1</v>
      </c>
      <c r="J33" s="61"/>
    </row>
    <row r="34" spans="1:14" s="25" customFormat="1" ht="27" customHeight="1">
      <c r="A34" s="65">
        <f t="shared" si="0"/>
        <v>32</v>
      </c>
      <c r="B34" s="332" t="s">
        <v>1303</v>
      </c>
      <c r="C34" s="333">
        <f>L34</f>
        <v>55</v>
      </c>
      <c r="D34" s="334">
        <f>L34</f>
        <v>55</v>
      </c>
      <c r="E34" s="333">
        <v>0</v>
      </c>
      <c r="F34" s="333">
        <v>254</v>
      </c>
      <c r="G34" s="332" t="s">
        <v>1304</v>
      </c>
      <c r="H34" s="130" t="str">
        <f t="shared" si="1"/>
        <v>0321</v>
      </c>
      <c r="I34" s="61">
        <v>1</v>
      </c>
      <c r="J34" s="61"/>
      <c r="K34" s="181"/>
      <c r="L34" s="181">
        <f>CODE(M34)</f>
        <v>55</v>
      </c>
      <c r="M34" s="335" t="str">
        <f>MID($N$34,1,1)</f>
        <v>7</v>
      </c>
      <c r="N34" s="336" t="s">
        <v>3094</v>
      </c>
    </row>
    <row r="35" spans="1:14" s="25" customFormat="1" ht="27" customHeight="1">
      <c r="A35" s="65">
        <f t="shared" ref="A35:A65" si="2">A34+1</f>
        <v>33</v>
      </c>
      <c r="B35" s="332" t="s">
        <v>1305</v>
      </c>
      <c r="C35" s="333">
        <f t="shared" ref="C35:C37" si="3">L35</f>
        <v>50</v>
      </c>
      <c r="D35" s="334">
        <f t="shared" ref="D35:D37" si="4">L35</f>
        <v>50</v>
      </c>
      <c r="E35" s="333">
        <v>0</v>
      </c>
      <c r="F35" s="333">
        <v>254</v>
      </c>
      <c r="G35" s="332" t="s">
        <v>1304</v>
      </c>
      <c r="H35" s="130" t="str">
        <f t="shared" si="1"/>
        <v>0322</v>
      </c>
      <c r="I35" s="61">
        <v>1</v>
      </c>
      <c r="J35" s="61"/>
      <c r="K35" s="181"/>
      <c r="L35" s="181">
        <f t="shared" ref="L35:L62" si="5">CODE(M35)</f>
        <v>50</v>
      </c>
      <c r="M35" s="335" t="str">
        <f>MID($N$34,2,1)</f>
        <v>2</v>
      </c>
      <c r="N35" s="337"/>
    </row>
    <row r="36" spans="1:14" s="25" customFormat="1" ht="27" customHeight="1">
      <c r="A36" s="65">
        <f t="shared" si="2"/>
        <v>34</v>
      </c>
      <c r="B36" s="332" t="s">
        <v>1306</v>
      </c>
      <c r="C36" s="333">
        <f t="shared" si="3"/>
        <v>48</v>
      </c>
      <c r="D36" s="334">
        <f t="shared" si="4"/>
        <v>48</v>
      </c>
      <c r="E36" s="333">
        <v>0</v>
      </c>
      <c r="F36" s="333">
        <v>254</v>
      </c>
      <c r="G36" s="332" t="s">
        <v>1304</v>
      </c>
      <c r="H36" s="130" t="str">
        <f t="shared" si="1"/>
        <v>0323</v>
      </c>
      <c r="I36" s="61">
        <v>1</v>
      </c>
      <c r="J36" s="61"/>
      <c r="K36" s="181"/>
      <c r="L36" s="181">
        <f t="shared" si="5"/>
        <v>48</v>
      </c>
      <c r="M36" s="335" t="str">
        <f>MID($N$34,3,1)</f>
        <v>0</v>
      </c>
      <c r="N36" s="337"/>
    </row>
    <row r="37" spans="1:14" s="25" customFormat="1" ht="27" customHeight="1">
      <c r="A37" s="65">
        <f t="shared" si="2"/>
        <v>35</v>
      </c>
      <c r="B37" s="332" t="s">
        <v>1307</v>
      </c>
      <c r="C37" s="333">
        <f t="shared" si="3"/>
        <v>32</v>
      </c>
      <c r="D37" s="334">
        <f t="shared" si="4"/>
        <v>32</v>
      </c>
      <c r="E37" s="333">
        <v>0</v>
      </c>
      <c r="F37" s="333">
        <v>254</v>
      </c>
      <c r="G37" s="332" t="s">
        <v>1304</v>
      </c>
      <c r="H37" s="130" t="str">
        <f t="shared" si="1"/>
        <v>0324</v>
      </c>
      <c r="I37" s="61">
        <v>1</v>
      </c>
      <c r="J37" s="61"/>
      <c r="K37" s="181"/>
      <c r="L37" s="181">
        <f t="shared" si="5"/>
        <v>32</v>
      </c>
      <c r="M37" s="338" t="s">
        <v>2692</v>
      </c>
      <c r="N37" s="337"/>
    </row>
    <row r="38" spans="1:14" s="25" customFormat="1" ht="27" customHeight="1">
      <c r="A38" s="65">
        <f t="shared" si="2"/>
        <v>36</v>
      </c>
      <c r="B38" s="339" t="s">
        <v>1308</v>
      </c>
      <c r="C38" s="340">
        <f>L38</f>
        <v>51</v>
      </c>
      <c r="D38" s="341">
        <f>L38</f>
        <v>51</v>
      </c>
      <c r="E38" s="340">
        <v>0</v>
      </c>
      <c r="F38" s="340">
        <v>254</v>
      </c>
      <c r="G38" s="339" t="s">
        <v>1309</v>
      </c>
      <c r="H38" s="130" t="str">
        <f t="shared" si="1"/>
        <v>0325</v>
      </c>
      <c r="I38" s="61">
        <v>1</v>
      </c>
      <c r="J38" s="61"/>
      <c r="K38" s="181"/>
      <c r="L38" s="181">
        <f t="shared" si="5"/>
        <v>51</v>
      </c>
      <c r="M38" s="181" t="str">
        <f>MID($N$38,1,1)</f>
        <v>3</v>
      </c>
      <c r="N38" s="336" t="s">
        <v>3092</v>
      </c>
    </row>
    <row r="39" spans="1:14" s="25" customFormat="1" ht="27" customHeight="1">
      <c r="A39" s="65">
        <f t="shared" si="2"/>
        <v>37</v>
      </c>
      <c r="B39" s="339" t="s">
        <v>1310</v>
      </c>
      <c r="C39" s="340">
        <f t="shared" ref="C39:C52" si="6">L39</f>
        <v>49</v>
      </c>
      <c r="D39" s="341">
        <f t="shared" ref="D39:D52" si="7">L39</f>
        <v>49</v>
      </c>
      <c r="E39" s="340">
        <v>0</v>
      </c>
      <c r="F39" s="340">
        <v>254</v>
      </c>
      <c r="G39" s="339" t="s">
        <v>1309</v>
      </c>
      <c r="H39" s="130" t="str">
        <f t="shared" si="1"/>
        <v>0326</v>
      </c>
      <c r="I39" s="61">
        <v>1</v>
      </c>
      <c r="J39" s="61"/>
      <c r="K39" s="181"/>
      <c r="L39" s="181">
        <f t="shared" si="5"/>
        <v>49</v>
      </c>
      <c r="M39" s="181" t="str">
        <f>MID($N$38,2,1)</f>
        <v>1</v>
      </c>
      <c r="N39" s="337"/>
    </row>
    <row r="40" spans="1:14" s="25" customFormat="1" ht="27" customHeight="1">
      <c r="A40" s="65">
        <f t="shared" si="2"/>
        <v>38</v>
      </c>
      <c r="B40" s="339" t="s">
        <v>1311</v>
      </c>
      <c r="C40" s="340">
        <f t="shared" si="6"/>
        <v>50</v>
      </c>
      <c r="D40" s="341">
        <f t="shared" si="7"/>
        <v>50</v>
      </c>
      <c r="E40" s="340">
        <v>0</v>
      </c>
      <c r="F40" s="340">
        <v>254</v>
      </c>
      <c r="G40" s="339" t="s">
        <v>1309</v>
      </c>
      <c r="H40" s="130" t="str">
        <f t="shared" si="1"/>
        <v>0327</v>
      </c>
      <c r="I40" s="61">
        <v>1</v>
      </c>
      <c r="J40" s="61"/>
      <c r="K40" s="181"/>
      <c r="L40" s="181">
        <f t="shared" si="5"/>
        <v>50</v>
      </c>
      <c r="M40" s="181" t="str">
        <f>MID($N$38,3,1)</f>
        <v>2</v>
      </c>
      <c r="N40" s="337"/>
    </row>
    <row r="41" spans="1:14" s="25" customFormat="1" ht="27" customHeight="1">
      <c r="A41" s="65">
        <f t="shared" si="2"/>
        <v>39</v>
      </c>
      <c r="B41" s="339" t="s">
        <v>1312</v>
      </c>
      <c r="C41" s="340">
        <f t="shared" si="6"/>
        <v>46</v>
      </c>
      <c r="D41" s="341">
        <f t="shared" si="7"/>
        <v>46</v>
      </c>
      <c r="E41" s="340">
        <v>0</v>
      </c>
      <c r="F41" s="340">
        <v>254</v>
      </c>
      <c r="G41" s="339" t="s">
        <v>1309</v>
      </c>
      <c r="H41" s="130" t="str">
        <f t="shared" si="1"/>
        <v>0328</v>
      </c>
      <c r="I41" s="61">
        <v>1</v>
      </c>
      <c r="J41" s="61"/>
      <c r="K41" s="181"/>
      <c r="L41" s="181">
        <f t="shared" si="5"/>
        <v>46</v>
      </c>
      <c r="M41" s="181" t="str">
        <f>MID($N$38,4,1)</f>
        <v>.</v>
      </c>
      <c r="N41" s="337"/>
    </row>
    <row r="42" spans="1:14" s="25" customFormat="1" ht="27" customHeight="1">
      <c r="A42" s="65">
        <f t="shared" si="2"/>
        <v>40</v>
      </c>
      <c r="B42" s="339" t="s">
        <v>1313</v>
      </c>
      <c r="C42" s="340">
        <f t="shared" si="6"/>
        <v>51</v>
      </c>
      <c r="D42" s="341">
        <f t="shared" si="7"/>
        <v>51</v>
      </c>
      <c r="E42" s="340">
        <v>0</v>
      </c>
      <c r="F42" s="340">
        <v>254</v>
      </c>
      <c r="G42" s="339" t="s">
        <v>1309</v>
      </c>
      <c r="H42" s="130" t="str">
        <f t="shared" si="1"/>
        <v>0329</v>
      </c>
      <c r="I42" s="61">
        <v>1</v>
      </c>
      <c r="J42" s="61"/>
      <c r="K42" s="181"/>
      <c r="L42" s="181">
        <f t="shared" si="5"/>
        <v>51</v>
      </c>
      <c r="M42" s="181" t="str">
        <f>MID($N$38,5,1)</f>
        <v>3</v>
      </c>
      <c r="N42" s="337"/>
    </row>
    <row r="43" spans="1:14" s="25" customFormat="1" ht="27" customHeight="1">
      <c r="A43" s="65">
        <f t="shared" si="2"/>
        <v>41</v>
      </c>
      <c r="B43" s="339" t="s">
        <v>1314</v>
      </c>
      <c r="C43" s="340">
        <f t="shared" si="6"/>
        <v>55</v>
      </c>
      <c r="D43" s="341">
        <f t="shared" si="7"/>
        <v>55</v>
      </c>
      <c r="E43" s="340">
        <v>0</v>
      </c>
      <c r="F43" s="340">
        <v>254</v>
      </c>
      <c r="G43" s="339" t="s">
        <v>1309</v>
      </c>
      <c r="H43" s="130" t="str">
        <f t="shared" si="1"/>
        <v>032A</v>
      </c>
      <c r="I43" s="61">
        <v>1</v>
      </c>
      <c r="J43" s="61"/>
      <c r="K43" s="181"/>
      <c r="L43" s="181">
        <f t="shared" si="5"/>
        <v>55</v>
      </c>
      <c r="M43" s="181" t="str">
        <f>MID($N$38,6,1)</f>
        <v>7</v>
      </c>
      <c r="N43" s="337"/>
    </row>
    <row r="44" spans="1:14" s="25" customFormat="1" ht="27" customHeight="1">
      <c r="A44" s="65">
        <f t="shared" si="2"/>
        <v>42</v>
      </c>
      <c r="B44" s="339" t="s">
        <v>1315</v>
      </c>
      <c r="C44" s="340">
        <f t="shared" si="6"/>
        <v>57</v>
      </c>
      <c r="D44" s="341">
        <f t="shared" si="7"/>
        <v>57</v>
      </c>
      <c r="E44" s="340">
        <v>0</v>
      </c>
      <c r="F44" s="340">
        <v>254</v>
      </c>
      <c r="G44" s="339" t="s">
        <v>1309</v>
      </c>
      <c r="H44" s="130" t="str">
        <f t="shared" si="1"/>
        <v>032B</v>
      </c>
      <c r="I44" s="61">
        <v>1</v>
      </c>
      <c r="J44" s="61"/>
      <c r="K44" s="181"/>
      <c r="L44" s="181">
        <f t="shared" si="5"/>
        <v>57</v>
      </c>
      <c r="M44" s="181" t="str">
        <f>MID($N$38,7,1)</f>
        <v>9</v>
      </c>
      <c r="N44" s="337"/>
    </row>
    <row r="45" spans="1:14" s="25" customFormat="1" ht="27" customHeight="1">
      <c r="A45" s="65">
        <f t="shared" si="2"/>
        <v>43</v>
      </c>
      <c r="B45" s="339" t="s">
        <v>1316</v>
      </c>
      <c r="C45" s="340">
        <f t="shared" si="6"/>
        <v>45</v>
      </c>
      <c r="D45" s="341">
        <f t="shared" si="7"/>
        <v>45</v>
      </c>
      <c r="E45" s="340">
        <v>0</v>
      </c>
      <c r="F45" s="340">
        <v>254</v>
      </c>
      <c r="G45" s="339" t="s">
        <v>1309</v>
      </c>
      <c r="H45" s="130" t="str">
        <f t="shared" si="1"/>
        <v>032C</v>
      </c>
      <c r="I45" s="61">
        <v>1</v>
      </c>
      <c r="J45" s="61"/>
      <c r="K45" s="181"/>
      <c r="L45" s="181">
        <f t="shared" si="5"/>
        <v>45</v>
      </c>
      <c r="M45" s="181" t="str">
        <f>MID($N$38,8,1)</f>
        <v>-</v>
      </c>
      <c r="N45" s="337"/>
    </row>
    <row r="46" spans="1:14" s="25" customFormat="1" ht="27" customHeight="1">
      <c r="A46" s="65">
        <f t="shared" si="2"/>
        <v>44</v>
      </c>
      <c r="B46" s="339" t="s">
        <v>1317</v>
      </c>
      <c r="C46" s="340">
        <f t="shared" si="6"/>
        <v>48</v>
      </c>
      <c r="D46" s="341">
        <f t="shared" si="7"/>
        <v>48</v>
      </c>
      <c r="E46" s="340">
        <v>0</v>
      </c>
      <c r="F46" s="340">
        <v>254</v>
      </c>
      <c r="G46" s="339" t="s">
        <v>1309</v>
      </c>
      <c r="H46" s="130" t="str">
        <f t="shared" si="1"/>
        <v>032D</v>
      </c>
      <c r="I46" s="61">
        <v>1</v>
      </c>
      <c r="J46" s="61"/>
      <c r="K46" s="181"/>
      <c r="L46" s="181">
        <f t="shared" si="5"/>
        <v>48</v>
      </c>
      <c r="M46" s="181" t="str">
        <f>MID($N$38,9,1)</f>
        <v>0</v>
      </c>
      <c r="N46" s="337"/>
    </row>
    <row r="47" spans="1:14" s="25" customFormat="1" ht="27" customHeight="1">
      <c r="A47" s="65">
        <f t="shared" si="2"/>
        <v>45</v>
      </c>
      <c r="B47" s="339" t="s">
        <v>1318</v>
      </c>
      <c r="C47" s="340">
        <f t="shared" si="6"/>
        <v>49</v>
      </c>
      <c r="D47" s="341">
        <f t="shared" si="7"/>
        <v>49</v>
      </c>
      <c r="E47" s="340">
        <v>0</v>
      </c>
      <c r="F47" s="340">
        <v>254</v>
      </c>
      <c r="G47" s="339" t="s">
        <v>1309</v>
      </c>
      <c r="H47" s="130" t="str">
        <f t="shared" si="1"/>
        <v>032E</v>
      </c>
      <c r="I47" s="61">
        <v>1</v>
      </c>
      <c r="J47" s="61"/>
      <c r="K47" s="181"/>
      <c r="L47" s="181">
        <f t="shared" si="5"/>
        <v>49</v>
      </c>
      <c r="M47" s="181" t="str">
        <f>MID($N$38,10,1)</f>
        <v>1</v>
      </c>
      <c r="N47" s="337"/>
    </row>
    <row r="48" spans="1:14" s="25" customFormat="1" ht="27" customHeight="1">
      <c r="A48" s="65">
        <f t="shared" si="2"/>
        <v>46</v>
      </c>
      <c r="B48" s="339" t="s">
        <v>1319</v>
      </c>
      <c r="C48" s="340">
        <f t="shared" si="6"/>
        <v>32</v>
      </c>
      <c r="D48" s="341">
        <f t="shared" si="7"/>
        <v>32</v>
      </c>
      <c r="E48" s="340">
        <v>0</v>
      </c>
      <c r="F48" s="340">
        <v>254</v>
      </c>
      <c r="G48" s="339" t="s">
        <v>1309</v>
      </c>
      <c r="H48" s="130" t="str">
        <f t="shared" si="1"/>
        <v>032F</v>
      </c>
      <c r="I48" s="61">
        <v>1</v>
      </c>
      <c r="J48" s="61"/>
      <c r="K48" s="181"/>
      <c r="L48" s="181">
        <f t="shared" si="5"/>
        <v>32</v>
      </c>
      <c r="M48" s="181" t="s">
        <v>2692</v>
      </c>
      <c r="N48" s="337"/>
    </row>
    <row r="49" spans="1:14" s="25" customFormat="1" ht="27" customHeight="1">
      <c r="A49" s="65">
        <f t="shared" si="2"/>
        <v>47</v>
      </c>
      <c r="B49" s="339" t="s">
        <v>1320</v>
      </c>
      <c r="C49" s="340">
        <f t="shared" si="6"/>
        <v>32</v>
      </c>
      <c r="D49" s="341">
        <f t="shared" si="7"/>
        <v>32</v>
      </c>
      <c r="E49" s="340">
        <v>0</v>
      </c>
      <c r="F49" s="340">
        <v>254</v>
      </c>
      <c r="G49" s="339" t="s">
        <v>1309</v>
      </c>
      <c r="H49" s="130" t="str">
        <f t="shared" si="1"/>
        <v>0330</v>
      </c>
      <c r="I49" s="61">
        <v>1</v>
      </c>
      <c r="J49" s="61"/>
      <c r="K49" s="181"/>
      <c r="L49" s="181">
        <f t="shared" si="5"/>
        <v>32</v>
      </c>
      <c r="M49" s="181" t="s">
        <v>2692</v>
      </c>
      <c r="N49" s="337"/>
    </row>
    <row r="50" spans="1:14" s="25" customFormat="1" ht="27" customHeight="1">
      <c r="A50" s="65">
        <f t="shared" si="2"/>
        <v>48</v>
      </c>
      <c r="B50" s="339" t="s">
        <v>1321</v>
      </c>
      <c r="C50" s="340">
        <f t="shared" si="6"/>
        <v>32</v>
      </c>
      <c r="D50" s="341">
        <f t="shared" si="7"/>
        <v>32</v>
      </c>
      <c r="E50" s="340">
        <v>0</v>
      </c>
      <c r="F50" s="340">
        <v>254</v>
      </c>
      <c r="G50" s="339" t="s">
        <v>1309</v>
      </c>
      <c r="H50" s="130" t="str">
        <f t="shared" si="1"/>
        <v>0331</v>
      </c>
      <c r="I50" s="61">
        <v>1</v>
      </c>
      <c r="J50" s="61"/>
      <c r="K50" s="181"/>
      <c r="L50" s="181">
        <f t="shared" si="5"/>
        <v>32</v>
      </c>
      <c r="M50" s="181" t="s">
        <v>2692</v>
      </c>
      <c r="N50" s="337"/>
    </row>
    <row r="51" spans="1:14" s="25" customFormat="1" ht="27" customHeight="1">
      <c r="A51" s="65">
        <f t="shared" si="2"/>
        <v>49</v>
      </c>
      <c r="B51" s="339" t="s">
        <v>1322</v>
      </c>
      <c r="C51" s="340">
        <f t="shared" si="6"/>
        <v>32</v>
      </c>
      <c r="D51" s="341">
        <f t="shared" si="7"/>
        <v>32</v>
      </c>
      <c r="E51" s="340">
        <v>0</v>
      </c>
      <c r="F51" s="340">
        <v>254</v>
      </c>
      <c r="G51" s="339" t="s">
        <v>1309</v>
      </c>
      <c r="H51" s="130" t="str">
        <f t="shared" si="1"/>
        <v>0332</v>
      </c>
      <c r="I51" s="61">
        <v>1</v>
      </c>
      <c r="J51" s="61"/>
      <c r="K51" s="181"/>
      <c r="L51" s="181">
        <f t="shared" si="5"/>
        <v>32</v>
      </c>
      <c r="M51" s="181" t="s">
        <v>2692</v>
      </c>
      <c r="N51" s="337"/>
    </row>
    <row r="52" spans="1:14" s="25" customFormat="1" ht="27" customHeight="1">
      <c r="A52" s="65">
        <f t="shared" si="2"/>
        <v>50</v>
      </c>
      <c r="B52" s="339" t="s">
        <v>1323</v>
      </c>
      <c r="C52" s="340">
        <f t="shared" si="6"/>
        <v>32</v>
      </c>
      <c r="D52" s="341">
        <f t="shared" si="7"/>
        <v>32</v>
      </c>
      <c r="E52" s="340">
        <v>0</v>
      </c>
      <c r="F52" s="340">
        <v>254</v>
      </c>
      <c r="G52" s="339" t="s">
        <v>1309</v>
      </c>
      <c r="H52" s="130" t="str">
        <f t="shared" si="1"/>
        <v>0333</v>
      </c>
      <c r="I52" s="61">
        <v>1</v>
      </c>
      <c r="J52" s="61"/>
      <c r="K52" s="181"/>
      <c r="L52" s="181">
        <f t="shared" si="5"/>
        <v>32</v>
      </c>
      <c r="M52" s="181" t="s">
        <v>2692</v>
      </c>
      <c r="N52" s="337"/>
    </row>
    <row r="53" spans="1:14" s="25" customFormat="1" ht="27" customHeight="1">
      <c r="A53" s="65">
        <f t="shared" si="2"/>
        <v>51</v>
      </c>
      <c r="B53" s="342" t="s">
        <v>1324</v>
      </c>
      <c r="C53" s="343">
        <f>L53</f>
        <v>54</v>
      </c>
      <c r="D53" s="344">
        <f>L53</f>
        <v>54</v>
      </c>
      <c r="E53" s="343">
        <v>0</v>
      </c>
      <c r="F53" s="343">
        <v>254</v>
      </c>
      <c r="G53" s="342" t="s">
        <v>1325</v>
      </c>
      <c r="H53" s="130" t="str">
        <f t="shared" si="1"/>
        <v>0334</v>
      </c>
      <c r="I53" s="61">
        <v>1</v>
      </c>
      <c r="J53" s="61"/>
      <c r="K53" s="181"/>
      <c r="L53" s="181">
        <f t="shared" si="5"/>
        <v>54</v>
      </c>
      <c r="M53" s="181" t="str">
        <f>MID($N$53,1,1)</f>
        <v>6</v>
      </c>
      <c r="N53" s="336" t="s">
        <v>3093</v>
      </c>
    </row>
    <row r="54" spans="1:14" s="25" customFormat="1" ht="27" customHeight="1">
      <c r="A54" s="65">
        <f t="shared" si="2"/>
        <v>52</v>
      </c>
      <c r="B54" s="342" t="s">
        <v>1326</v>
      </c>
      <c r="C54" s="343">
        <f t="shared" ref="C54:C62" si="8">L54</f>
        <v>54</v>
      </c>
      <c r="D54" s="344">
        <f t="shared" ref="D54:D62" si="9">L54</f>
        <v>54</v>
      </c>
      <c r="E54" s="343">
        <v>0</v>
      </c>
      <c r="F54" s="343">
        <v>254</v>
      </c>
      <c r="G54" s="342" t="s">
        <v>1325</v>
      </c>
      <c r="H54" s="130" t="str">
        <f t="shared" si="1"/>
        <v>0335</v>
      </c>
      <c r="I54" s="61">
        <v>1</v>
      </c>
      <c r="J54" s="61"/>
      <c r="K54" s="181"/>
      <c r="L54" s="181">
        <f t="shared" si="5"/>
        <v>54</v>
      </c>
      <c r="M54" s="181" t="str">
        <f>MID($N$53,2,1)</f>
        <v>6</v>
      </c>
      <c r="N54" s="337"/>
    </row>
    <row r="55" spans="1:14" s="25" customFormat="1" ht="27" customHeight="1">
      <c r="A55" s="65">
        <f t="shared" si="2"/>
        <v>53</v>
      </c>
      <c r="B55" s="342" t="s">
        <v>1327</v>
      </c>
      <c r="C55" s="343">
        <f t="shared" si="8"/>
        <v>48</v>
      </c>
      <c r="D55" s="344">
        <f t="shared" si="9"/>
        <v>48</v>
      </c>
      <c r="E55" s="343">
        <v>0</v>
      </c>
      <c r="F55" s="343">
        <v>254</v>
      </c>
      <c r="G55" s="342" t="s">
        <v>1325</v>
      </c>
      <c r="H55" s="130" t="str">
        <f t="shared" si="1"/>
        <v>0336</v>
      </c>
      <c r="I55" s="61">
        <v>1</v>
      </c>
      <c r="J55" s="61"/>
      <c r="K55" s="181"/>
      <c r="L55" s="181">
        <f t="shared" si="5"/>
        <v>48</v>
      </c>
      <c r="M55" s="181" t="str">
        <f>MID($N$53,3,1)</f>
        <v>0</v>
      </c>
      <c r="N55" s="337"/>
    </row>
    <row r="56" spans="1:14" s="25" customFormat="1" ht="27" customHeight="1">
      <c r="A56" s="65">
        <f t="shared" si="2"/>
        <v>54</v>
      </c>
      <c r="B56" s="342" t="s">
        <v>1328</v>
      </c>
      <c r="C56" s="343">
        <f t="shared" si="8"/>
        <v>48</v>
      </c>
      <c r="D56" s="344">
        <f t="shared" si="9"/>
        <v>48</v>
      </c>
      <c r="E56" s="343">
        <v>0</v>
      </c>
      <c r="F56" s="343">
        <v>254</v>
      </c>
      <c r="G56" s="342" t="s">
        <v>1325</v>
      </c>
      <c r="H56" s="130" t="str">
        <f t="shared" si="1"/>
        <v>0337</v>
      </c>
      <c r="I56" s="61">
        <v>1</v>
      </c>
      <c r="J56" s="61"/>
      <c r="K56" s="181"/>
      <c r="L56" s="181">
        <f t="shared" si="5"/>
        <v>48</v>
      </c>
      <c r="M56" s="181" t="str">
        <f>MID($N$53,4,1)</f>
        <v>0</v>
      </c>
      <c r="N56" s="337"/>
    </row>
    <row r="57" spans="1:14" s="25" customFormat="1" ht="27" customHeight="1">
      <c r="A57" s="65">
        <f t="shared" si="2"/>
        <v>55</v>
      </c>
      <c r="B57" s="342" t="s">
        <v>1329</v>
      </c>
      <c r="C57" s="343">
        <f t="shared" si="8"/>
        <v>48</v>
      </c>
      <c r="D57" s="344">
        <f t="shared" si="9"/>
        <v>48</v>
      </c>
      <c r="E57" s="343">
        <v>0</v>
      </c>
      <c r="F57" s="343">
        <v>254</v>
      </c>
      <c r="G57" s="342" t="s">
        <v>1325</v>
      </c>
      <c r="H57" s="130" t="str">
        <f t="shared" si="1"/>
        <v>0338</v>
      </c>
      <c r="I57" s="61">
        <v>1</v>
      </c>
      <c r="J57" s="61"/>
      <c r="K57" s="181"/>
      <c r="L57" s="181">
        <f t="shared" si="5"/>
        <v>48</v>
      </c>
      <c r="M57" s="181" t="str">
        <f>MID($N$53,5,1)</f>
        <v>0</v>
      </c>
      <c r="N57" s="337"/>
    </row>
    <row r="58" spans="1:14" s="25" customFormat="1" ht="27" customHeight="1">
      <c r="A58" s="65">
        <f t="shared" si="2"/>
        <v>56</v>
      </c>
      <c r="B58" s="342" t="s">
        <v>1330</v>
      </c>
      <c r="C58" s="343">
        <f t="shared" si="8"/>
        <v>49</v>
      </c>
      <c r="D58" s="344">
        <f t="shared" si="9"/>
        <v>49</v>
      </c>
      <c r="E58" s="343">
        <v>0</v>
      </c>
      <c r="F58" s="343">
        <v>254</v>
      </c>
      <c r="G58" s="342" t="s">
        <v>1325</v>
      </c>
      <c r="H58" s="130" t="str">
        <f t="shared" si="1"/>
        <v>0339</v>
      </c>
      <c r="I58" s="61">
        <v>1</v>
      </c>
      <c r="J58" s="61"/>
      <c r="K58" s="181"/>
      <c r="L58" s="181">
        <f t="shared" si="5"/>
        <v>49</v>
      </c>
      <c r="M58" s="181" t="str">
        <f>MID($N$53,6,1)</f>
        <v>1</v>
      </c>
      <c r="N58" s="337"/>
    </row>
    <row r="59" spans="1:14" s="25" customFormat="1" ht="27" customHeight="1">
      <c r="A59" s="65">
        <f t="shared" si="2"/>
        <v>57</v>
      </c>
      <c r="B59" s="342" t="s">
        <v>1331</v>
      </c>
      <c r="C59" s="343">
        <f t="shared" si="8"/>
        <v>52</v>
      </c>
      <c r="D59" s="344">
        <f t="shared" si="9"/>
        <v>52</v>
      </c>
      <c r="E59" s="343">
        <v>0</v>
      </c>
      <c r="F59" s="343">
        <v>254</v>
      </c>
      <c r="G59" s="342" t="s">
        <v>1325</v>
      </c>
      <c r="H59" s="130" t="str">
        <f t="shared" si="1"/>
        <v>033A</v>
      </c>
      <c r="I59" s="61">
        <v>1</v>
      </c>
      <c r="J59" s="61"/>
      <c r="K59" s="181"/>
      <c r="L59" s="181">
        <f t="shared" si="5"/>
        <v>52</v>
      </c>
      <c r="M59" s="181" t="str">
        <f>MID($N$53,7,1)</f>
        <v>4</v>
      </c>
      <c r="N59" s="337"/>
    </row>
    <row r="60" spans="1:14" s="25" customFormat="1" ht="27" customHeight="1">
      <c r="A60" s="65">
        <f t="shared" si="2"/>
        <v>58</v>
      </c>
      <c r="B60" s="342" t="s">
        <v>1332</v>
      </c>
      <c r="C60" s="343">
        <f t="shared" si="8"/>
        <v>55</v>
      </c>
      <c r="D60" s="344">
        <f t="shared" si="9"/>
        <v>55</v>
      </c>
      <c r="E60" s="343">
        <v>0</v>
      </c>
      <c r="F60" s="343">
        <v>254</v>
      </c>
      <c r="G60" s="342" t="s">
        <v>1325</v>
      </c>
      <c r="H60" s="130" t="str">
        <f t="shared" si="1"/>
        <v>033B</v>
      </c>
      <c r="I60" s="61">
        <v>1</v>
      </c>
      <c r="J60" s="61"/>
      <c r="K60" s="181"/>
      <c r="L60" s="181">
        <f t="shared" si="5"/>
        <v>55</v>
      </c>
      <c r="M60" s="181" t="str">
        <f>MID($N$53,8,1)</f>
        <v>7</v>
      </c>
      <c r="N60" s="337"/>
    </row>
    <row r="61" spans="1:14" s="25" customFormat="1" ht="27" customHeight="1">
      <c r="A61" s="65">
        <f t="shared" si="2"/>
        <v>59</v>
      </c>
      <c r="B61" s="342" t="s">
        <v>1333</v>
      </c>
      <c r="C61" s="343">
        <f t="shared" si="8"/>
        <v>51</v>
      </c>
      <c r="D61" s="344">
        <f t="shared" si="9"/>
        <v>51</v>
      </c>
      <c r="E61" s="343">
        <v>0</v>
      </c>
      <c r="F61" s="343">
        <v>254</v>
      </c>
      <c r="G61" s="342" t="s">
        <v>1325</v>
      </c>
      <c r="H61" s="130" t="str">
        <f t="shared" si="1"/>
        <v>033C</v>
      </c>
      <c r="I61" s="61">
        <v>1</v>
      </c>
      <c r="J61" s="61"/>
      <c r="K61" s="181"/>
      <c r="L61" s="181">
        <f t="shared" si="5"/>
        <v>51</v>
      </c>
      <c r="M61" s="181" t="str">
        <f>MID($N$53,9,1)</f>
        <v>3</v>
      </c>
      <c r="N61" s="337"/>
    </row>
    <row r="62" spans="1:14" s="25" customFormat="1" ht="27" customHeight="1">
      <c r="A62" s="65">
        <f t="shared" si="2"/>
        <v>60</v>
      </c>
      <c r="B62" s="342" t="s">
        <v>2562</v>
      </c>
      <c r="C62" s="343">
        <f t="shared" si="8"/>
        <v>52</v>
      </c>
      <c r="D62" s="344">
        <f t="shared" si="9"/>
        <v>52</v>
      </c>
      <c r="E62" s="343">
        <v>0</v>
      </c>
      <c r="F62" s="343">
        <v>254</v>
      </c>
      <c r="G62" s="342" t="s">
        <v>1325</v>
      </c>
      <c r="H62" s="130" t="str">
        <f t="shared" si="1"/>
        <v>033D</v>
      </c>
      <c r="I62" s="61">
        <v>1</v>
      </c>
      <c r="J62" s="61"/>
      <c r="K62" s="181"/>
      <c r="L62" s="181">
        <f t="shared" si="5"/>
        <v>52</v>
      </c>
      <c r="M62" s="181" t="str">
        <f>MID($N$53,10,1)</f>
        <v>4</v>
      </c>
      <c r="N62" s="337"/>
    </row>
    <row r="63" spans="1:14" s="25" customFormat="1" ht="27" customHeight="1">
      <c r="A63" s="65">
        <f t="shared" si="2"/>
        <v>61</v>
      </c>
      <c r="B63" s="76" t="s">
        <v>1334</v>
      </c>
      <c r="C63" s="61">
        <f t="shared" ref="C63" si="10">M63</f>
        <v>48</v>
      </c>
      <c r="D63" s="129">
        <v>48</v>
      </c>
      <c r="E63" s="61">
        <v>0</v>
      </c>
      <c r="F63" s="61">
        <v>254</v>
      </c>
      <c r="G63" s="76" t="s">
        <v>1335</v>
      </c>
      <c r="H63" s="130" t="str">
        <f t="shared" si="1"/>
        <v>033E</v>
      </c>
      <c r="I63" s="61">
        <v>1</v>
      </c>
      <c r="J63" s="61"/>
      <c r="K63" s="181"/>
      <c r="L63" s="181">
        <v>0</v>
      </c>
      <c r="M63" s="181">
        <f t="shared" ref="M63" si="11">CODE(L63)</f>
        <v>48</v>
      </c>
      <c r="N63" s="181"/>
    </row>
    <row r="64" spans="1:14" s="25" customFormat="1" ht="27" customHeight="1">
      <c r="A64" s="65">
        <f t="shared" si="2"/>
        <v>62</v>
      </c>
      <c r="B64" s="345" t="s">
        <v>2542</v>
      </c>
      <c r="C64" s="346">
        <f>L64</f>
        <v>54</v>
      </c>
      <c r="D64" s="347">
        <v>49</v>
      </c>
      <c r="E64" s="346">
        <v>0</v>
      </c>
      <c r="F64" s="346">
        <v>254</v>
      </c>
      <c r="G64" s="345" t="s">
        <v>2543</v>
      </c>
      <c r="H64" s="130" t="str">
        <f t="shared" si="1"/>
        <v>033F</v>
      </c>
      <c r="I64" s="61">
        <v>1</v>
      </c>
      <c r="J64" s="61"/>
      <c r="K64" s="181"/>
      <c r="L64" s="181">
        <f t="shared" ref="L64:L73" si="12">CODE(M64)</f>
        <v>54</v>
      </c>
      <c r="M64" s="181" t="str">
        <f>MID($N$64,1,1)</f>
        <v>6</v>
      </c>
      <c r="N64" s="348">
        <v>6600014734</v>
      </c>
    </row>
    <row r="65" spans="1:14" s="25" customFormat="1" ht="27" customHeight="1">
      <c r="A65" s="65">
        <f t="shared" si="2"/>
        <v>63</v>
      </c>
      <c r="B65" s="345" t="s">
        <v>2544</v>
      </c>
      <c r="C65" s="346">
        <f t="shared" ref="C65:C73" si="13">L65</f>
        <v>54</v>
      </c>
      <c r="D65" s="347">
        <v>48</v>
      </c>
      <c r="E65" s="346">
        <v>0</v>
      </c>
      <c r="F65" s="346">
        <v>254</v>
      </c>
      <c r="G65" s="345" t="s">
        <v>2545</v>
      </c>
      <c r="H65" s="130" t="str">
        <f t="shared" si="1"/>
        <v>0340</v>
      </c>
      <c r="I65" s="61">
        <v>1</v>
      </c>
      <c r="J65" s="61"/>
      <c r="K65" s="181"/>
      <c r="L65" s="181">
        <f t="shared" si="12"/>
        <v>54</v>
      </c>
      <c r="M65" s="181" t="str">
        <f>MID($N$64,2,1)</f>
        <v>6</v>
      </c>
      <c r="N65" s="337"/>
    </row>
    <row r="66" spans="1:14" s="25" customFormat="1" ht="27" customHeight="1">
      <c r="A66" s="65">
        <f t="shared" ref="A66:A77" si="14">A65+1</f>
        <v>64</v>
      </c>
      <c r="B66" s="345" t="s">
        <v>2546</v>
      </c>
      <c r="C66" s="346">
        <f t="shared" si="13"/>
        <v>48</v>
      </c>
      <c r="D66" s="347">
        <v>49</v>
      </c>
      <c r="E66" s="346">
        <v>0</v>
      </c>
      <c r="F66" s="346">
        <v>254</v>
      </c>
      <c r="G66" s="345" t="s">
        <v>2547</v>
      </c>
      <c r="H66" s="130" t="str">
        <f t="shared" si="1"/>
        <v>0341</v>
      </c>
      <c r="I66" s="61">
        <v>1</v>
      </c>
      <c r="J66" s="61"/>
      <c r="K66" s="181"/>
      <c r="L66" s="181">
        <f t="shared" si="12"/>
        <v>48</v>
      </c>
      <c r="M66" s="181" t="str">
        <f>MID($N$64,3,1)</f>
        <v>0</v>
      </c>
      <c r="N66" s="337"/>
    </row>
    <row r="67" spans="1:14" s="25" customFormat="1" ht="27" customHeight="1">
      <c r="A67" s="65">
        <f t="shared" si="14"/>
        <v>65</v>
      </c>
      <c r="B67" s="345" t="s">
        <v>2548</v>
      </c>
      <c r="C67" s="346">
        <f t="shared" si="13"/>
        <v>48</v>
      </c>
      <c r="D67" s="347">
        <v>55</v>
      </c>
      <c r="E67" s="346">
        <v>0</v>
      </c>
      <c r="F67" s="346">
        <v>254</v>
      </c>
      <c r="G67" s="345" t="s">
        <v>2549</v>
      </c>
      <c r="H67" s="130" t="str">
        <f t="shared" ref="H67:H73" si="15">DEC2HEX((HEX2DEC(H66)+1),4)</f>
        <v>0342</v>
      </c>
      <c r="I67" s="61">
        <v>1</v>
      </c>
      <c r="J67" s="61"/>
      <c r="K67" s="181"/>
      <c r="L67" s="181">
        <f t="shared" si="12"/>
        <v>48</v>
      </c>
      <c r="M67" s="181" t="str">
        <f>MID($N$64,4,1)</f>
        <v>0</v>
      </c>
      <c r="N67" s="337"/>
    </row>
    <row r="68" spans="1:14" s="25" customFormat="1" ht="27" customHeight="1">
      <c r="A68" s="65">
        <f t="shared" si="14"/>
        <v>66</v>
      </c>
      <c r="B68" s="345" t="s">
        <v>2550</v>
      </c>
      <c r="C68" s="346">
        <f t="shared" si="13"/>
        <v>48</v>
      </c>
      <c r="D68" s="347">
        <v>48</v>
      </c>
      <c r="E68" s="346">
        <v>0</v>
      </c>
      <c r="F68" s="346">
        <v>254</v>
      </c>
      <c r="G68" s="345" t="s">
        <v>2551</v>
      </c>
      <c r="H68" s="130" t="str">
        <f t="shared" si="15"/>
        <v>0343</v>
      </c>
      <c r="I68" s="61">
        <v>1</v>
      </c>
      <c r="J68" s="61"/>
      <c r="K68" s="181"/>
      <c r="L68" s="181">
        <f t="shared" si="12"/>
        <v>48</v>
      </c>
      <c r="M68" s="181" t="str">
        <f>MID($N$64,5,1)</f>
        <v>0</v>
      </c>
      <c r="N68" s="337"/>
    </row>
    <row r="69" spans="1:14" s="25" customFormat="1" ht="27" customHeight="1">
      <c r="A69" s="65">
        <f t="shared" si="14"/>
        <v>67</v>
      </c>
      <c r="B69" s="345" t="s">
        <v>2552</v>
      </c>
      <c r="C69" s="346">
        <f t="shared" si="13"/>
        <v>49</v>
      </c>
      <c r="D69" s="347">
        <v>51</v>
      </c>
      <c r="E69" s="346">
        <v>0</v>
      </c>
      <c r="F69" s="346">
        <v>254</v>
      </c>
      <c r="G69" s="345" t="s">
        <v>2553</v>
      </c>
      <c r="H69" s="130" t="str">
        <f t="shared" si="15"/>
        <v>0344</v>
      </c>
      <c r="I69" s="61">
        <v>1</v>
      </c>
      <c r="J69" s="61"/>
      <c r="K69" s="181"/>
      <c r="L69" s="181">
        <f t="shared" si="12"/>
        <v>49</v>
      </c>
      <c r="M69" s="181" t="str">
        <f>MID($N$64,6,1)</f>
        <v>1</v>
      </c>
      <c r="N69" s="337"/>
    </row>
    <row r="70" spans="1:14" s="25" customFormat="1" ht="27" customHeight="1">
      <c r="A70" s="65">
        <f t="shared" si="14"/>
        <v>68</v>
      </c>
      <c r="B70" s="345" t="s">
        <v>2554</v>
      </c>
      <c r="C70" s="346">
        <f t="shared" si="13"/>
        <v>52</v>
      </c>
      <c r="D70" s="347">
        <v>55</v>
      </c>
      <c r="E70" s="346">
        <v>0</v>
      </c>
      <c r="F70" s="346">
        <v>254</v>
      </c>
      <c r="G70" s="345" t="s">
        <v>2555</v>
      </c>
      <c r="H70" s="130" t="str">
        <f t="shared" si="15"/>
        <v>0345</v>
      </c>
      <c r="I70" s="61">
        <v>1</v>
      </c>
      <c r="J70" s="61"/>
      <c r="K70" s="181"/>
      <c r="L70" s="181">
        <f t="shared" si="12"/>
        <v>52</v>
      </c>
      <c r="M70" s="181" t="str">
        <f>MID($N$64,7,1)</f>
        <v>4</v>
      </c>
      <c r="N70" s="337"/>
    </row>
    <row r="71" spans="1:14" s="25" customFormat="1" ht="27" customHeight="1">
      <c r="A71" s="65">
        <f t="shared" si="14"/>
        <v>69</v>
      </c>
      <c r="B71" s="345" t="s">
        <v>2556</v>
      </c>
      <c r="C71" s="346">
        <f t="shared" si="13"/>
        <v>55</v>
      </c>
      <c r="D71" s="347">
        <v>53</v>
      </c>
      <c r="E71" s="346">
        <v>0</v>
      </c>
      <c r="F71" s="346">
        <v>254</v>
      </c>
      <c r="G71" s="345" t="s">
        <v>2557</v>
      </c>
      <c r="H71" s="130" t="str">
        <f t="shared" si="15"/>
        <v>0346</v>
      </c>
      <c r="I71" s="61">
        <v>1</v>
      </c>
      <c r="J71" s="61"/>
      <c r="K71" s="181"/>
      <c r="L71" s="181">
        <f t="shared" si="12"/>
        <v>55</v>
      </c>
      <c r="M71" s="181" t="str">
        <f>MID($N$64,8,1)</f>
        <v>7</v>
      </c>
      <c r="N71" s="337"/>
    </row>
    <row r="72" spans="1:14" s="25" customFormat="1" ht="27" customHeight="1">
      <c r="A72" s="65">
        <f t="shared" si="14"/>
        <v>70</v>
      </c>
      <c r="B72" s="345" t="s">
        <v>2558</v>
      </c>
      <c r="C72" s="346">
        <f t="shared" si="13"/>
        <v>51</v>
      </c>
      <c r="D72" s="347">
        <v>51</v>
      </c>
      <c r="E72" s="346">
        <v>0</v>
      </c>
      <c r="F72" s="346">
        <v>254</v>
      </c>
      <c r="G72" s="345" t="s">
        <v>2559</v>
      </c>
      <c r="H72" s="130" t="str">
        <f t="shared" si="15"/>
        <v>0347</v>
      </c>
      <c r="I72" s="61">
        <v>1</v>
      </c>
      <c r="J72" s="61"/>
      <c r="K72" s="181"/>
      <c r="L72" s="181">
        <f t="shared" si="12"/>
        <v>51</v>
      </c>
      <c r="M72" s="181" t="str">
        <f>MID($N$64,9,1)</f>
        <v>3</v>
      </c>
      <c r="N72" s="337"/>
    </row>
    <row r="73" spans="1:14" s="25" customFormat="1" ht="27" customHeight="1">
      <c r="A73" s="65">
        <f t="shared" si="14"/>
        <v>71</v>
      </c>
      <c r="B73" s="345" t="s">
        <v>2560</v>
      </c>
      <c r="C73" s="346">
        <f t="shared" si="13"/>
        <v>52</v>
      </c>
      <c r="D73" s="347">
        <v>56</v>
      </c>
      <c r="E73" s="346">
        <v>0</v>
      </c>
      <c r="F73" s="346">
        <v>254</v>
      </c>
      <c r="G73" s="345" t="s">
        <v>2561</v>
      </c>
      <c r="H73" s="130" t="str">
        <f t="shared" si="15"/>
        <v>0348</v>
      </c>
      <c r="I73" s="61">
        <v>1</v>
      </c>
      <c r="J73" s="61"/>
      <c r="K73" s="181"/>
      <c r="L73" s="181">
        <f t="shared" si="12"/>
        <v>52</v>
      </c>
      <c r="M73" s="181" t="str">
        <f>MID($N$64,10,1)</f>
        <v>4</v>
      </c>
      <c r="N73" s="337"/>
    </row>
    <row r="74" spans="1:14" s="25" customFormat="1" ht="27" customHeight="1">
      <c r="A74" s="65">
        <f t="shared" si="14"/>
        <v>72</v>
      </c>
      <c r="B74" s="76" t="str">
        <f>"reserved_byte" &amp;TEXT(A74,0)</f>
        <v>reserved_byte72</v>
      </c>
      <c r="C74" s="61">
        <v>0</v>
      </c>
      <c r="D74" s="61">
        <v>0</v>
      </c>
      <c r="E74" s="59">
        <v>0</v>
      </c>
      <c r="F74" s="59">
        <v>255</v>
      </c>
      <c r="G74" s="76" t="s">
        <v>59</v>
      </c>
      <c r="H74" s="64" t="str">
        <f t="shared" ref="H74:H77" si="16">DEC2HEX((HEX2DEC(H73)+1),4)</f>
        <v>0349</v>
      </c>
      <c r="I74" s="59">
        <v>1</v>
      </c>
      <c r="J74" s="61"/>
    </row>
    <row r="75" spans="1:14" s="25" customFormat="1" ht="27" customHeight="1">
      <c r="A75" s="65">
        <f t="shared" si="14"/>
        <v>73</v>
      </c>
      <c r="B75" s="76" t="str">
        <f>"reserved_byte" &amp;TEXT(A75,0)</f>
        <v>reserved_byte73</v>
      </c>
      <c r="C75" s="61">
        <v>0</v>
      </c>
      <c r="D75" s="61">
        <v>0</v>
      </c>
      <c r="E75" s="59">
        <v>0</v>
      </c>
      <c r="F75" s="59">
        <v>255</v>
      </c>
      <c r="G75" s="76" t="s">
        <v>59</v>
      </c>
      <c r="H75" s="64" t="str">
        <f t="shared" si="16"/>
        <v>034A</v>
      </c>
      <c r="I75" s="59">
        <v>1</v>
      </c>
      <c r="J75" s="61"/>
    </row>
    <row r="76" spans="1:14" s="25" customFormat="1" ht="27" customHeight="1">
      <c r="A76" s="65">
        <f t="shared" si="14"/>
        <v>74</v>
      </c>
      <c r="B76" s="76" t="str">
        <f>"reserved_byte" &amp;TEXT(A76,0)</f>
        <v>reserved_byte74</v>
      </c>
      <c r="C76" s="61">
        <v>0</v>
      </c>
      <c r="D76" s="61">
        <v>0</v>
      </c>
      <c r="E76" s="59">
        <v>0</v>
      </c>
      <c r="F76" s="59">
        <v>255</v>
      </c>
      <c r="G76" s="76" t="s">
        <v>59</v>
      </c>
      <c r="H76" s="64" t="str">
        <f t="shared" si="16"/>
        <v>034B</v>
      </c>
      <c r="I76" s="59">
        <v>1</v>
      </c>
      <c r="J76" s="61"/>
    </row>
    <row r="77" spans="1:14" s="25" customFormat="1" ht="27" customHeight="1">
      <c r="A77" s="65">
        <f t="shared" si="14"/>
        <v>75</v>
      </c>
      <c r="B77" s="76" t="str">
        <f>"reserved_byte" &amp;TEXT(A77,0)</f>
        <v>reserved_byte75</v>
      </c>
      <c r="C77" s="61">
        <v>0</v>
      </c>
      <c r="D77" s="61">
        <v>0</v>
      </c>
      <c r="E77" s="59">
        <v>0</v>
      </c>
      <c r="F77" s="59">
        <v>255</v>
      </c>
      <c r="G77" s="76" t="s">
        <v>59</v>
      </c>
      <c r="H77" s="64" t="str">
        <f t="shared" si="16"/>
        <v>034C</v>
      </c>
      <c r="I77" s="59">
        <v>1</v>
      </c>
      <c r="J77" s="61"/>
    </row>
  </sheetData>
  <dataValidations count="3">
    <dataValidation type="decimal" operator="lessThanOrEqual" allowBlank="1" showInputMessage="1" showErrorMessage="1" sqref="F2:F77">
      <formula1>255</formula1>
    </dataValidation>
    <dataValidation type="decimal" allowBlank="1" showInputMessage="1" showErrorMessage="1" sqref="D19:D66 C72:C1048576 D72:D77 C2:C66 C67:D71">
      <formula1>E2</formula1>
      <formula2>F2</formula2>
    </dataValidation>
    <dataValidation type="decimal" allowBlank="1" showInputMessage="1" showErrorMessage="1" sqref="D2:D18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7">
    <tabColor rgb="FFFF0000"/>
    <pageSetUpPr fitToPage="1"/>
  </sheetPr>
  <dimension ref="A1:J49"/>
  <sheetViews>
    <sheetView topLeftCell="A49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>"reserved_byte" &amp;TEXT(A2,0)</f>
        <v>reserved_byte0</v>
      </c>
      <c r="C2" s="129">
        <v>255</v>
      </c>
      <c r="D2" s="129">
        <v>255</v>
      </c>
      <c r="E2" s="61">
        <v>0</v>
      </c>
      <c r="F2" s="61">
        <v>255</v>
      </c>
      <c r="G2" s="76" t="s">
        <v>59</v>
      </c>
      <c r="H2" s="63">
        <v>501</v>
      </c>
      <c r="I2" s="61">
        <v>1</v>
      </c>
      <c r="J2" s="61"/>
    </row>
    <row r="3" spans="1:10" s="25" customFormat="1" ht="27" customHeight="1">
      <c r="A3" s="65">
        <f t="shared" ref="A3:A49" si="0">A2+1</f>
        <v>1</v>
      </c>
      <c r="B3" s="76" t="s">
        <v>1336</v>
      </c>
      <c r="C3" s="129">
        <v>255</v>
      </c>
      <c r="D3" s="129">
        <v>255</v>
      </c>
      <c r="E3" s="61">
        <v>0</v>
      </c>
      <c r="F3" s="61">
        <v>255</v>
      </c>
      <c r="G3" s="76" t="s">
        <v>1337</v>
      </c>
      <c r="H3" s="130" t="str">
        <f t="shared" ref="H3:H49" si="1">DEC2HEX((HEX2DEC(H2)+1),4)</f>
        <v>0502</v>
      </c>
      <c r="I3" s="61">
        <v>1</v>
      </c>
      <c r="J3" s="61"/>
    </row>
    <row r="4" spans="1:10" s="25" customFormat="1" ht="27" customHeight="1">
      <c r="A4" s="65">
        <f t="shared" si="0"/>
        <v>2</v>
      </c>
      <c r="B4" s="76" t="s">
        <v>1338</v>
      </c>
      <c r="C4" s="129">
        <v>255</v>
      </c>
      <c r="D4" s="129">
        <v>255</v>
      </c>
      <c r="E4" s="61">
        <v>0</v>
      </c>
      <c r="F4" s="61">
        <v>255</v>
      </c>
      <c r="G4" s="76" t="s">
        <v>1339</v>
      </c>
      <c r="H4" s="130" t="str">
        <f t="shared" si="1"/>
        <v>0503</v>
      </c>
      <c r="I4" s="61">
        <v>1</v>
      </c>
      <c r="J4" s="61"/>
    </row>
    <row r="5" spans="1:10" s="25" customFormat="1" ht="27" customHeight="1">
      <c r="A5" s="65">
        <f t="shared" si="0"/>
        <v>3</v>
      </c>
      <c r="B5" s="76" t="s">
        <v>1340</v>
      </c>
      <c r="C5" s="129">
        <v>255</v>
      </c>
      <c r="D5" s="129">
        <v>255</v>
      </c>
      <c r="E5" s="61">
        <v>0</v>
      </c>
      <c r="F5" s="61">
        <v>255</v>
      </c>
      <c r="G5" s="76" t="s">
        <v>1341</v>
      </c>
      <c r="H5" s="130" t="str">
        <f t="shared" si="1"/>
        <v>0504</v>
      </c>
      <c r="I5" s="61">
        <v>1</v>
      </c>
      <c r="J5" s="61"/>
    </row>
    <row r="6" spans="1:10" s="25" customFormat="1" ht="27" customHeight="1">
      <c r="A6" s="65">
        <f t="shared" si="0"/>
        <v>4</v>
      </c>
      <c r="B6" s="76" t="s">
        <v>1342</v>
      </c>
      <c r="C6" s="129">
        <v>255</v>
      </c>
      <c r="D6" s="129">
        <v>255</v>
      </c>
      <c r="E6" s="61">
        <v>0</v>
      </c>
      <c r="F6" s="61">
        <v>255</v>
      </c>
      <c r="G6" s="76" t="s">
        <v>1343</v>
      </c>
      <c r="H6" s="130" t="str">
        <f t="shared" si="1"/>
        <v>0505</v>
      </c>
      <c r="I6" s="61">
        <v>1</v>
      </c>
      <c r="J6" s="61"/>
    </row>
    <row r="7" spans="1:10" s="25" customFormat="1" ht="27" customHeight="1">
      <c r="A7" s="65">
        <f t="shared" si="0"/>
        <v>5</v>
      </c>
      <c r="B7" s="76" t="s">
        <v>1344</v>
      </c>
      <c r="C7" s="129">
        <v>255</v>
      </c>
      <c r="D7" s="129">
        <v>255</v>
      </c>
      <c r="E7" s="61">
        <v>0</v>
      </c>
      <c r="F7" s="61">
        <v>255</v>
      </c>
      <c r="G7" s="76" t="s">
        <v>1345</v>
      </c>
      <c r="H7" s="130" t="str">
        <f t="shared" si="1"/>
        <v>0506</v>
      </c>
      <c r="I7" s="61">
        <v>1</v>
      </c>
      <c r="J7" s="61"/>
    </row>
    <row r="8" spans="1:10" s="25" customFormat="1" ht="27" customHeight="1">
      <c r="A8" s="65">
        <f t="shared" si="0"/>
        <v>6</v>
      </c>
      <c r="B8" s="76" t="s">
        <v>1346</v>
      </c>
      <c r="C8" s="129">
        <v>255</v>
      </c>
      <c r="D8" s="129">
        <v>255</v>
      </c>
      <c r="E8" s="61">
        <v>0</v>
      </c>
      <c r="F8" s="61">
        <v>255</v>
      </c>
      <c r="G8" s="76" t="s">
        <v>1347</v>
      </c>
      <c r="H8" s="130" t="str">
        <f t="shared" si="1"/>
        <v>0507</v>
      </c>
      <c r="I8" s="61">
        <v>1</v>
      </c>
      <c r="J8" s="61"/>
    </row>
    <row r="9" spans="1:10" s="25" customFormat="1" ht="27" customHeight="1">
      <c r="A9" s="65">
        <f t="shared" si="0"/>
        <v>7</v>
      </c>
      <c r="B9" s="76" t="s">
        <v>1348</v>
      </c>
      <c r="C9" s="129">
        <v>255</v>
      </c>
      <c r="D9" s="129">
        <v>255</v>
      </c>
      <c r="E9" s="61">
        <v>0</v>
      </c>
      <c r="F9" s="61">
        <v>255</v>
      </c>
      <c r="G9" s="76" t="s">
        <v>1349</v>
      </c>
      <c r="H9" s="130" t="str">
        <f t="shared" si="1"/>
        <v>0508</v>
      </c>
      <c r="I9" s="61">
        <v>1</v>
      </c>
      <c r="J9" s="61"/>
    </row>
    <row r="10" spans="1:10" s="25" customFormat="1" ht="27" customHeight="1">
      <c r="A10" s="65">
        <f t="shared" si="0"/>
        <v>8</v>
      </c>
      <c r="B10" s="76" t="s">
        <v>1350</v>
      </c>
      <c r="C10" s="129">
        <v>255</v>
      </c>
      <c r="D10" s="129">
        <v>255</v>
      </c>
      <c r="E10" s="61">
        <v>0</v>
      </c>
      <c r="F10" s="61">
        <v>255</v>
      </c>
      <c r="G10" s="76" t="s">
        <v>1351</v>
      </c>
      <c r="H10" s="130" t="str">
        <f t="shared" si="1"/>
        <v>0509</v>
      </c>
      <c r="I10" s="61">
        <v>1</v>
      </c>
      <c r="J10" s="61"/>
    </row>
    <row r="11" spans="1:10" s="25" customFormat="1" ht="27" customHeight="1">
      <c r="A11" s="65">
        <f t="shared" si="0"/>
        <v>9</v>
      </c>
      <c r="B11" s="76" t="s">
        <v>1352</v>
      </c>
      <c r="C11" s="129">
        <v>255</v>
      </c>
      <c r="D11" s="129">
        <v>255</v>
      </c>
      <c r="E11" s="61">
        <v>0</v>
      </c>
      <c r="F11" s="61">
        <v>255</v>
      </c>
      <c r="G11" s="76" t="s">
        <v>1353</v>
      </c>
      <c r="H11" s="130" t="str">
        <f t="shared" si="1"/>
        <v>050A</v>
      </c>
      <c r="I11" s="61">
        <v>1</v>
      </c>
      <c r="J11" s="61"/>
    </row>
    <row r="12" spans="1:10" s="25" customFormat="1" ht="27" customHeight="1">
      <c r="A12" s="65">
        <f t="shared" si="0"/>
        <v>10</v>
      </c>
      <c r="B12" s="76" t="s">
        <v>1354</v>
      </c>
      <c r="C12" s="129">
        <v>255</v>
      </c>
      <c r="D12" s="129">
        <v>255</v>
      </c>
      <c r="E12" s="61">
        <v>0</v>
      </c>
      <c r="F12" s="61">
        <v>255</v>
      </c>
      <c r="G12" s="76" t="s">
        <v>1355</v>
      </c>
      <c r="H12" s="130" t="str">
        <f t="shared" si="1"/>
        <v>050B</v>
      </c>
      <c r="I12" s="61">
        <v>1</v>
      </c>
      <c r="J12" s="61"/>
    </row>
    <row r="13" spans="1:10" s="25" customFormat="1" ht="27" customHeight="1">
      <c r="A13" s="65">
        <f t="shared" si="0"/>
        <v>11</v>
      </c>
      <c r="B13" s="76" t="s">
        <v>1356</v>
      </c>
      <c r="C13" s="129">
        <v>255</v>
      </c>
      <c r="D13" s="129">
        <v>255</v>
      </c>
      <c r="E13" s="61">
        <v>0</v>
      </c>
      <c r="F13" s="61">
        <v>255</v>
      </c>
      <c r="G13" s="76" t="s">
        <v>1357</v>
      </c>
      <c r="H13" s="130" t="str">
        <f t="shared" si="1"/>
        <v>050C</v>
      </c>
      <c r="I13" s="61">
        <v>1</v>
      </c>
      <c r="J13" s="61"/>
    </row>
    <row r="14" spans="1:10" s="25" customFormat="1" ht="27" customHeight="1">
      <c r="A14" s="65">
        <f t="shared" si="0"/>
        <v>12</v>
      </c>
      <c r="B14" s="76" t="s">
        <v>1358</v>
      </c>
      <c r="C14" s="129">
        <v>255</v>
      </c>
      <c r="D14" s="129">
        <v>255</v>
      </c>
      <c r="E14" s="61">
        <v>0</v>
      </c>
      <c r="F14" s="61">
        <v>255</v>
      </c>
      <c r="G14" s="76" t="s">
        <v>1359</v>
      </c>
      <c r="H14" s="130" t="str">
        <f t="shared" si="1"/>
        <v>050D</v>
      </c>
      <c r="I14" s="61">
        <v>1</v>
      </c>
      <c r="J14" s="61"/>
    </row>
    <row r="15" spans="1:10" s="25" customFormat="1" ht="27" customHeight="1">
      <c r="A15" s="65">
        <f t="shared" si="0"/>
        <v>13</v>
      </c>
      <c r="B15" s="76" t="s">
        <v>1360</v>
      </c>
      <c r="C15" s="129">
        <v>255</v>
      </c>
      <c r="D15" s="129">
        <v>255</v>
      </c>
      <c r="E15" s="61">
        <v>0</v>
      </c>
      <c r="F15" s="61">
        <v>255</v>
      </c>
      <c r="G15" s="76" t="s">
        <v>1361</v>
      </c>
      <c r="H15" s="130" t="str">
        <f t="shared" si="1"/>
        <v>050E</v>
      </c>
      <c r="I15" s="61">
        <v>1</v>
      </c>
      <c r="J15" s="61"/>
    </row>
    <row r="16" spans="1:10" s="25" customFormat="1" ht="27" customHeight="1">
      <c r="A16" s="65">
        <f t="shared" si="0"/>
        <v>14</v>
      </c>
      <c r="B16" s="76" t="s">
        <v>1362</v>
      </c>
      <c r="C16" s="129">
        <v>255</v>
      </c>
      <c r="D16" s="129">
        <v>255</v>
      </c>
      <c r="E16" s="61">
        <v>0</v>
      </c>
      <c r="F16" s="61">
        <v>255</v>
      </c>
      <c r="G16" s="76" t="s">
        <v>1363</v>
      </c>
      <c r="H16" s="130" t="str">
        <f t="shared" si="1"/>
        <v>050F</v>
      </c>
      <c r="I16" s="61">
        <v>1</v>
      </c>
      <c r="J16" s="61"/>
    </row>
    <row r="17" spans="1:10" s="25" customFormat="1" ht="27" customHeight="1">
      <c r="A17" s="65">
        <f t="shared" si="0"/>
        <v>15</v>
      </c>
      <c r="B17" s="76" t="s">
        <v>1364</v>
      </c>
      <c r="C17" s="129">
        <v>255</v>
      </c>
      <c r="D17" s="129">
        <v>255</v>
      </c>
      <c r="E17" s="61">
        <v>0</v>
      </c>
      <c r="F17" s="61">
        <v>255</v>
      </c>
      <c r="G17" s="76" t="s">
        <v>1365</v>
      </c>
      <c r="H17" s="130" t="str">
        <f t="shared" si="1"/>
        <v>0510</v>
      </c>
      <c r="I17" s="61">
        <v>1</v>
      </c>
      <c r="J17" s="61"/>
    </row>
    <row r="18" spans="1:10" s="25" customFormat="1" ht="27" customHeight="1">
      <c r="A18" s="65">
        <f t="shared" si="0"/>
        <v>16</v>
      </c>
      <c r="B18" s="76" t="s">
        <v>1366</v>
      </c>
      <c r="C18" s="129">
        <v>255</v>
      </c>
      <c r="D18" s="129">
        <v>255</v>
      </c>
      <c r="E18" s="61">
        <v>0</v>
      </c>
      <c r="F18" s="61">
        <v>255</v>
      </c>
      <c r="G18" s="76" t="s">
        <v>1367</v>
      </c>
      <c r="H18" s="130" t="str">
        <f t="shared" si="1"/>
        <v>0511</v>
      </c>
      <c r="I18" s="61">
        <v>1</v>
      </c>
      <c r="J18" s="61"/>
    </row>
    <row r="19" spans="1:10" s="25" customFormat="1" ht="27" customHeight="1">
      <c r="A19" s="65">
        <f t="shared" si="0"/>
        <v>17</v>
      </c>
      <c r="B19" s="76" t="s">
        <v>1368</v>
      </c>
      <c r="C19" s="129">
        <v>255</v>
      </c>
      <c r="D19" s="129">
        <v>255</v>
      </c>
      <c r="E19" s="61">
        <v>0</v>
      </c>
      <c r="F19" s="61">
        <v>255</v>
      </c>
      <c r="G19" s="76" t="s">
        <v>1369</v>
      </c>
      <c r="H19" s="130" t="str">
        <f t="shared" si="1"/>
        <v>0512</v>
      </c>
      <c r="I19" s="61">
        <v>1</v>
      </c>
      <c r="J19" s="61"/>
    </row>
    <row r="20" spans="1:10" s="25" customFormat="1" ht="27" customHeight="1">
      <c r="A20" s="65">
        <f t="shared" si="0"/>
        <v>18</v>
      </c>
      <c r="B20" s="76" t="s">
        <v>1370</v>
      </c>
      <c r="C20" s="129">
        <v>255</v>
      </c>
      <c r="D20" s="129">
        <v>255</v>
      </c>
      <c r="E20" s="61">
        <v>0</v>
      </c>
      <c r="F20" s="61">
        <v>255</v>
      </c>
      <c r="G20" s="76" t="s">
        <v>1371</v>
      </c>
      <c r="H20" s="130" t="str">
        <f t="shared" si="1"/>
        <v>0513</v>
      </c>
      <c r="I20" s="61">
        <v>1</v>
      </c>
      <c r="J20" s="61"/>
    </row>
    <row r="21" spans="1:10" s="25" customFormat="1" ht="27" customHeight="1">
      <c r="A21" s="65">
        <f t="shared" si="0"/>
        <v>19</v>
      </c>
      <c r="B21" s="76" t="s">
        <v>1372</v>
      </c>
      <c r="C21" s="129">
        <v>255</v>
      </c>
      <c r="D21" s="129">
        <v>255</v>
      </c>
      <c r="E21" s="61">
        <v>0</v>
      </c>
      <c r="F21" s="61">
        <v>255</v>
      </c>
      <c r="G21" s="76" t="s">
        <v>1373</v>
      </c>
      <c r="H21" s="130" t="str">
        <f t="shared" si="1"/>
        <v>0514</v>
      </c>
      <c r="I21" s="61">
        <v>1</v>
      </c>
      <c r="J21" s="61"/>
    </row>
    <row r="22" spans="1:10" s="25" customFormat="1" ht="27" customHeight="1">
      <c r="A22" s="65">
        <f t="shared" si="0"/>
        <v>20</v>
      </c>
      <c r="B22" s="76" t="s">
        <v>1374</v>
      </c>
      <c r="C22" s="129">
        <v>255</v>
      </c>
      <c r="D22" s="129">
        <v>255</v>
      </c>
      <c r="E22" s="61">
        <v>0</v>
      </c>
      <c r="F22" s="61">
        <v>255</v>
      </c>
      <c r="G22" s="76" t="s">
        <v>1375</v>
      </c>
      <c r="H22" s="130" t="str">
        <f t="shared" si="1"/>
        <v>0515</v>
      </c>
      <c r="I22" s="61">
        <v>1</v>
      </c>
      <c r="J22" s="61"/>
    </row>
    <row r="23" spans="1:10" s="25" customFormat="1" ht="27" customHeight="1">
      <c r="A23" s="65">
        <f t="shared" si="0"/>
        <v>21</v>
      </c>
      <c r="B23" s="76" t="s">
        <v>1376</v>
      </c>
      <c r="C23" s="129">
        <v>255</v>
      </c>
      <c r="D23" s="129">
        <v>255</v>
      </c>
      <c r="E23" s="61">
        <v>0</v>
      </c>
      <c r="F23" s="61">
        <v>255</v>
      </c>
      <c r="G23" s="76" t="s">
        <v>1377</v>
      </c>
      <c r="H23" s="130" t="str">
        <f t="shared" si="1"/>
        <v>0516</v>
      </c>
      <c r="I23" s="61">
        <v>1</v>
      </c>
      <c r="J23" s="61"/>
    </row>
    <row r="24" spans="1:10" s="25" customFormat="1" ht="27" customHeight="1">
      <c r="A24" s="65">
        <f t="shared" si="0"/>
        <v>22</v>
      </c>
      <c r="B24" s="76" t="s">
        <v>1378</v>
      </c>
      <c r="C24" s="129">
        <v>255</v>
      </c>
      <c r="D24" s="129">
        <v>255</v>
      </c>
      <c r="E24" s="61">
        <v>0</v>
      </c>
      <c r="F24" s="61">
        <v>255</v>
      </c>
      <c r="G24" s="76" t="s">
        <v>1379</v>
      </c>
      <c r="H24" s="130" t="str">
        <f t="shared" si="1"/>
        <v>0517</v>
      </c>
      <c r="I24" s="61">
        <v>1</v>
      </c>
      <c r="J24" s="61"/>
    </row>
    <row r="25" spans="1:10" s="25" customFormat="1" ht="27" customHeight="1">
      <c r="A25" s="65">
        <f t="shared" si="0"/>
        <v>23</v>
      </c>
      <c r="B25" s="76" t="s">
        <v>1380</v>
      </c>
      <c r="C25" s="129">
        <v>255</v>
      </c>
      <c r="D25" s="129">
        <v>255</v>
      </c>
      <c r="E25" s="61">
        <v>0</v>
      </c>
      <c r="F25" s="61">
        <v>255</v>
      </c>
      <c r="G25" s="76" t="s">
        <v>1381</v>
      </c>
      <c r="H25" s="130" t="str">
        <f t="shared" si="1"/>
        <v>0518</v>
      </c>
      <c r="I25" s="61">
        <v>1</v>
      </c>
      <c r="J25" s="61"/>
    </row>
    <row r="26" spans="1:10" s="25" customFormat="1" ht="27" customHeight="1">
      <c r="A26" s="65">
        <f t="shared" si="0"/>
        <v>24</v>
      </c>
      <c r="B26" s="76" t="s">
        <v>1382</v>
      </c>
      <c r="C26" s="129">
        <v>255</v>
      </c>
      <c r="D26" s="129">
        <v>255</v>
      </c>
      <c r="E26" s="61">
        <v>0</v>
      </c>
      <c r="F26" s="61">
        <v>255</v>
      </c>
      <c r="G26" s="76" t="s">
        <v>1383</v>
      </c>
      <c r="H26" s="130" t="str">
        <f t="shared" si="1"/>
        <v>0519</v>
      </c>
      <c r="I26" s="61">
        <v>1</v>
      </c>
      <c r="J26" s="61"/>
    </row>
    <row r="27" spans="1:10" s="25" customFormat="1" ht="27" customHeight="1">
      <c r="A27" s="65">
        <f t="shared" si="0"/>
        <v>25</v>
      </c>
      <c r="B27" s="76" t="s">
        <v>1384</v>
      </c>
      <c r="C27" s="129">
        <v>255</v>
      </c>
      <c r="D27" s="129">
        <v>255</v>
      </c>
      <c r="E27" s="61">
        <v>0</v>
      </c>
      <c r="F27" s="61">
        <v>255</v>
      </c>
      <c r="G27" s="76" t="s">
        <v>1385</v>
      </c>
      <c r="H27" s="130" t="str">
        <f t="shared" si="1"/>
        <v>051A</v>
      </c>
      <c r="I27" s="61">
        <v>1</v>
      </c>
      <c r="J27" s="61"/>
    </row>
    <row r="28" spans="1:10" s="25" customFormat="1" ht="27" customHeight="1">
      <c r="A28" s="65">
        <f t="shared" si="0"/>
        <v>26</v>
      </c>
      <c r="B28" s="76" t="s">
        <v>1386</v>
      </c>
      <c r="C28" s="129">
        <v>255</v>
      </c>
      <c r="D28" s="129">
        <v>255</v>
      </c>
      <c r="E28" s="61">
        <v>0</v>
      </c>
      <c r="F28" s="61">
        <v>255</v>
      </c>
      <c r="G28" s="76" t="s">
        <v>1387</v>
      </c>
      <c r="H28" s="130" t="str">
        <f t="shared" si="1"/>
        <v>051B</v>
      </c>
      <c r="I28" s="61">
        <v>1</v>
      </c>
      <c r="J28" s="61"/>
    </row>
    <row r="29" spans="1:10" s="25" customFormat="1" ht="27" customHeight="1">
      <c r="A29" s="65">
        <f t="shared" si="0"/>
        <v>27</v>
      </c>
      <c r="B29" s="76" t="s">
        <v>1388</v>
      </c>
      <c r="C29" s="129">
        <v>255</v>
      </c>
      <c r="D29" s="129">
        <v>255</v>
      </c>
      <c r="E29" s="61">
        <v>0</v>
      </c>
      <c r="F29" s="61">
        <v>255</v>
      </c>
      <c r="G29" s="76" t="s">
        <v>1389</v>
      </c>
      <c r="H29" s="130" t="str">
        <f t="shared" si="1"/>
        <v>051C</v>
      </c>
      <c r="I29" s="61">
        <v>1</v>
      </c>
      <c r="J29" s="61"/>
    </row>
    <row r="30" spans="1:10" s="25" customFormat="1" ht="27" customHeight="1">
      <c r="A30" s="65">
        <f t="shared" si="0"/>
        <v>28</v>
      </c>
      <c r="B30" s="76" t="s">
        <v>1390</v>
      </c>
      <c r="C30" s="129">
        <v>32</v>
      </c>
      <c r="D30" s="129">
        <v>32</v>
      </c>
      <c r="E30" s="61">
        <v>0</v>
      </c>
      <c r="F30" s="61">
        <v>255</v>
      </c>
      <c r="G30" s="76" t="s">
        <v>1391</v>
      </c>
      <c r="H30" s="130" t="str">
        <f t="shared" si="1"/>
        <v>051D</v>
      </c>
      <c r="I30" s="61">
        <v>1</v>
      </c>
      <c r="J30" s="61"/>
    </row>
    <row r="31" spans="1:10" s="25" customFormat="1" ht="27" customHeight="1">
      <c r="A31" s="65">
        <f t="shared" si="0"/>
        <v>29</v>
      </c>
      <c r="B31" s="76" t="s">
        <v>1392</v>
      </c>
      <c r="C31" s="129">
        <v>32</v>
      </c>
      <c r="D31" s="129">
        <v>32</v>
      </c>
      <c r="E31" s="61">
        <v>0</v>
      </c>
      <c r="F31" s="61">
        <v>255</v>
      </c>
      <c r="G31" s="76" t="s">
        <v>1393</v>
      </c>
      <c r="H31" s="130" t="str">
        <f t="shared" si="1"/>
        <v>051E</v>
      </c>
      <c r="I31" s="61">
        <v>1</v>
      </c>
      <c r="J31" s="61"/>
    </row>
    <row r="32" spans="1:10" s="25" customFormat="1" ht="27" customHeight="1">
      <c r="A32" s="65">
        <f t="shared" si="0"/>
        <v>30</v>
      </c>
      <c r="B32" s="76" t="s">
        <v>1394</v>
      </c>
      <c r="C32" s="129">
        <v>32</v>
      </c>
      <c r="D32" s="129">
        <v>32</v>
      </c>
      <c r="E32" s="61">
        <v>0</v>
      </c>
      <c r="F32" s="61">
        <v>255</v>
      </c>
      <c r="G32" s="76" t="s">
        <v>1395</v>
      </c>
      <c r="H32" s="130" t="str">
        <f t="shared" si="1"/>
        <v>051F</v>
      </c>
      <c r="I32" s="61">
        <v>1</v>
      </c>
      <c r="J32" s="61"/>
    </row>
    <row r="33" spans="1:10" s="25" customFormat="1" ht="27" customHeight="1">
      <c r="A33" s="65">
        <f t="shared" si="0"/>
        <v>31</v>
      </c>
      <c r="B33" s="76" t="s">
        <v>1396</v>
      </c>
      <c r="C33" s="129">
        <v>32</v>
      </c>
      <c r="D33" s="129">
        <v>32</v>
      </c>
      <c r="E33" s="61">
        <v>0</v>
      </c>
      <c r="F33" s="61">
        <v>255</v>
      </c>
      <c r="G33" s="76" t="s">
        <v>1397</v>
      </c>
      <c r="H33" s="130" t="str">
        <f t="shared" si="1"/>
        <v>0520</v>
      </c>
      <c r="I33" s="61">
        <v>1</v>
      </c>
      <c r="J33" s="61"/>
    </row>
    <row r="34" spans="1:10" s="25" customFormat="1" ht="27" customHeight="1">
      <c r="A34" s="65">
        <f t="shared" si="0"/>
        <v>32</v>
      </c>
      <c r="B34" s="76" t="s">
        <v>1398</v>
      </c>
      <c r="C34" s="129">
        <v>32</v>
      </c>
      <c r="D34" s="129">
        <v>32</v>
      </c>
      <c r="E34" s="61">
        <v>0</v>
      </c>
      <c r="F34" s="61">
        <v>255</v>
      </c>
      <c r="G34" s="76" t="s">
        <v>1399</v>
      </c>
      <c r="H34" s="130" t="str">
        <f t="shared" si="1"/>
        <v>0521</v>
      </c>
      <c r="I34" s="61">
        <v>1</v>
      </c>
      <c r="J34" s="61"/>
    </row>
    <row r="35" spans="1:10" s="25" customFormat="1" ht="27" customHeight="1">
      <c r="A35" s="65">
        <f t="shared" si="0"/>
        <v>33</v>
      </c>
      <c r="B35" s="76" t="s">
        <v>1400</v>
      </c>
      <c r="C35" s="129">
        <v>32</v>
      </c>
      <c r="D35" s="129">
        <v>32</v>
      </c>
      <c r="E35" s="61">
        <v>0</v>
      </c>
      <c r="F35" s="61">
        <v>255</v>
      </c>
      <c r="G35" s="76" t="s">
        <v>1401</v>
      </c>
      <c r="H35" s="130" t="str">
        <f t="shared" si="1"/>
        <v>0522</v>
      </c>
      <c r="I35" s="61">
        <v>1</v>
      </c>
      <c r="J35" s="61"/>
    </row>
    <row r="36" spans="1:10" s="25" customFormat="1" ht="27" customHeight="1">
      <c r="A36" s="65">
        <f t="shared" si="0"/>
        <v>34</v>
      </c>
      <c r="B36" s="76" t="s">
        <v>1402</v>
      </c>
      <c r="C36" s="129">
        <v>32</v>
      </c>
      <c r="D36" s="129">
        <v>32</v>
      </c>
      <c r="E36" s="61">
        <v>0</v>
      </c>
      <c r="F36" s="61">
        <v>255</v>
      </c>
      <c r="G36" s="76" t="s">
        <v>1403</v>
      </c>
      <c r="H36" s="130" t="str">
        <f t="shared" si="1"/>
        <v>0523</v>
      </c>
      <c r="I36" s="61">
        <v>1</v>
      </c>
      <c r="J36" s="61"/>
    </row>
    <row r="37" spans="1:10" s="25" customFormat="1" ht="27" customHeight="1">
      <c r="A37" s="65">
        <f t="shared" si="0"/>
        <v>35</v>
      </c>
      <c r="B37" s="76" t="s">
        <v>1404</v>
      </c>
      <c r="C37" s="129">
        <v>32</v>
      </c>
      <c r="D37" s="129">
        <v>32</v>
      </c>
      <c r="E37" s="61">
        <v>0</v>
      </c>
      <c r="F37" s="61">
        <v>255</v>
      </c>
      <c r="G37" s="76" t="s">
        <v>1405</v>
      </c>
      <c r="H37" s="130" t="str">
        <f t="shared" si="1"/>
        <v>0524</v>
      </c>
      <c r="I37" s="61">
        <v>1</v>
      </c>
      <c r="J37" s="61"/>
    </row>
    <row r="38" spans="1:10" s="25" customFormat="1" ht="27" customHeight="1">
      <c r="A38" s="65">
        <f t="shared" si="0"/>
        <v>36</v>
      </c>
      <c r="B38" s="76" t="s">
        <v>1406</v>
      </c>
      <c r="C38" s="129">
        <v>32</v>
      </c>
      <c r="D38" s="129">
        <v>32</v>
      </c>
      <c r="E38" s="61">
        <v>0</v>
      </c>
      <c r="F38" s="61">
        <v>255</v>
      </c>
      <c r="G38" s="76" t="s">
        <v>1407</v>
      </c>
      <c r="H38" s="130" t="str">
        <f t="shared" si="1"/>
        <v>0525</v>
      </c>
      <c r="I38" s="61">
        <v>1</v>
      </c>
      <c r="J38" s="61"/>
    </row>
    <row r="39" spans="1:10" s="25" customFormat="1" ht="27" customHeight="1">
      <c r="A39" s="65">
        <f t="shared" si="0"/>
        <v>37</v>
      </c>
      <c r="B39" s="76" t="s">
        <v>1408</v>
      </c>
      <c r="C39" s="129">
        <v>32</v>
      </c>
      <c r="D39" s="129">
        <v>32</v>
      </c>
      <c r="E39" s="61">
        <v>0</v>
      </c>
      <c r="F39" s="61">
        <v>255</v>
      </c>
      <c r="G39" s="76" t="s">
        <v>1409</v>
      </c>
      <c r="H39" s="130" t="str">
        <f t="shared" si="1"/>
        <v>0526</v>
      </c>
      <c r="I39" s="61">
        <v>1</v>
      </c>
      <c r="J39" s="61"/>
    </row>
    <row r="40" spans="1:10" s="25" customFormat="1" ht="27" customHeight="1">
      <c r="A40" s="65">
        <f t="shared" si="0"/>
        <v>38</v>
      </c>
      <c r="B40" s="76" t="s">
        <v>1410</v>
      </c>
      <c r="C40" s="129">
        <v>32</v>
      </c>
      <c r="D40" s="129">
        <v>32</v>
      </c>
      <c r="E40" s="61">
        <v>0</v>
      </c>
      <c r="F40" s="61">
        <v>255</v>
      </c>
      <c r="G40" s="76" t="s">
        <v>1411</v>
      </c>
      <c r="H40" s="130" t="str">
        <f t="shared" si="1"/>
        <v>0527</v>
      </c>
      <c r="I40" s="61">
        <v>1</v>
      </c>
      <c r="J40" s="61"/>
    </row>
    <row r="41" spans="1:10" s="25" customFormat="1" ht="27" customHeight="1">
      <c r="A41" s="65">
        <f t="shared" si="0"/>
        <v>39</v>
      </c>
      <c r="B41" s="76" t="s">
        <v>1412</v>
      </c>
      <c r="C41" s="129">
        <v>32</v>
      </c>
      <c r="D41" s="129">
        <v>32</v>
      </c>
      <c r="E41" s="61">
        <v>0</v>
      </c>
      <c r="F41" s="61">
        <v>255</v>
      </c>
      <c r="G41" s="76" t="s">
        <v>1413</v>
      </c>
      <c r="H41" s="130" t="str">
        <f t="shared" si="1"/>
        <v>0528</v>
      </c>
      <c r="I41" s="61">
        <v>1</v>
      </c>
      <c r="J41" s="61"/>
    </row>
    <row r="42" spans="1:10" s="25" customFormat="1" ht="27" customHeight="1">
      <c r="A42" s="65">
        <f t="shared" si="0"/>
        <v>40</v>
      </c>
      <c r="B42" s="76" t="s">
        <v>1414</v>
      </c>
      <c r="C42" s="129">
        <v>32</v>
      </c>
      <c r="D42" s="129">
        <v>32</v>
      </c>
      <c r="E42" s="61">
        <v>0</v>
      </c>
      <c r="F42" s="61">
        <v>255</v>
      </c>
      <c r="G42" s="76" t="s">
        <v>1415</v>
      </c>
      <c r="H42" s="130" t="str">
        <f t="shared" si="1"/>
        <v>0529</v>
      </c>
      <c r="I42" s="61">
        <v>1</v>
      </c>
      <c r="J42" s="61"/>
    </row>
    <row r="43" spans="1:10" s="25" customFormat="1" ht="27" customHeight="1">
      <c r="A43" s="65">
        <f t="shared" si="0"/>
        <v>41</v>
      </c>
      <c r="B43" s="76" t="s">
        <v>1416</v>
      </c>
      <c r="C43" s="129">
        <v>32</v>
      </c>
      <c r="D43" s="129">
        <v>32</v>
      </c>
      <c r="E43" s="61">
        <v>0</v>
      </c>
      <c r="F43" s="61">
        <v>255</v>
      </c>
      <c r="G43" s="76" t="s">
        <v>1417</v>
      </c>
      <c r="H43" s="130" t="str">
        <f t="shared" si="1"/>
        <v>052A</v>
      </c>
      <c r="I43" s="61">
        <v>1</v>
      </c>
      <c r="J43" s="61"/>
    </row>
    <row r="44" spans="1:10" s="25" customFormat="1" ht="27" customHeight="1">
      <c r="A44" s="65">
        <f t="shared" si="0"/>
        <v>42</v>
      </c>
      <c r="B44" s="76" t="s">
        <v>1418</v>
      </c>
      <c r="C44" s="129">
        <v>32</v>
      </c>
      <c r="D44" s="129">
        <v>32</v>
      </c>
      <c r="E44" s="61">
        <v>0</v>
      </c>
      <c r="F44" s="61">
        <v>255</v>
      </c>
      <c r="G44" s="76" t="s">
        <v>1419</v>
      </c>
      <c r="H44" s="130" t="str">
        <f t="shared" si="1"/>
        <v>052B</v>
      </c>
      <c r="I44" s="61">
        <v>1</v>
      </c>
      <c r="J44" s="61"/>
    </row>
    <row r="45" spans="1:10" s="25" customFormat="1" ht="27" customHeight="1">
      <c r="A45" s="65">
        <f t="shared" si="0"/>
        <v>43</v>
      </c>
      <c r="B45" s="76" t="s">
        <v>1420</v>
      </c>
      <c r="C45" s="129">
        <v>32</v>
      </c>
      <c r="D45" s="129">
        <v>32</v>
      </c>
      <c r="E45" s="61">
        <v>0</v>
      </c>
      <c r="F45" s="61">
        <v>255</v>
      </c>
      <c r="G45" s="76" t="s">
        <v>1421</v>
      </c>
      <c r="H45" s="130" t="str">
        <f t="shared" si="1"/>
        <v>052C</v>
      </c>
      <c r="I45" s="61">
        <v>1</v>
      </c>
      <c r="J45" s="61"/>
    </row>
    <row r="46" spans="1:10" s="25" customFormat="1" ht="27" customHeight="1">
      <c r="A46" s="65">
        <f t="shared" si="0"/>
        <v>44</v>
      </c>
      <c r="B46" s="76" t="str">
        <f>"reserved_byte" &amp;TEXT(A46,0)</f>
        <v>reserved_byte44</v>
      </c>
      <c r="C46" s="129">
        <v>255</v>
      </c>
      <c r="D46" s="129">
        <v>255</v>
      </c>
      <c r="E46" s="61">
        <v>0</v>
      </c>
      <c r="F46" s="61">
        <v>255</v>
      </c>
      <c r="G46" s="76" t="s">
        <v>59</v>
      </c>
      <c r="H46" s="130" t="str">
        <f t="shared" si="1"/>
        <v>052D</v>
      </c>
      <c r="I46" s="61">
        <v>1</v>
      </c>
      <c r="J46" s="61"/>
    </row>
    <row r="47" spans="1:10" s="25" customFormat="1" ht="27" customHeight="1">
      <c r="A47" s="65">
        <f t="shared" si="0"/>
        <v>45</v>
      </c>
      <c r="B47" s="76" t="str">
        <f t="shared" ref="B47:B48" si="2">"reserved_byte" &amp;TEXT(A47,0)</f>
        <v>reserved_byte45</v>
      </c>
      <c r="C47" s="129">
        <v>255</v>
      </c>
      <c r="D47" s="129">
        <v>255</v>
      </c>
      <c r="E47" s="61">
        <v>0</v>
      </c>
      <c r="F47" s="61">
        <v>255</v>
      </c>
      <c r="G47" s="76" t="s">
        <v>59</v>
      </c>
      <c r="H47" s="130" t="str">
        <f t="shared" si="1"/>
        <v>052E</v>
      </c>
      <c r="I47" s="61">
        <v>1</v>
      </c>
      <c r="J47" s="61"/>
    </row>
    <row r="48" spans="1:10" s="25" customFormat="1" ht="27" customHeight="1">
      <c r="A48" s="65">
        <f t="shared" si="0"/>
        <v>46</v>
      </c>
      <c r="B48" s="76" t="str">
        <f t="shared" si="2"/>
        <v>reserved_byte46</v>
      </c>
      <c r="C48" s="129">
        <v>255</v>
      </c>
      <c r="D48" s="129">
        <v>255</v>
      </c>
      <c r="E48" s="61">
        <v>0</v>
      </c>
      <c r="F48" s="61">
        <v>255</v>
      </c>
      <c r="G48" s="76" t="s">
        <v>59</v>
      </c>
      <c r="H48" s="130" t="str">
        <f t="shared" si="1"/>
        <v>052F</v>
      </c>
      <c r="I48" s="61">
        <v>1</v>
      </c>
      <c r="J48" s="61"/>
    </row>
    <row r="49" spans="1:10" s="25" customFormat="1" ht="27" customHeight="1">
      <c r="A49" s="65">
        <f t="shared" si="0"/>
        <v>47</v>
      </c>
      <c r="B49" s="76" t="s">
        <v>1422</v>
      </c>
      <c r="C49" s="129">
        <v>255</v>
      </c>
      <c r="D49" s="129">
        <v>255</v>
      </c>
      <c r="E49" s="61">
        <v>0</v>
      </c>
      <c r="F49" s="61">
        <v>255</v>
      </c>
      <c r="G49" s="76" t="s">
        <v>1423</v>
      </c>
      <c r="H49" s="130" t="str">
        <f t="shared" si="1"/>
        <v>0530</v>
      </c>
      <c r="I49" s="61">
        <v>1</v>
      </c>
      <c r="J49" s="61"/>
    </row>
  </sheetData>
  <dataValidations count="3">
    <dataValidation type="decimal" operator="lessThanOrEqual" allowBlank="1" showInputMessage="1" showErrorMessage="1" sqref="F2:F49">
      <formula1>255</formula1>
    </dataValidation>
    <dataValidation type="decimal" allowBlank="1" showInputMessage="1" showErrorMessage="1" sqref="C2:D49">
      <formula1>D2</formula1>
      <formula2>E2</formula2>
    </dataValidation>
    <dataValidation type="decimal" allowBlank="1" showInputMessage="1" showErrorMessage="1" sqref="C50:C1048576">
      <formula1>E50</formula1>
      <formula2>F50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8">
    <tabColor rgb="FFFF0000"/>
    <pageSetUpPr fitToPage="1"/>
  </sheetPr>
  <dimension ref="A1:J17"/>
  <sheetViews>
    <sheetView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>"reserved_byte" &amp;TEXT(A2,0)</f>
        <v>reserved_byte0</v>
      </c>
      <c r="C2" s="61">
        <v>255</v>
      </c>
      <c r="D2" s="129">
        <v>255</v>
      </c>
      <c r="E2" s="61">
        <v>0</v>
      </c>
      <c r="F2" s="61">
        <v>255</v>
      </c>
      <c r="G2" s="76" t="s">
        <v>59</v>
      </c>
      <c r="H2" s="63">
        <v>601</v>
      </c>
      <c r="I2" s="61">
        <v>1</v>
      </c>
      <c r="J2" s="61"/>
    </row>
    <row r="3" spans="1:10" s="25" customFormat="1" ht="27" customHeight="1">
      <c r="A3" s="65">
        <f t="shared" ref="A3:A17" si="0">A2+1</f>
        <v>1</v>
      </c>
      <c r="B3" s="76" t="s">
        <v>1424</v>
      </c>
      <c r="C3" s="61">
        <v>255</v>
      </c>
      <c r="D3" s="129">
        <v>255</v>
      </c>
      <c r="E3" s="61">
        <v>0</v>
      </c>
      <c r="F3" s="61">
        <v>255</v>
      </c>
      <c r="G3" s="76" t="s">
        <v>1425</v>
      </c>
      <c r="H3" s="130" t="str">
        <f t="shared" ref="H3:H17" si="1">DEC2HEX((HEX2DEC(H2)+1),4)</f>
        <v>0602</v>
      </c>
      <c r="I3" s="61">
        <v>1</v>
      </c>
      <c r="J3" s="61"/>
    </row>
    <row r="4" spans="1:10" s="25" customFormat="1" ht="27" customHeight="1">
      <c r="A4" s="65">
        <f t="shared" si="0"/>
        <v>2</v>
      </c>
      <c r="B4" s="76" t="s">
        <v>1426</v>
      </c>
      <c r="C4" s="61">
        <v>255</v>
      </c>
      <c r="D4" s="129">
        <v>255</v>
      </c>
      <c r="E4" s="61">
        <v>0</v>
      </c>
      <c r="F4" s="61">
        <v>255</v>
      </c>
      <c r="G4" s="76" t="s">
        <v>1427</v>
      </c>
      <c r="H4" s="130" t="str">
        <f t="shared" si="1"/>
        <v>0603</v>
      </c>
      <c r="I4" s="61">
        <v>1</v>
      </c>
      <c r="J4" s="61"/>
    </row>
    <row r="5" spans="1:10" s="25" customFormat="1" ht="27" customHeight="1">
      <c r="A5" s="65">
        <f t="shared" si="0"/>
        <v>3</v>
      </c>
      <c r="B5" s="76" t="s">
        <v>1428</v>
      </c>
      <c r="C5" s="61">
        <v>255</v>
      </c>
      <c r="D5" s="129">
        <v>255</v>
      </c>
      <c r="E5" s="61">
        <v>0</v>
      </c>
      <c r="F5" s="61">
        <v>255</v>
      </c>
      <c r="G5" s="76" t="s">
        <v>1429</v>
      </c>
      <c r="H5" s="130" t="str">
        <f t="shared" si="1"/>
        <v>0604</v>
      </c>
      <c r="I5" s="61">
        <v>1</v>
      </c>
      <c r="J5" s="61"/>
    </row>
    <row r="6" spans="1:10" s="25" customFormat="1" ht="27" customHeight="1">
      <c r="A6" s="65">
        <f t="shared" si="0"/>
        <v>4</v>
      </c>
      <c r="B6" s="76" t="s">
        <v>1430</v>
      </c>
      <c r="C6" s="61">
        <v>255</v>
      </c>
      <c r="D6" s="129">
        <v>255</v>
      </c>
      <c r="E6" s="61">
        <v>0</v>
      </c>
      <c r="F6" s="61">
        <v>255</v>
      </c>
      <c r="G6" s="76" t="s">
        <v>1431</v>
      </c>
      <c r="H6" s="130" t="str">
        <f t="shared" si="1"/>
        <v>0605</v>
      </c>
      <c r="I6" s="61">
        <v>1</v>
      </c>
      <c r="J6" s="61"/>
    </row>
    <row r="7" spans="1:10" s="25" customFormat="1" ht="27" customHeight="1">
      <c r="A7" s="65">
        <f t="shared" si="0"/>
        <v>5</v>
      </c>
      <c r="B7" s="76" t="s">
        <v>1432</v>
      </c>
      <c r="C7" s="61">
        <v>255</v>
      </c>
      <c r="D7" s="129">
        <v>255</v>
      </c>
      <c r="E7" s="61">
        <v>0</v>
      </c>
      <c r="F7" s="61">
        <v>255</v>
      </c>
      <c r="G7" s="76" t="s">
        <v>1433</v>
      </c>
      <c r="H7" s="130" t="str">
        <f t="shared" si="1"/>
        <v>0606</v>
      </c>
      <c r="I7" s="61">
        <v>1</v>
      </c>
      <c r="J7" s="61"/>
    </row>
    <row r="8" spans="1:10" s="25" customFormat="1" ht="27" customHeight="1">
      <c r="A8" s="65">
        <f t="shared" si="0"/>
        <v>6</v>
      </c>
      <c r="B8" s="76" t="s">
        <v>1434</v>
      </c>
      <c r="C8" s="61">
        <v>255</v>
      </c>
      <c r="D8" s="129">
        <v>255</v>
      </c>
      <c r="E8" s="61">
        <v>0</v>
      </c>
      <c r="F8" s="61">
        <v>255</v>
      </c>
      <c r="G8" s="76" t="s">
        <v>1435</v>
      </c>
      <c r="H8" s="130" t="str">
        <f t="shared" si="1"/>
        <v>0607</v>
      </c>
      <c r="I8" s="61">
        <v>1</v>
      </c>
      <c r="J8" s="61"/>
    </row>
    <row r="9" spans="1:10" s="25" customFormat="1" ht="27" customHeight="1">
      <c r="A9" s="65">
        <f t="shared" si="0"/>
        <v>7</v>
      </c>
      <c r="B9" s="76" t="s">
        <v>1436</v>
      </c>
      <c r="C9" s="61">
        <v>255</v>
      </c>
      <c r="D9" s="129">
        <v>255</v>
      </c>
      <c r="E9" s="61">
        <v>0</v>
      </c>
      <c r="F9" s="61">
        <v>255</v>
      </c>
      <c r="G9" s="76" t="s">
        <v>1437</v>
      </c>
      <c r="H9" s="130" t="str">
        <f t="shared" si="1"/>
        <v>0608</v>
      </c>
      <c r="I9" s="61">
        <v>1</v>
      </c>
      <c r="J9" s="61"/>
    </row>
    <row r="10" spans="1:10" s="25" customFormat="1" ht="27" customHeight="1">
      <c r="A10" s="65">
        <f t="shared" si="0"/>
        <v>8</v>
      </c>
      <c r="B10" s="76" t="s">
        <v>1438</v>
      </c>
      <c r="C10" s="61">
        <v>255</v>
      </c>
      <c r="D10" s="129">
        <v>255</v>
      </c>
      <c r="E10" s="61">
        <v>0</v>
      </c>
      <c r="F10" s="61">
        <v>255</v>
      </c>
      <c r="G10" s="76" t="s">
        <v>1439</v>
      </c>
      <c r="H10" s="130" t="str">
        <f t="shared" si="1"/>
        <v>0609</v>
      </c>
      <c r="I10" s="61">
        <v>1</v>
      </c>
      <c r="J10" s="61"/>
    </row>
    <row r="11" spans="1:10" s="25" customFormat="1" ht="27" customHeight="1">
      <c r="A11" s="65">
        <f t="shared" si="0"/>
        <v>9</v>
      </c>
      <c r="B11" s="76" t="s">
        <v>1440</v>
      </c>
      <c r="C11" s="61">
        <v>255</v>
      </c>
      <c r="D11" s="129">
        <v>255</v>
      </c>
      <c r="E11" s="61">
        <v>0</v>
      </c>
      <c r="F11" s="61">
        <v>255</v>
      </c>
      <c r="G11" s="76" t="s">
        <v>1441</v>
      </c>
      <c r="H11" s="130" t="str">
        <f t="shared" si="1"/>
        <v>060A</v>
      </c>
      <c r="I11" s="61">
        <v>1</v>
      </c>
      <c r="J11" s="61"/>
    </row>
    <row r="12" spans="1:10" s="25" customFormat="1" ht="27" customHeight="1">
      <c r="A12" s="65">
        <f t="shared" si="0"/>
        <v>10</v>
      </c>
      <c r="B12" s="76" t="s">
        <v>1442</v>
      </c>
      <c r="C12" s="61">
        <v>255</v>
      </c>
      <c r="D12" s="129">
        <v>255</v>
      </c>
      <c r="E12" s="61">
        <v>0</v>
      </c>
      <c r="F12" s="61">
        <v>255</v>
      </c>
      <c r="G12" s="76" t="s">
        <v>1443</v>
      </c>
      <c r="H12" s="130" t="str">
        <f t="shared" si="1"/>
        <v>060B</v>
      </c>
      <c r="I12" s="61">
        <v>1</v>
      </c>
      <c r="J12" s="61"/>
    </row>
    <row r="13" spans="1:10" s="25" customFormat="1" ht="27" customHeight="1">
      <c r="A13" s="65">
        <f t="shared" si="0"/>
        <v>11</v>
      </c>
      <c r="B13" s="76" t="s">
        <v>1444</v>
      </c>
      <c r="C13" s="61">
        <v>255</v>
      </c>
      <c r="D13" s="129">
        <v>255</v>
      </c>
      <c r="E13" s="61">
        <v>0</v>
      </c>
      <c r="F13" s="61">
        <v>255</v>
      </c>
      <c r="G13" s="76" t="s">
        <v>1445</v>
      </c>
      <c r="H13" s="130" t="str">
        <f t="shared" si="1"/>
        <v>060C</v>
      </c>
      <c r="I13" s="61">
        <v>1</v>
      </c>
      <c r="J13" s="61"/>
    </row>
    <row r="14" spans="1:10" s="25" customFormat="1" ht="27" customHeight="1">
      <c r="A14" s="65">
        <f t="shared" si="0"/>
        <v>12</v>
      </c>
      <c r="B14" s="76" t="s">
        <v>1446</v>
      </c>
      <c r="C14" s="61">
        <v>255</v>
      </c>
      <c r="D14" s="129">
        <v>255</v>
      </c>
      <c r="E14" s="61">
        <v>0</v>
      </c>
      <c r="F14" s="61">
        <v>255</v>
      </c>
      <c r="G14" s="76" t="s">
        <v>1447</v>
      </c>
      <c r="H14" s="130" t="str">
        <f t="shared" si="1"/>
        <v>060D</v>
      </c>
      <c r="I14" s="61">
        <v>1</v>
      </c>
      <c r="J14" s="61"/>
    </row>
    <row r="15" spans="1:10" s="25" customFormat="1" ht="27" customHeight="1">
      <c r="A15" s="65">
        <f t="shared" si="0"/>
        <v>13</v>
      </c>
      <c r="B15" s="76" t="s">
        <v>1448</v>
      </c>
      <c r="C15" s="61">
        <v>255</v>
      </c>
      <c r="D15" s="129">
        <v>255</v>
      </c>
      <c r="E15" s="61">
        <v>0</v>
      </c>
      <c r="F15" s="61">
        <v>255</v>
      </c>
      <c r="G15" s="76" t="s">
        <v>1449</v>
      </c>
      <c r="H15" s="130" t="str">
        <f t="shared" si="1"/>
        <v>060E</v>
      </c>
      <c r="I15" s="61">
        <v>1</v>
      </c>
      <c r="J15" s="61"/>
    </row>
    <row r="16" spans="1:10" s="25" customFormat="1" ht="27" customHeight="1">
      <c r="A16" s="65">
        <f t="shared" si="0"/>
        <v>14</v>
      </c>
      <c r="B16" s="76" t="s">
        <v>1450</v>
      </c>
      <c r="C16" s="61">
        <v>255</v>
      </c>
      <c r="D16" s="129">
        <v>255</v>
      </c>
      <c r="E16" s="61">
        <v>0</v>
      </c>
      <c r="F16" s="61">
        <v>255</v>
      </c>
      <c r="G16" s="76" t="s">
        <v>1451</v>
      </c>
      <c r="H16" s="130" t="str">
        <f t="shared" si="1"/>
        <v>060F</v>
      </c>
      <c r="I16" s="61">
        <v>1</v>
      </c>
      <c r="J16" s="61"/>
    </row>
    <row r="17" spans="1:10" s="25" customFormat="1" ht="27" customHeight="1">
      <c r="A17" s="65">
        <f t="shared" si="0"/>
        <v>15</v>
      </c>
      <c r="B17" s="76" t="s">
        <v>1452</v>
      </c>
      <c r="C17" s="61">
        <v>255</v>
      </c>
      <c r="D17" s="129">
        <v>255</v>
      </c>
      <c r="E17" s="61">
        <v>0</v>
      </c>
      <c r="F17" s="61">
        <v>255</v>
      </c>
      <c r="G17" s="76" t="s">
        <v>1453</v>
      </c>
      <c r="H17" s="130" t="str">
        <f t="shared" si="1"/>
        <v>0610</v>
      </c>
      <c r="I17" s="61">
        <v>1</v>
      </c>
      <c r="J17" s="61"/>
    </row>
  </sheetData>
  <dataValidations count="4">
    <dataValidation type="decimal" operator="lessThanOrEqual" allowBlank="1" showInputMessage="1" showErrorMessage="1" sqref="F2">
      <formula1>255</formula1>
    </dataValidation>
    <dataValidation type="decimal" allowBlank="1" showInputMessage="1" showErrorMessage="1" sqref="D2:D17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  <dataValidation type="decimal" operator="lessThan" allowBlank="1" showInputMessage="1" showErrorMessage="1" sqref="F3:F17">
      <formula1>256</formula1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9">
    <tabColor rgb="FFFF0000"/>
    <pageSetUpPr fitToPage="1"/>
  </sheetPr>
  <dimension ref="A1:J153"/>
  <sheetViews>
    <sheetView topLeftCell="A142" zoomScale="70" zoomScaleNormal="70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">
        <v>1454</v>
      </c>
      <c r="C2" s="59">
        <v>0</v>
      </c>
      <c r="D2" s="59">
        <v>0</v>
      </c>
      <c r="E2" s="59">
        <v>0</v>
      </c>
      <c r="F2" s="59">
        <v>255</v>
      </c>
      <c r="G2" s="76" t="s">
        <v>1518</v>
      </c>
      <c r="H2" s="63">
        <v>701</v>
      </c>
      <c r="I2" s="59">
        <v>1</v>
      </c>
      <c r="J2" s="61"/>
    </row>
    <row r="3" spans="1:10" s="25" customFormat="1" ht="27" customHeight="1">
      <c r="A3" s="65">
        <f t="shared" ref="A3:A34" si="0">A2+1</f>
        <v>1</v>
      </c>
      <c r="B3" s="76" t="s">
        <v>1455</v>
      </c>
      <c r="C3" s="59">
        <v>0</v>
      </c>
      <c r="D3" s="59">
        <v>0</v>
      </c>
      <c r="E3" s="59">
        <v>0</v>
      </c>
      <c r="F3" s="59">
        <v>255</v>
      </c>
      <c r="G3" s="76" t="s">
        <v>1518</v>
      </c>
      <c r="H3" s="64" t="str">
        <f t="shared" ref="H3:H34" si="1">DEC2HEX((HEX2DEC(H2)+1),4)</f>
        <v>0702</v>
      </c>
      <c r="I3" s="59">
        <v>1</v>
      </c>
      <c r="J3" s="61"/>
    </row>
    <row r="4" spans="1:10" s="25" customFormat="1" ht="27" customHeight="1">
      <c r="A4" s="65">
        <f t="shared" si="0"/>
        <v>2</v>
      </c>
      <c r="B4" s="76" t="s">
        <v>1456</v>
      </c>
      <c r="C4" s="59">
        <v>0</v>
      </c>
      <c r="D4" s="59">
        <v>0</v>
      </c>
      <c r="E4" s="59">
        <v>0</v>
      </c>
      <c r="F4" s="59">
        <v>255</v>
      </c>
      <c r="G4" s="76" t="s">
        <v>1518</v>
      </c>
      <c r="H4" s="64" t="str">
        <f t="shared" si="1"/>
        <v>0703</v>
      </c>
      <c r="I4" s="59">
        <v>1</v>
      </c>
      <c r="J4" s="61"/>
    </row>
    <row r="5" spans="1:10" s="25" customFormat="1" ht="27" customHeight="1">
      <c r="A5" s="65">
        <f t="shared" si="0"/>
        <v>3</v>
      </c>
      <c r="B5" s="76" t="s">
        <v>1457</v>
      </c>
      <c r="C5" s="59">
        <v>0</v>
      </c>
      <c r="D5" s="59">
        <v>0</v>
      </c>
      <c r="E5" s="59">
        <v>0</v>
      </c>
      <c r="F5" s="59">
        <v>255</v>
      </c>
      <c r="G5" s="76" t="s">
        <v>1518</v>
      </c>
      <c r="H5" s="64" t="str">
        <f t="shared" si="1"/>
        <v>0704</v>
      </c>
      <c r="I5" s="59">
        <v>1</v>
      </c>
      <c r="J5" s="61"/>
    </row>
    <row r="6" spans="1:10" s="25" customFormat="1" ht="27" customHeight="1">
      <c r="A6" s="65">
        <f t="shared" si="0"/>
        <v>4</v>
      </c>
      <c r="B6" s="76" t="s">
        <v>1458</v>
      </c>
      <c r="C6" s="59">
        <v>0</v>
      </c>
      <c r="D6" s="59">
        <v>0</v>
      </c>
      <c r="E6" s="59">
        <v>0</v>
      </c>
      <c r="F6" s="59">
        <v>255</v>
      </c>
      <c r="G6" s="76" t="s">
        <v>1518</v>
      </c>
      <c r="H6" s="64" t="str">
        <f t="shared" si="1"/>
        <v>0705</v>
      </c>
      <c r="I6" s="59">
        <v>1</v>
      </c>
      <c r="J6" s="61"/>
    </row>
    <row r="7" spans="1:10" s="25" customFormat="1" ht="27" customHeight="1">
      <c r="A7" s="65">
        <f t="shared" si="0"/>
        <v>5</v>
      </c>
      <c r="B7" s="76" t="s">
        <v>1459</v>
      </c>
      <c r="C7" s="59">
        <v>0</v>
      </c>
      <c r="D7" s="59">
        <v>0</v>
      </c>
      <c r="E7" s="59">
        <v>0</v>
      </c>
      <c r="F7" s="59">
        <v>255</v>
      </c>
      <c r="G7" s="76" t="s">
        <v>1518</v>
      </c>
      <c r="H7" s="64" t="str">
        <f t="shared" si="1"/>
        <v>0706</v>
      </c>
      <c r="I7" s="59">
        <v>1</v>
      </c>
      <c r="J7" s="61"/>
    </row>
    <row r="8" spans="1:10" s="25" customFormat="1" ht="27" customHeight="1">
      <c r="A8" s="65">
        <f t="shared" si="0"/>
        <v>6</v>
      </c>
      <c r="B8" s="76" t="s">
        <v>1460</v>
      </c>
      <c r="C8" s="59">
        <v>0</v>
      </c>
      <c r="D8" s="59">
        <v>0</v>
      </c>
      <c r="E8" s="59">
        <v>0</v>
      </c>
      <c r="F8" s="59">
        <v>255</v>
      </c>
      <c r="G8" s="76" t="s">
        <v>1518</v>
      </c>
      <c r="H8" s="64" t="str">
        <f t="shared" si="1"/>
        <v>0707</v>
      </c>
      <c r="I8" s="59">
        <v>1</v>
      </c>
      <c r="J8" s="61"/>
    </row>
    <row r="9" spans="1:10" s="25" customFormat="1" ht="27" customHeight="1">
      <c r="A9" s="65">
        <f t="shared" si="0"/>
        <v>7</v>
      </c>
      <c r="B9" s="76" t="s">
        <v>1461</v>
      </c>
      <c r="C9" s="59">
        <v>0</v>
      </c>
      <c r="D9" s="59">
        <v>0</v>
      </c>
      <c r="E9" s="59">
        <v>0</v>
      </c>
      <c r="F9" s="59">
        <v>255</v>
      </c>
      <c r="G9" s="76" t="s">
        <v>1518</v>
      </c>
      <c r="H9" s="64" t="str">
        <f t="shared" si="1"/>
        <v>0708</v>
      </c>
      <c r="I9" s="59">
        <v>1</v>
      </c>
      <c r="J9" s="61"/>
    </row>
    <row r="10" spans="1:10" s="25" customFormat="1" ht="27" customHeight="1">
      <c r="A10" s="65">
        <f t="shared" si="0"/>
        <v>8</v>
      </c>
      <c r="B10" s="76" t="s">
        <v>1462</v>
      </c>
      <c r="C10" s="59">
        <v>0</v>
      </c>
      <c r="D10" s="59">
        <v>0</v>
      </c>
      <c r="E10" s="59">
        <v>0</v>
      </c>
      <c r="F10" s="59">
        <v>255</v>
      </c>
      <c r="G10" s="76" t="s">
        <v>1518</v>
      </c>
      <c r="H10" s="64" t="str">
        <f t="shared" si="1"/>
        <v>0709</v>
      </c>
      <c r="I10" s="59">
        <v>1</v>
      </c>
      <c r="J10" s="61"/>
    </row>
    <row r="11" spans="1:10" s="25" customFormat="1" ht="27" customHeight="1">
      <c r="A11" s="65">
        <f t="shared" si="0"/>
        <v>9</v>
      </c>
      <c r="B11" s="76" t="s">
        <v>1463</v>
      </c>
      <c r="C11" s="59">
        <v>0</v>
      </c>
      <c r="D11" s="59">
        <v>0</v>
      </c>
      <c r="E11" s="59">
        <v>0</v>
      </c>
      <c r="F11" s="59">
        <v>255</v>
      </c>
      <c r="G11" s="76" t="s">
        <v>1518</v>
      </c>
      <c r="H11" s="64" t="str">
        <f t="shared" si="1"/>
        <v>070A</v>
      </c>
      <c r="I11" s="59">
        <v>1</v>
      </c>
      <c r="J11" s="61"/>
    </row>
    <row r="12" spans="1:10" s="25" customFormat="1" ht="27" customHeight="1">
      <c r="A12" s="65">
        <f t="shared" si="0"/>
        <v>10</v>
      </c>
      <c r="B12" s="76" t="s">
        <v>1464</v>
      </c>
      <c r="C12" s="59">
        <v>0</v>
      </c>
      <c r="D12" s="59">
        <v>0</v>
      </c>
      <c r="E12" s="59">
        <v>0</v>
      </c>
      <c r="F12" s="59">
        <v>255</v>
      </c>
      <c r="G12" s="76" t="s">
        <v>1518</v>
      </c>
      <c r="H12" s="64" t="str">
        <f t="shared" si="1"/>
        <v>070B</v>
      </c>
      <c r="I12" s="59">
        <v>1</v>
      </c>
      <c r="J12" s="61"/>
    </row>
    <row r="13" spans="1:10" s="25" customFormat="1" ht="27" customHeight="1">
      <c r="A13" s="65">
        <f t="shared" si="0"/>
        <v>11</v>
      </c>
      <c r="B13" s="76" t="s">
        <v>1465</v>
      </c>
      <c r="C13" s="59">
        <v>0</v>
      </c>
      <c r="D13" s="59">
        <v>0</v>
      </c>
      <c r="E13" s="59">
        <v>0</v>
      </c>
      <c r="F13" s="59">
        <v>255</v>
      </c>
      <c r="G13" s="76" t="s">
        <v>1518</v>
      </c>
      <c r="H13" s="64" t="str">
        <f t="shared" si="1"/>
        <v>070C</v>
      </c>
      <c r="I13" s="59">
        <v>1</v>
      </c>
      <c r="J13" s="61"/>
    </row>
    <row r="14" spans="1:10" s="25" customFormat="1" ht="27" customHeight="1">
      <c r="A14" s="65">
        <f t="shared" si="0"/>
        <v>12</v>
      </c>
      <c r="B14" s="76" t="s">
        <v>1466</v>
      </c>
      <c r="C14" s="59">
        <v>0</v>
      </c>
      <c r="D14" s="59">
        <v>0</v>
      </c>
      <c r="E14" s="59">
        <v>0</v>
      </c>
      <c r="F14" s="59">
        <v>255</v>
      </c>
      <c r="G14" s="76" t="s">
        <v>1518</v>
      </c>
      <c r="H14" s="64" t="str">
        <f t="shared" si="1"/>
        <v>070D</v>
      </c>
      <c r="I14" s="59">
        <v>1</v>
      </c>
      <c r="J14" s="61"/>
    </row>
    <row r="15" spans="1:10" s="25" customFormat="1" ht="27" customHeight="1">
      <c r="A15" s="65">
        <f t="shared" si="0"/>
        <v>13</v>
      </c>
      <c r="B15" s="76" t="s">
        <v>1467</v>
      </c>
      <c r="C15" s="59">
        <v>0</v>
      </c>
      <c r="D15" s="59">
        <v>0</v>
      </c>
      <c r="E15" s="59">
        <v>0</v>
      </c>
      <c r="F15" s="59">
        <v>255</v>
      </c>
      <c r="G15" s="76" t="s">
        <v>1518</v>
      </c>
      <c r="H15" s="64" t="str">
        <f t="shared" si="1"/>
        <v>070E</v>
      </c>
      <c r="I15" s="59">
        <v>1</v>
      </c>
      <c r="J15" s="61"/>
    </row>
    <row r="16" spans="1:10" s="25" customFormat="1" ht="27" customHeight="1">
      <c r="A16" s="65">
        <f t="shared" si="0"/>
        <v>14</v>
      </c>
      <c r="B16" s="76" t="s">
        <v>1468</v>
      </c>
      <c r="C16" s="59">
        <v>0</v>
      </c>
      <c r="D16" s="59">
        <v>0</v>
      </c>
      <c r="E16" s="59">
        <v>0</v>
      </c>
      <c r="F16" s="59">
        <v>255</v>
      </c>
      <c r="G16" s="76" t="s">
        <v>1518</v>
      </c>
      <c r="H16" s="64" t="str">
        <f t="shared" si="1"/>
        <v>070F</v>
      </c>
      <c r="I16" s="59">
        <v>1</v>
      </c>
      <c r="J16" s="61"/>
    </row>
    <row r="17" spans="1:10" s="25" customFormat="1" ht="27" customHeight="1">
      <c r="A17" s="65">
        <f t="shared" si="0"/>
        <v>15</v>
      </c>
      <c r="B17" s="76" t="s">
        <v>1469</v>
      </c>
      <c r="C17" s="59">
        <v>0</v>
      </c>
      <c r="D17" s="59">
        <v>0</v>
      </c>
      <c r="E17" s="59">
        <v>0</v>
      </c>
      <c r="F17" s="59">
        <v>255</v>
      </c>
      <c r="G17" s="76" t="s">
        <v>1518</v>
      </c>
      <c r="H17" s="64" t="str">
        <f t="shared" si="1"/>
        <v>0710</v>
      </c>
      <c r="I17" s="59">
        <v>1</v>
      </c>
      <c r="J17" s="61"/>
    </row>
    <row r="18" spans="1:10" s="25" customFormat="1" ht="27" customHeight="1">
      <c r="A18" s="65">
        <f t="shared" si="0"/>
        <v>16</v>
      </c>
      <c r="B18" s="76" t="s">
        <v>1470</v>
      </c>
      <c r="C18" s="59">
        <v>0</v>
      </c>
      <c r="D18" s="59">
        <v>0</v>
      </c>
      <c r="E18" s="59">
        <v>0</v>
      </c>
      <c r="F18" s="59">
        <v>255</v>
      </c>
      <c r="G18" s="76" t="s">
        <v>1518</v>
      </c>
      <c r="H18" s="64" t="str">
        <f t="shared" si="1"/>
        <v>0711</v>
      </c>
      <c r="I18" s="59">
        <v>1</v>
      </c>
      <c r="J18" s="61"/>
    </row>
    <row r="19" spans="1:10" s="25" customFormat="1" ht="27" customHeight="1">
      <c r="A19" s="65">
        <f t="shared" si="0"/>
        <v>17</v>
      </c>
      <c r="B19" s="76" t="s">
        <v>1471</v>
      </c>
      <c r="C19" s="59">
        <v>0</v>
      </c>
      <c r="D19" s="59">
        <v>0</v>
      </c>
      <c r="E19" s="59">
        <v>0</v>
      </c>
      <c r="F19" s="59">
        <v>255</v>
      </c>
      <c r="G19" s="76" t="s">
        <v>1518</v>
      </c>
      <c r="H19" s="64" t="str">
        <f t="shared" si="1"/>
        <v>0712</v>
      </c>
      <c r="I19" s="59">
        <v>1</v>
      </c>
      <c r="J19" s="61"/>
    </row>
    <row r="20" spans="1:10" s="25" customFormat="1" ht="27" customHeight="1">
      <c r="A20" s="65">
        <f t="shared" si="0"/>
        <v>18</v>
      </c>
      <c r="B20" s="76" t="s">
        <v>1472</v>
      </c>
      <c r="C20" s="59">
        <v>0</v>
      </c>
      <c r="D20" s="59">
        <v>0</v>
      </c>
      <c r="E20" s="59">
        <v>0</v>
      </c>
      <c r="F20" s="59">
        <v>255</v>
      </c>
      <c r="G20" s="76" t="s">
        <v>1518</v>
      </c>
      <c r="H20" s="64" t="str">
        <f t="shared" si="1"/>
        <v>0713</v>
      </c>
      <c r="I20" s="59">
        <v>1</v>
      </c>
      <c r="J20" s="61"/>
    </row>
    <row r="21" spans="1:10" s="25" customFormat="1" ht="27" customHeight="1">
      <c r="A21" s="65">
        <f t="shared" si="0"/>
        <v>19</v>
      </c>
      <c r="B21" s="76" t="s">
        <v>1473</v>
      </c>
      <c r="C21" s="59">
        <v>0</v>
      </c>
      <c r="D21" s="59">
        <v>0</v>
      </c>
      <c r="E21" s="59">
        <v>0</v>
      </c>
      <c r="F21" s="59">
        <v>255</v>
      </c>
      <c r="G21" s="76" t="s">
        <v>1518</v>
      </c>
      <c r="H21" s="64" t="str">
        <f t="shared" si="1"/>
        <v>0714</v>
      </c>
      <c r="I21" s="59">
        <v>1</v>
      </c>
      <c r="J21" s="61"/>
    </row>
    <row r="22" spans="1:10" s="25" customFormat="1" ht="27" customHeight="1">
      <c r="A22" s="65">
        <f t="shared" si="0"/>
        <v>20</v>
      </c>
      <c r="B22" s="76" t="s">
        <v>1474</v>
      </c>
      <c r="C22" s="59">
        <v>0</v>
      </c>
      <c r="D22" s="59">
        <v>0</v>
      </c>
      <c r="E22" s="59">
        <v>0</v>
      </c>
      <c r="F22" s="59">
        <v>255</v>
      </c>
      <c r="G22" s="76" t="s">
        <v>1518</v>
      </c>
      <c r="H22" s="64" t="str">
        <f t="shared" si="1"/>
        <v>0715</v>
      </c>
      <c r="I22" s="59">
        <v>1</v>
      </c>
      <c r="J22" s="61"/>
    </row>
    <row r="23" spans="1:10" s="25" customFormat="1" ht="27" customHeight="1">
      <c r="A23" s="65">
        <f t="shared" si="0"/>
        <v>21</v>
      </c>
      <c r="B23" s="76" t="s">
        <v>1475</v>
      </c>
      <c r="C23" s="59">
        <v>0</v>
      </c>
      <c r="D23" s="59">
        <v>0</v>
      </c>
      <c r="E23" s="59">
        <v>0</v>
      </c>
      <c r="F23" s="59">
        <v>255</v>
      </c>
      <c r="G23" s="76" t="s">
        <v>1518</v>
      </c>
      <c r="H23" s="64" t="str">
        <f t="shared" si="1"/>
        <v>0716</v>
      </c>
      <c r="I23" s="59">
        <v>1</v>
      </c>
      <c r="J23" s="61"/>
    </row>
    <row r="24" spans="1:10" s="25" customFormat="1" ht="27" customHeight="1">
      <c r="A24" s="65">
        <f t="shared" si="0"/>
        <v>22</v>
      </c>
      <c r="B24" s="76" t="s">
        <v>1476</v>
      </c>
      <c r="C24" s="59">
        <v>0</v>
      </c>
      <c r="D24" s="59">
        <v>0</v>
      </c>
      <c r="E24" s="59">
        <v>0</v>
      </c>
      <c r="F24" s="59">
        <v>255</v>
      </c>
      <c r="G24" s="76" t="s">
        <v>1518</v>
      </c>
      <c r="H24" s="64" t="str">
        <f t="shared" si="1"/>
        <v>0717</v>
      </c>
      <c r="I24" s="59">
        <v>1</v>
      </c>
      <c r="J24" s="61"/>
    </row>
    <row r="25" spans="1:10" s="25" customFormat="1" ht="27" customHeight="1">
      <c r="A25" s="65">
        <f t="shared" si="0"/>
        <v>23</v>
      </c>
      <c r="B25" s="76" t="s">
        <v>1477</v>
      </c>
      <c r="C25" s="59">
        <v>0</v>
      </c>
      <c r="D25" s="59">
        <v>0</v>
      </c>
      <c r="E25" s="59">
        <v>0</v>
      </c>
      <c r="F25" s="59">
        <v>255</v>
      </c>
      <c r="G25" s="76" t="s">
        <v>1518</v>
      </c>
      <c r="H25" s="64" t="str">
        <f t="shared" si="1"/>
        <v>0718</v>
      </c>
      <c r="I25" s="59">
        <v>1</v>
      </c>
      <c r="J25" s="61"/>
    </row>
    <row r="26" spans="1:10" s="25" customFormat="1" ht="27" customHeight="1">
      <c r="A26" s="65">
        <f t="shared" si="0"/>
        <v>24</v>
      </c>
      <c r="B26" s="76" t="s">
        <v>1478</v>
      </c>
      <c r="C26" s="59">
        <v>0</v>
      </c>
      <c r="D26" s="59">
        <v>0</v>
      </c>
      <c r="E26" s="59">
        <v>0</v>
      </c>
      <c r="F26" s="59">
        <v>255</v>
      </c>
      <c r="G26" s="76" t="s">
        <v>1518</v>
      </c>
      <c r="H26" s="64" t="str">
        <f t="shared" si="1"/>
        <v>0719</v>
      </c>
      <c r="I26" s="59">
        <v>1</v>
      </c>
      <c r="J26" s="61"/>
    </row>
    <row r="27" spans="1:10" s="25" customFormat="1" ht="27" customHeight="1">
      <c r="A27" s="65">
        <f t="shared" si="0"/>
        <v>25</v>
      </c>
      <c r="B27" s="76" t="s">
        <v>1479</v>
      </c>
      <c r="C27" s="59">
        <v>0</v>
      </c>
      <c r="D27" s="59">
        <v>0</v>
      </c>
      <c r="E27" s="59">
        <v>0</v>
      </c>
      <c r="F27" s="59">
        <v>255</v>
      </c>
      <c r="G27" s="76" t="s">
        <v>1518</v>
      </c>
      <c r="H27" s="64" t="str">
        <f t="shared" si="1"/>
        <v>071A</v>
      </c>
      <c r="I27" s="59">
        <v>1</v>
      </c>
      <c r="J27" s="61"/>
    </row>
    <row r="28" spans="1:10" s="25" customFormat="1" ht="27" customHeight="1">
      <c r="A28" s="65">
        <f t="shared" si="0"/>
        <v>26</v>
      </c>
      <c r="B28" s="76" t="s">
        <v>1480</v>
      </c>
      <c r="C28" s="59">
        <v>0</v>
      </c>
      <c r="D28" s="59">
        <v>0</v>
      </c>
      <c r="E28" s="59">
        <v>0</v>
      </c>
      <c r="F28" s="59">
        <v>255</v>
      </c>
      <c r="G28" s="76" t="s">
        <v>1518</v>
      </c>
      <c r="H28" s="64" t="str">
        <f t="shared" si="1"/>
        <v>071B</v>
      </c>
      <c r="I28" s="59">
        <v>1</v>
      </c>
      <c r="J28" s="61"/>
    </row>
    <row r="29" spans="1:10" s="25" customFormat="1" ht="27" customHeight="1">
      <c r="A29" s="65">
        <f t="shared" si="0"/>
        <v>27</v>
      </c>
      <c r="B29" s="76" t="s">
        <v>1481</v>
      </c>
      <c r="C29" s="59">
        <v>0</v>
      </c>
      <c r="D29" s="59">
        <v>0</v>
      </c>
      <c r="E29" s="59">
        <v>0</v>
      </c>
      <c r="F29" s="59">
        <v>255</v>
      </c>
      <c r="G29" s="76" t="s">
        <v>1518</v>
      </c>
      <c r="H29" s="64" t="str">
        <f t="shared" si="1"/>
        <v>071C</v>
      </c>
      <c r="I29" s="59">
        <v>1</v>
      </c>
      <c r="J29" s="61"/>
    </row>
    <row r="30" spans="1:10" s="25" customFormat="1" ht="27" customHeight="1">
      <c r="A30" s="65">
        <f t="shared" si="0"/>
        <v>28</v>
      </c>
      <c r="B30" s="76" t="s">
        <v>1482</v>
      </c>
      <c r="C30" s="59">
        <v>0</v>
      </c>
      <c r="D30" s="59">
        <v>0</v>
      </c>
      <c r="E30" s="59">
        <v>0</v>
      </c>
      <c r="F30" s="59">
        <v>255</v>
      </c>
      <c r="G30" s="76" t="s">
        <v>1518</v>
      </c>
      <c r="H30" s="64" t="str">
        <f t="shared" si="1"/>
        <v>071D</v>
      </c>
      <c r="I30" s="59">
        <v>1</v>
      </c>
      <c r="J30" s="61"/>
    </row>
    <row r="31" spans="1:10" s="25" customFormat="1" ht="27" customHeight="1">
      <c r="A31" s="65">
        <f t="shared" si="0"/>
        <v>29</v>
      </c>
      <c r="B31" s="76" t="s">
        <v>1483</v>
      </c>
      <c r="C31" s="59">
        <v>0</v>
      </c>
      <c r="D31" s="59">
        <v>0</v>
      </c>
      <c r="E31" s="59">
        <v>0</v>
      </c>
      <c r="F31" s="59">
        <v>255</v>
      </c>
      <c r="G31" s="76" t="s">
        <v>1518</v>
      </c>
      <c r="H31" s="64" t="str">
        <f t="shared" si="1"/>
        <v>071E</v>
      </c>
      <c r="I31" s="59">
        <v>1</v>
      </c>
      <c r="J31" s="61"/>
    </row>
    <row r="32" spans="1:10" s="25" customFormat="1" ht="27" customHeight="1">
      <c r="A32" s="65">
        <f t="shared" si="0"/>
        <v>30</v>
      </c>
      <c r="B32" s="76" t="s">
        <v>1484</v>
      </c>
      <c r="C32" s="59">
        <v>0</v>
      </c>
      <c r="D32" s="59">
        <v>0</v>
      </c>
      <c r="E32" s="59">
        <v>0</v>
      </c>
      <c r="F32" s="59">
        <v>255</v>
      </c>
      <c r="G32" s="76" t="s">
        <v>1518</v>
      </c>
      <c r="H32" s="64" t="str">
        <f t="shared" si="1"/>
        <v>071F</v>
      </c>
      <c r="I32" s="59">
        <v>1</v>
      </c>
      <c r="J32" s="61"/>
    </row>
    <row r="33" spans="1:10" s="25" customFormat="1" ht="27" customHeight="1">
      <c r="A33" s="65">
        <f t="shared" si="0"/>
        <v>31</v>
      </c>
      <c r="B33" s="76" t="s">
        <v>1485</v>
      </c>
      <c r="C33" s="59">
        <v>0</v>
      </c>
      <c r="D33" s="59">
        <v>0</v>
      </c>
      <c r="E33" s="59">
        <v>0</v>
      </c>
      <c r="F33" s="59">
        <v>255</v>
      </c>
      <c r="G33" s="76" t="s">
        <v>1518</v>
      </c>
      <c r="H33" s="64" t="str">
        <f t="shared" si="1"/>
        <v>0720</v>
      </c>
      <c r="I33" s="59">
        <v>1</v>
      </c>
      <c r="J33" s="61"/>
    </row>
    <row r="34" spans="1:10" s="25" customFormat="1" ht="27" customHeight="1">
      <c r="A34" s="65">
        <f t="shared" si="0"/>
        <v>32</v>
      </c>
      <c r="B34" s="76" t="s">
        <v>1486</v>
      </c>
      <c r="C34" s="59">
        <v>0</v>
      </c>
      <c r="D34" s="59">
        <v>0</v>
      </c>
      <c r="E34" s="59">
        <v>0</v>
      </c>
      <c r="F34" s="59">
        <v>255</v>
      </c>
      <c r="G34" s="76" t="s">
        <v>1518</v>
      </c>
      <c r="H34" s="64" t="str">
        <f t="shared" si="1"/>
        <v>0721</v>
      </c>
      <c r="I34" s="59">
        <v>1</v>
      </c>
      <c r="J34" s="61"/>
    </row>
    <row r="35" spans="1:10" s="25" customFormat="1" ht="27" customHeight="1">
      <c r="A35" s="65">
        <f t="shared" ref="A35:A66" si="2">A34+1</f>
        <v>33</v>
      </c>
      <c r="B35" s="76" t="s">
        <v>1487</v>
      </c>
      <c r="C35" s="59">
        <v>0</v>
      </c>
      <c r="D35" s="59">
        <v>0</v>
      </c>
      <c r="E35" s="59">
        <v>0</v>
      </c>
      <c r="F35" s="59">
        <v>255</v>
      </c>
      <c r="G35" s="76" t="s">
        <v>1518</v>
      </c>
      <c r="H35" s="64" t="str">
        <f t="shared" ref="H35:H66" si="3">DEC2HEX((HEX2DEC(H34)+1),4)</f>
        <v>0722</v>
      </c>
      <c r="I35" s="59">
        <v>1</v>
      </c>
      <c r="J35" s="61"/>
    </row>
    <row r="36" spans="1:10" s="25" customFormat="1" ht="27" customHeight="1">
      <c r="A36" s="65">
        <f t="shared" si="2"/>
        <v>34</v>
      </c>
      <c r="B36" s="76" t="s">
        <v>1488</v>
      </c>
      <c r="C36" s="59">
        <v>0</v>
      </c>
      <c r="D36" s="59">
        <v>0</v>
      </c>
      <c r="E36" s="59">
        <v>0</v>
      </c>
      <c r="F36" s="59">
        <v>255</v>
      </c>
      <c r="G36" s="76" t="s">
        <v>1518</v>
      </c>
      <c r="H36" s="64" t="str">
        <f t="shared" si="3"/>
        <v>0723</v>
      </c>
      <c r="I36" s="59">
        <v>1</v>
      </c>
      <c r="J36" s="61"/>
    </row>
    <row r="37" spans="1:10" s="25" customFormat="1" ht="27" customHeight="1">
      <c r="A37" s="65">
        <f t="shared" si="2"/>
        <v>35</v>
      </c>
      <c r="B37" s="76" t="s">
        <v>1489</v>
      </c>
      <c r="C37" s="59">
        <v>0</v>
      </c>
      <c r="D37" s="59">
        <v>0</v>
      </c>
      <c r="E37" s="59">
        <v>0</v>
      </c>
      <c r="F37" s="59">
        <v>255</v>
      </c>
      <c r="G37" s="76" t="s">
        <v>1518</v>
      </c>
      <c r="H37" s="64" t="str">
        <f t="shared" si="3"/>
        <v>0724</v>
      </c>
      <c r="I37" s="59">
        <v>1</v>
      </c>
      <c r="J37" s="61"/>
    </row>
    <row r="38" spans="1:10" s="25" customFormat="1" ht="27" customHeight="1">
      <c r="A38" s="65">
        <f t="shared" si="2"/>
        <v>36</v>
      </c>
      <c r="B38" s="76" t="s">
        <v>1490</v>
      </c>
      <c r="C38" s="59">
        <v>0</v>
      </c>
      <c r="D38" s="59">
        <v>0</v>
      </c>
      <c r="E38" s="59">
        <v>0</v>
      </c>
      <c r="F38" s="59">
        <v>255</v>
      </c>
      <c r="G38" s="76" t="s">
        <v>1518</v>
      </c>
      <c r="H38" s="64" t="str">
        <f t="shared" si="3"/>
        <v>0725</v>
      </c>
      <c r="I38" s="59">
        <v>1</v>
      </c>
      <c r="J38" s="61"/>
    </row>
    <row r="39" spans="1:10" s="25" customFormat="1" ht="27" customHeight="1">
      <c r="A39" s="65">
        <f t="shared" si="2"/>
        <v>37</v>
      </c>
      <c r="B39" s="76" t="s">
        <v>1491</v>
      </c>
      <c r="C39" s="59">
        <v>0</v>
      </c>
      <c r="D39" s="59">
        <v>0</v>
      </c>
      <c r="E39" s="59">
        <v>0</v>
      </c>
      <c r="F39" s="59">
        <v>255</v>
      </c>
      <c r="G39" s="76" t="s">
        <v>1518</v>
      </c>
      <c r="H39" s="64" t="str">
        <f t="shared" si="3"/>
        <v>0726</v>
      </c>
      <c r="I39" s="59">
        <v>1</v>
      </c>
      <c r="J39" s="61"/>
    </row>
    <row r="40" spans="1:10" s="25" customFormat="1" ht="27" customHeight="1">
      <c r="A40" s="65">
        <f t="shared" si="2"/>
        <v>38</v>
      </c>
      <c r="B40" s="76" t="s">
        <v>1492</v>
      </c>
      <c r="C40" s="59">
        <v>0</v>
      </c>
      <c r="D40" s="59">
        <v>0</v>
      </c>
      <c r="E40" s="59">
        <v>0</v>
      </c>
      <c r="F40" s="59">
        <v>255</v>
      </c>
      <c r="G40" s="76" t="s">
        <v>1518</v>
      </c>
      <c r="H40" s="64" t="str">
        <f t="shared" si="3"/>
        <v>0727</v>
      </c>
      <c r="I40" s="59">
        <v>1</v>
      </c>
      <c r="J40" s="61"/>
    </row>
    <row r="41" spans="1:10" s="25" customFormat="1" ht="27" customHeight="1">
      <c r="A41" s="65">
        <f t="shared" si="2"/>
        <v>39</v>
      </c>
      <c r="B41" s="76" t="s">
        <v>1493</v>
      </c>
      <c r="C41" s="59">
        <v>0</v>
      </c>
      <c r="D41" s="59">
        <v>0</v>
      </c>
      <c r="E41" s="59">
        <v>0</v>
      </c>
      <c r="F41" s="59">
        <v>255</v>
      </c>
      <c r="G41" s="76" t="s">
        <v>1518</v>
      </c>
      <c r="H41" s="64" t="str">
        <f t="shared" si="3"/>
        <v>0728</v>
      </c>
      <c r="I41" s="59">
        <v>1</v>
      </c>
      <c r="J41" s="61"/>
    </row>
    <row r="42" spans="1:10" s="25" customFormat="1" ht="27" customHeight="1">
      <c r="A42" s="65">
        <f t="shared" si="2"/>
        <v>40</v>
      </c>
      <c r="B42" s="76" t="s">
        <v>1494</v>
      </c>
      <c r="C42" s="59">
        <v>0</v>
      </c>
      <c r="D42" s="59">
        <v>0</v>
      </c>
      <c r="E42" s="59">
        <v>0</v>
      </c>
      <c r="F42" s="59">
        <v>255</v>
      </c>
      <c r="G42" s="76" t="s">
        <v>1518</v>
      </c>
      <c r="H42" s="64" t="str">
        <f t="shared" si="3"/>
        <v>0729</v>
      </c>
      <c r="I42" s="59">
        <v>1</v>
      </c>
      <c r="J42" s="61"/>
    </row>
    <row r="43" spans="1:10" s="25" customFormat="1" ht="27" customHeight="1">
      <c r="A43" s="65">
        <f t="shared" si="2"/>
        <v>41</v>
      </c>
      <c r="B43" s="76" t="s">
        <v>1495</v>
      </c>
      <c r="C43" s="59">
        <v>0</v>
      </c>
      <c r="D43" s="59">
        <v>0</v>
      </c>
      <c r="E43" s="59">
        <v>0</v>
      </c>
      <c r="F43" s="59">
        <v>255</v>
      </c>
      <c r="G43" s="76" t="s">
        <v>1518</v>
      </c>
      <c r="H43" s="64" t="str">
        <f t="shared" si="3"/>
        <v>072A</v>
      </c>
      <c r="I43" s="59">
        <v>1</v>
      </c>
      <c r="J43" s="61"/>
    </row>
    <row r="44" spans="1:10" s="25" customFormat="1" ht="27" customHeight="1">
      <c r="A44" s="65">
        <f t="shared" si="2"/>
        <v>42</v>
      </c>
      <c r="B44" s="76" t="s">
        <v>1496</v>
      </c>
      <c r="C44" s="59">
        <v>0</v>
      </c>
      <c r="D44" s="59">
        <v>0</v>
      </c>
      <c r="E44" s="59">
        <v>0</v>
      </c>
      <c r="F44" s="59">
        <v>255</v>
      </c>
      <c r="G44" s="76" t="s">
        <v>1518</v>
      </c>
      <c r="H44" s="64" t="str">
        <f t="shared" si="3"/>
        <v>072B</v>
      </c>
      <c r="I44" s="59">
        <v>1</v>
      </c>
      <c r="J44" s="61"/>
    </row>
    <row r="45" spans="1:10" s="25" customFormat="1" ht="27" customHeight="1">
      <c r="A45" s="65">
        <f t="shared" si="2"/>
        <v>43</v>
      </c>
      <c r="B45" s="76" t="s">
        <v>1497</v>
      </c>
      <c r="C45" s="59">
        <v>0</v>
      </c>
      <c r="D45" s="59">
        <v>0</v>
      </c>
      <c r="E45" s="59">
        <v>0</v>
      </c>
      <c r="F45" s="59">
        <v>255</v>
      </c>
      <c r="G45" s="76" t="s">
        <v>1518</v>
      </c>
      <c r="H45" s="64" t="str">
        <f t="shared" si="3"/>
        <v>072C</v>
      </c>
      <c r="I45" s="59">
        <v>1</v>
      </c>
      <c r="J45" s="61"/>
    </row>
    <row r="46" spans="1:10" s="25" customFormat="1" ht="27" customHeight="1">
      <c r="A46" s="65">
        <f t="shared" si="2"/>
        <v>44</v>
      </c>
      <c r="B46" s="76" t="s">
        <v>1498</v>
      </c>
      <c r="C46" s="59">
        <v>0</v>
      </c>
      <c r="D46" s="59">
        <v>0</v>
      </c>
      <c r="E46" s="59">
        <v>0</v>
      </c>
      <c r="F46" s="59">
        <v>255</v>
      </c>
      <c r="G46" s="76" t="s">
        <v>1518</v>
      </c>
      <c r="H46" s="64" t="str">
        <f t="shared" si="3"/>
        <v>072D</v>
      </c>
      <c r="I46" s="59">
        <v>1</v>
      </c>
      <c r="J46" s="61"/>
    </row>
    <row r="47" spans="1:10" s="25" customFormat="1" ht="27" customHeight="1">
      <c r="A47" s="65">
        <f t="shared" si="2"/>
        <v>45</v>
      </c>
      <c r="B47" s="76" t="s">
        <v>1499</v>
      </c>
      <c r="C47" s="59">
        <v>0</v>
      </c>
      <c r="D47" s="59">
        <v>0</v>
      </c>
      <c r="E47" s="59">
        <v>0</v>
      </c>
      <c r="F47" s="59">
        <v>255</v>
      </c>
      <c r="G47" s="76" t="s">
        <v>1518</v>
      </c>
      <c r="H47" s="64" t="str">
        <f t="shared" si="3"/>
        <v>072E</v>
      </c>
      <c r="I47" s="59">
        <v>1</v>
      </c>
      <c r="J47" s="61"/>
    </row>
    <row r="48" spans="1:10" s="25" customFormat="1" ht="27" customHeight="1">
      <c r="A48" s="65">
        <f t="shared" si="2"/>
        <v>46</v>
      </c>
      <c r="B48" s="76" t="s">
        <v>1500</v>
      </c>
      <c r="C48" s="59">
        <v>0</v>
      </c>
      <c r="D48" s="59">
        <v>0</v>
      </c>
      <c r="E48" s="59">
        <v>0</v>
      </c>
      <c r="F48" s="59">
        <v>255</v>
      </c>
      <c r="G48" s="76" t="s">
        <v>1518</v>
      </c>
      <c r="H48" s="64" t="str">
        <f t="shared" si="3"/>
        <v>072F</v>
      </c>
      <c r="I48" s="59">
        <v>1</v>
      </c>
      <c r="J48" s="61"/>
    </row>
    <row r="49" spans="1:10" s="25" customFormat="1" ht="27" customHeight="1">
      <c r="A49" s="65">
        <f t="shared" si="2"/>
        <v>47</v>
      </c>
      <c r="B49" s="76" t="s">
        <v>1501</v>
      </c>
      <c r="C49" s="59">
        <v>0</v>
      </c>
      <c r="D49" s="59">
        <v>0</v>
      </c>
      <c r="E49" s="59">
        <v>0</v>
      </c>
      <c r="F49" s="59">
        <v>255</v>
      </c>
      <c r="G49" s="76" t="s">
        <v>1518</v>
      </c>
      <c r="H49" s="64" t="str">
        <f t="shared" si="3"/>
        <v>0730</v>
      </c>
      <c r="I49" s="59">
        <v>1</v>
      </c>
      <c r="J49" s="61"/>
    </row>
    <row r="50" spans="1:10" s="25" customFormat="1" ht="27" customHeight="1">
      <c r="A50" s="65">
        <f t="shared" si="2"/>
        <v>48</v>
      </c>
      <c r="B50" s="76" t="s">
        <v>1502</v>
      </c>
      <c r="C50" s="59">
        <v>0</v>
      </c>
      <c r="D50" s="59">
        <v>0</v>
      </c>
      <c r="E50" s="59">
        <v>0</v>
      </c>
      <c r="F50" s="59">
        <v>255</v>
      </c>
      <c r="G50" s="76" t="s">
        <v>1518</v>
      </c>
      <c r="H50" s="64" t="str">
        <f t="shared" si="3"/>
        <v>0731</v>
      </c>
      <c r="I50" s="59">
        <v>1</v>
      </c>
      <c r="J50" s="61"/>
    </row>
    <row r="51" spans="1:10" s="25" customFormat="1" ht="27" customHeight="1">
      <c r="A51" s="65">
        <f t="shared" si="2"/>
        <v>49</v>
      </c>
      <c r="B51" s="76" t="s">
        <v>1503</v>
      </c>
      <c r="C51" s="59">
        <v>0</v>
      </c>
      <c r="D51" s="59">
        <v>0</v>
      </c>
      <c r="E51" s="59">
        <v>0</v>
      </c>
      <c r="F51" s="59">
        <v>255</v>
      </c>
      <c r="G51" s="76" t="s">
        <v>1518</v>
      </c>
      <c r="H51" s="64" t="str">
        <f t="shared" si="3"/>
        <v>0732</v>
      </c>
      <c r="I51" s="59">
        <v>1</v>
      </c>
      <c r="J51" s="61"/>
    </row>
    <row r="52" spans="1:10" s="25" customFormat="1" ht="27" customHeight="1">
      <c r="A52" s="65">
        <f t="shared" si="2"/>
        <v>50</v>
      </c>
      <c r="B52" s="76" t="s">
        <v>1504</v>
      </c>
      <c r="C52" s="59">
        <v>0</v>
      </c>
      <c r="D52" s="59">
        <v>0</v>
      </c>
      <c r="E52" s="59">
        <v>0</v>
      </c>
      <c r="F52" s="59">
        <v>255</v>
      </c>
      <c r="G52" s="76" t="s">
        <v>1518</v>
      </c>
      <c r="H52" s="64" t="str">
        <f t="shared" si="3"/>
        <v>0733</v>
      </c>
      <c r="I52" s="59">
        <v>1</v>
      </c>
      <c r="J52" s="61"/>
    </row>
    <row r="53" spans="1:10" s="25" customFormat="1" ht="27" customHeight="1">
      <c r="A53" s="65">
        <f t="shared" si="2"/>
        <v>51</v>
      </c>
      <c r="B53" s="76" t="s">
        <v>1505</v>
      </c>
      <c r="C53" s="59">
        <v>0</v>
      </c>
      <c r="D53" s="59">
        <v>0</v>
      </c>
      <c r="E53" s="59">
        <v>0</v>
      </c>
      <c r="F53" s="59">
        <v>255</v>
      </c>
      <c r="G53" s="76" t="s">
        <v>1518</v>
      </c>
      <c r="H53" s="64" t="str">
        <f t="shared" si="3"/>
        <v>0734</v>
      </c>
      <c r="I53" s="59">
        <v>1</v>
      </c>
      <c r="J53" s="61"/>
    </row>
    <row r="54" spans="1:10" s="25" customFormat="1" ht="27" customHeight="1">
      <c r="A54" s="65">
        <f t="shared" si="2"/>
        <v>52</v>
      </c>
      <c r="B54" s="76" t="s">
        <v>1506</v>
      </c>
      <c r="C54" s="59">
        <v>0</v>
      </c>
      <c r="D54" s="59">
        <v>0</v>
      </c>
      <c r="E54" s="59">
        <v>0</v>
      </c>
      <c r="F54" s="59">
        <v>255</v>
      </c>
      <c r="G54" s="76" t="s">
        <v>1518</v>
      </c>
      <c r="H54" s="64" t="str">
        <f t="shared" si="3"/>
        <v>0735</v>
      </c>
      <c r="I54" s="59">
        <v>1</v>
      </c>
      <c r="J54" s="61"/>
    </row>
    <row r="55" spans="1:10" s="25" customFormat="1" ht="27" customHeight="1">
      <c r="A55" s="65">
        <f t="shared" si="2"/>
        <v>53</v>
      </c>
      <c r="B55" s="76" t="s">
        <v>1507</v>
      </c>
      <c r="C55" s="59">
        <v>0</v>
      </c>
      <c r="D55" s="59">
        <v>0</v>
      </c>
      <c r="E55" s="59">
        <v>0</v>
      </c>
      <c r="F55" s="59">
        <v>255</v>
      </c>
      <c r="G55" s="76" t="s">
        <v>1518</v>
      </c>
      <c r="H55" s="64" t="str">
        <f t="shared" si="3"/>
        <v>0736</v>
      </c>
      <c r="I55" s="59">
        <v>1</v>
      </c>
      <c r="J55" s="61"/>
    </row>
    <row r="56" spans="1:10" s="25" customFormat="1" ht="27" customHeight="1">
      <c r="A56" s="65">
        <f t="shared" si="2"/>
        <v>54</v>
      </c>
      <c r="B56" s="76" t="s">
        <v>1508</v>
      </c>
      <c r="C56" s="59">
        <v>0</v>
      </c>
      <c r="D56" s="59">
        <v>0</v>
      </c>
      <c r="E56" s="59">
        <v>0</v>
      </c>
      <c r="F56" s="59">
        <v>255</v>
      </c>
      <c r="G56" s="76" t="s">
        <v>1518</v>
      </c>
      <c r="H56" s="64" t="str">
        <f t="shared" si="3"/>
        <v>0737</v>
      </c>
      <c r="I56" s="59">
        <v>1</v>
      </c>
      <c r="J56" s="61"/>
    </row>
    <row r="57" spans="1:10" s="25" customFormat="1" ht="27" customHeight="1">
      <c r="A57" s="65">
        <f t="shared" si="2"/>
        <v>55</v>
      </c>
      <c r="B57" s="76" t="s">
        <v>1509</v>
      </c>
      <c r="C57" s="59">
        <v>0</v>
      </c>
      <c r="D57" s="59">
        <v>0</v>
      </c>
      <c r="E57" s="59">
        <v>0</v>
      </c>
      <c r="F57" s="59">
        <v>255</v>
      </c>
      <c r="G57" s="76" t="s">
        <v>1518</v>
      </c>
      <c r="H57" s="64" t="str">
        <f t="shared" si="3"/>
        <v>0738</v>
      </c>
      <c r="I57" s="59">
        <v>1</v>
      </c>
      <c r="J57" s="61"/>
    </row>
    <row r="58" spans="1:10" s="25" customFormat="1" ht="27" customHeight="1">
      <c r="A58" s="65">
        <f t="shared" si="2"/>
        <v>56</v>
      </c>
      <c r="B58" s="76" t="s">
        <v>1510</v>
      </c>
      <c r="C58" s="59">
        <v>0</v>
      </c>
      <c r="D58" s="59">
        <v>0</v>
      </c>
      <c r="E58" s="59">
        <v>0</v>
      </c>
      <c r="F58" s="59">
        <v>255</v>
      </c>
      <c r="G58" s="76" t="s">
        <v>1518</v>
      </c>
      <c r="H58" s="64" t="str">
        <f t="shared" si="3"/>
        <v>0739</v>
      </c>
      <c r="I58" s="59">
        <v>1</v>
      </c>
      <c r="J58" s="61"/>
    </row>
    <row r="59" spans="1:10" s="25" customFormat="1" ht="27" customHeight="1">
      <c r="A59" s="65">
        <f t="shared" si="2"/>
        <v>57</v>
      </c>
      <c r="B59" s="76" t="s">
        <v>1511</v>
      </c>
      <c r="C59" s="59">
        <v>0</v>
      </c>
      <c r="D59" s="59">
        <v>0</v>
      </c>
      <c r="E59" s="59">
        <v>0</v>
      </c>
      <c r="F59" s="59">
        <v>255</v>
      </c>
      <c r="G59" s="76" t="s">
        <v>1518</v>
      </c>
      <c r="H59" s="64" t="str">
        <f t="shared" si="3"/>
        <v>073A</v>
      </c>
      <c r="I59" s="59">
        <v>1</v>
      </c>
      <c r="J59" s="61"/>
    </row>
    <row r="60" spans="1:10" s="25" customFormat="1" ht="27" customHeight="1">
      <c r="A60" s="65">
        <f t="shared" si="2"/>
        <v>58</v>
      </c>
      <c r="B60" s="76" t="s">
        <v>1512</v>
      </c>
      <c r="C60" s="59">
        <v>0</v>
      </c>
      <c r="D60" s="59">
        <v>0</v>
      </c>
      <c r="E60" s="59">
        <v>0</v>
      </c>
      <c r="F60" s="59">
        <v>255</v>
      </c>
      <c r="G60" s="76" t="s">
        <v>1518</v>
      </c>
      <c r="H60" s="64" t="str">
        <f t="shared" si="3"/>
        <v>073B</v>
      </c>
      <c r="I60" s="59">
        <v>1</v>
      </c>
      <c r="J60" s="61"/>
    </row>
    <row r="61" spans="1:10" s="25" customFormat="1" ht="27" customHeight="1">
      <c r="A61" s="65">
        <f t="shared" si="2"/>
        <v>59</v>
      </c>
      <c r="B61" s="76" t="s">
        <v>1513</v>
      </c>
      <c r="C61" s="59">
        <v>0</v>
      </c>
      <c r="D61" s="59">
        <v>0</v>
      </c>
      <c r="E61" s="59">
        <v>0</v>
      </c>
      <c r="F61" s="59">
        <v>255</v>
      </c>
      <c r="G61" s="76" t="s">
        <v>1518</v>
      </c>
      <c r="H61" s="64" t="str">
        <f t="shared" si="3"/>
        <v>073C</v>
      </c>
      <c r="I61" s="59">
        <v>1</v>
      </c>
      <c r="J61" s="61"/>
    </row>
    <row r="62" spans="1:10" s="25" customFormat="1" ht="27" customHeight="1">
      <c r="A62" s="65">
        <f t="shared" si="2"/>
        <v>60</v>
      </c>
      <c r="B62" s="76" t="s">
        <v>1514</v>
      </c>
      <c r="C62" s="59">
        <v>0</v>
      </c>
      <c r="D62" s="59">
        <v>0</v>
      </c>
      <c r="E62" s="59">
        <v>0</v>
      </c>
      <c r="F62" s="59">
        <v>255</v>
      </c>
      <c r="G62" s="76" t="s">
        <v>1518</v>
      </c>
      <c r="H62" s="64" t="str">
        <f t="shared" si="3"/>
        <v>073D</v>
      </c>
      <c r="I62" s="59">
        <v>1</v>
      </c>
      <c r="J62" s="61"/>
    </row>
    <row r="63" spans="1:10" s="25" customFormat="1" ht="27" customHeight="1">
      <c r="A63" s="65">
        <f t="shared" si="2"/>
        <v>61</v>
      </c>
      <c r="B63" s="76" t="s">
        <v>1515</v>
      </c>
      <c r="C63" s="59">
        <v>0</v>
      </c>
      <c r="D63" s="59">
        <v>0</v>
      </c>
      <c r="E63" s="59">
        <v>0</v>
      </c>
      <c r="F63" s="59">
        <v>255</v>
      </c>
      <c r="G63" s="76" t="s">
        <v>1518</v>
      </c>
      <c r="H63" s="64" t="str">
        <f t="shared" si="3"/>
        <v>073E</v>
      </c>
      <c r="I63" s="59">
        <v>1</v>
      </c>
      <c r="J63" s="61"/>
    </row>
    <row r="64" spans="1:10" s="25" customFormat="1" ht="27" customHeight="1">
      <c r="A64" s="65">
        <f t="shared" si="2"/>
        <v>62</v>
      </c>
      <c r="B64" s="76" t="s">
        <v>1516</v>
      </c>
      <c r="C64" s="59">
        <v>0</v>
      </c>
      <c r="D64" s="59">
        <v>0</v>
      </c>
      <c r="E64" s="59">
        <v>0</v>
      </c>
      <c r="F64" s="59">
        <v>255</v>
      </c>
      <c r="G64" s="76" t="s">
        <v>1518</v>
      </c>
      <c r="H64" s="64" t="str">
        <f t="shared" si="3"/>
        <v>073F</v>
      </c>
      <c r="I64" s="59">
        <v>1</v>
      </c>
      <c r="J64" s="61"/>
    </row>
    <row r="65" spans="1:10" s="25" customFormat="1" ht="27" customHeight="1">
      <c r="A65" s="65">
        <f t="shared" si="2"/>
        <v>63</v>
      </c>
      <c r="B65" s="76" t="s">
        <v>1517</v>
      </c>
      <c r="C65" s="59">
        <v>0</v>
      </c>
      <c r="D65" s="59">
        <v>0</v>
      </c>
      <c r="E65" s="59">
        <v>0</v>
      </c>
      <c r="F65" s="59">
        <v>255</v>
      </c>
      <c r="G65" s="76" t="s">
        <v>1518</v>
      </c>
      <c r="H65" s="64" t="str">
        <f t="shared" si="3"/>
        <v>0740</v>
      </c>
      <c r="I65" s="59">
        <v>1</v>
      </c>
      <c r="J65" s="61"/>
    </row>
    <row r="66" spans="1:10" s="25" customFormat="1" ht="27" customHeight="1">
      <c r="A66" s="65">
        <f t="shared" si="2"/>
        <v>64</v>
      </c>
      <c r="B66" s="76" t="s">
        <v>1519</v>
      </c>
      <c r="C66" s="59">
        <v>255</v>
      </c>
      <c r="D66" s="60">
        <v>255</v>
      </c>
      <c r="E66" s="59">
        <v>0</v>
      </c>
      <c r="F66" s="59">
        <v>255</v>
      </c>
      <c r="G66" s="76" t="s">
        <v>1527</v>
      </c>
      <c r="H66" s="64" t="str">
        <f t="shared" si="3"/>
        <v>0741</v>
      </c>
      <c r="I66" s="59">
        <v>1</v>
      </c>
      <c r="J66" s="61"/>
    </row>
    <row r="67" spans="1:10" s="25" customFormat="1" ht="27" customHeight="1">
      <c r="A67" s="65">
        <f t="shared" ref="A67:A85" si="4">A66+1</f>
        <v>65</v>
      </c>
      <c r="B67" s="76" t="s">
        <v>1520</v>
      </c>
      <c r="C67" s="59">
        <v>255</v>
      </c>
      <c r="D67" s="60">
        <v>255</v>
      </c>
      <c r="E67" s="59">
        <v>0</v>
      </c>
      <c r="F67" s="59">
        <v>255</v>
      </c>
      <c r="G67" s="76" t="s">
        <v>1527</v>
      </c>
      <c r="H67" s="64" t="str">
        <f t="shared" ref="H67:H85" si="5">DEC2HEX((HEX2DEC(H66)+1),4)</f>
        <v>0742</v>
      </c>
      <c r="I67" s="59">
        <v>1</v>
      </c>
      <c r="J67" s="61"/>
    </row>
    <row r="68" spans="1:10" s="25" customFormat="1" ht="27" customHeight="1">
      <c r="A68" s="65">
        <f t="shared" si="4"/>
        <v>66</v>
      </c>
      <c r="B68" s="76" t="s">
        <v>1521</v>
      </c>
      <c r="C68" s="59">
        <v>255</v>
      </c>
      <c r="D68" s="60">
        <v>255</v>
      </c>
      <c r="E68" s="59">
        <v>0</v>
      </c>
      <c r="F68" s="59">
        <v>255</v>
      </c>
      <c r="G68" s="76" t="s">
        <v>1527</v>
      </c>
      <c r="H68" s="64" t="str">
        <f t="shared" si="5"/>
        <v>0743</v>
      </c>
      <c r="I68" s="59">
        <v>1</v>
      </c>
      <c r="J68" s="61"/>
    </row>
    <row r="69" spans="1:10" s="25" customFormat="1" ht="27" customHeight="1">
      <c r="A69" s="65">
        <f t="shared" si="4"/>
        <v>67</v>
      </c>
      <c r="B69" s="76" t="s">
        <v>1522</v>
      </c>
      <c r="C69" s="59">
        <v>255</v>
      </c>
      <c r="D69" s="60">
        <v>255</v>
      </c>
      <c r="E69" s="59">
        <v>0</v>
      </c>
      <c r="F69" s="59">
        <v>255</v>
      </c>
      <c r="G69" s="76" t="s">
        <v>1527</v>
      </c>
      <c r="H69" s="64" t="str">
        <f t="shared" si="5"/>
        <v>0744</v>
      </c>
      <c r="I69" s="59">
        <v>1</v>
      </c>
      <c r="J69" s="61"/>
    </row>
    <row r="70" spans="1:10" s="25" customFormat="1" ht="27" customHeight="1">
      <c r="A70" s="65">
        <f t="shared" si="4"/>
        <v>68</v>
      </c>
      <c r="B70" s="76" t="s">
        <v>1523</v>
      </c>
      <c r="C70" s="59">
        <v>255</v>
      </c>
      <c r="D70" s="60">
        <v>255</v>
      </c>
      <c r="E70" s="59">
        <v>0</v>
      </c>
      <c r="F70" s="59">
        <v>255</v>
      </c>
      <c r="G70" s="76" t="s">
        <v>1527</v>
      </c>
      <c r="H70" s="64" t="str">
        <f t="shared" si="5"/>
        <v>0745</v>
      </c>
      <c r="I70" s="59">
        <v>1</v>
      </c>
      <c r="J70" s="61"/>
    </row>
    <row r="71" spans="1:10" s="25" customFormat="1" ht="27" customHeight="1">
      <c r="A71" s="65">
        <f t="shared" si="4"/>
        <v>69</v>
      </c>
      <c r="B71" s="76" t="s">
        <v>1524</v>
      </c>
      <c r="C71" s="59">
        <v>255</v>
      </c>
      <c r="D71" s="60">
        <v>255</v>
      </c>
      <c r="E71" s="59">
        <v>0</v>
      </c>
      <c r="F71" s="59">
        <v>255</v>
      </c>
      <c r="G71" s="76" t="s">
        <v>1527</v>
      </c>
      <c r="H71" s="64" t="str">
        <f t="shared" si="5"/>
        <v>0746</v>
      </c>
      <c r="I71" s="59">
        <v>1</v>
      </c>
      <c r="J71" s="61"/>
    </row>
    <row r="72" spans="1:10" s="25" customFormat="1" ht="27" customHeight="1">
      <c r="A72" s="65">
        <f t="shared" si="4"/>
        <v>70</v>
      </c>
      <c r="B72" s="76" t="s">
        <v>1525</v>
      </c>
      <c r="C72" s="59">
        <v>255</v>
      </c>
      <c r="D72" s="60">
        <v>255</v>
      </c>
      <c r="E72" s="59">
        <v>0</v>
      </c>
      <c r="F72" s="59">
        <v>255</v>
      </c>
      <c r="G72" s="76" t="s">
        <v>1527</v>
      </c>
      <c r="H72" s="64" t="str">
        <f t="shared" si="5"/>
        <v>0747</v>
      </c>
      <c r="I72" s="59">
        <v>1</v>
      </c>
      <c r="J72" s="61"/>
    </row>
    <row r="73" spans="1:10" s="25" customFormat="1" ht="27" customHeight="1">
      <c r="A73" s="65">
        <f t="shared" si="4"/>
        <v>71</v>
      </c>
      <c r="B73" s="76" t="s">
        <v>1526</v>
      </c>
      <c r="C73" s="59">
        <v>255</v>
      </c>
      <c r="D73" s="60">
        <v>255</v>
      </c>
      <c r="E73" s="59">
        <v>0</v>
      </c>
      <c r="F73" s="59">
        <v>255</v>
      </c>
      <c r="G73" s="76" t="s">
        <v>1527</v>
      </c>
      <c r="H73" s="64" t="str">
        <f t="shared" si="5"/>
        <v>0748</v>
      </c>
      <c r="I73" s="59">
        <v>1</v>
      </c>
      <c r="J73" s="61"/>
    </row>
    <row r="74" spans="1:10" s="25" customFormat="1" ht="27" customHeight="1">
      <c r="A74" s="65">
        <f t="shared" si="4"/>
        <v>72</v>
      </c>
      <c r="B74" s="76" t="s">
        <v>1528</v>
      </c>
      <c r="C74" s="59">
        <v>32</v>
      </c>
      <c r="D74" s="60">
        <v>32</v>
      </c>
      <c r="E74" s="59">
        <v>0</v>
      </c>
      <c r="F74" s="59">
        <v>255</v>
      </c>
      <c r="G74" s="76" t="s">
        <v>1532</v>
      </c>
      <c r="H74" s="64" t="str">
        <f t="shared" si="5"/>
        <v>0749</v>
      </c>
      <c r="I74" s="59">
        <v>1</v>
      </c>
      <c r="J74" s="61"/>
    </row>
    <row r="75" spans="1:10" s="25" customFormat="1" ht="27" customHeight="1">
      <c r="A75" s="65">
        <f t="shared" si="4"/>
        <v>73</v>
      </c>
      <c r="B75" s="76" t="s">
        <v>1529</v>
      </c>
      <c r="C75" s="59">
        <v>0</v>
      </c>
      <c r="D75" s="60">
        <v>0</v>
      </c>
      <c r="E75" s="59">
        <v>0</v>
      </c>
      <c r="F75" s="59">
        <v>255</v>
      </c>
      <c r="G75" s="76" t="s">
        <v>1532</v>
      </c>
      <c r="H75" s="64" t="str">
        <f t="shared" si="5"/>
        <v>074A</v>
      </c>
      <c r="I75" s="59">
        <v>1</v>
      </c>
      <c r="J75" s="61"/>
    </row>
    <row r="76" spans="1:10" s="25" customFormat="1" ht="27" customHeight="1">
      <c r="A76" s="65">
        <f t="shared" si="4"/>
        <v>74</v>
      </c>
      <c r="B76" s="76" t="s">
        <v>1530</v>
      </c>
      <c r="C76" s="59">
        <v>1</v>
      </c>
      <c r="D76" s="60">
        <v>1</v>
      </c>
      <c r="E76" s="59">
        <v>0</v>
      </c>
      <c r="F76" s="59">
        <v>255</v>
      </c>
      <c r="G76" s="76" t="s">
        <v>1532</v>
      </c>
      <c r="H76" s="64" t="str">
        <f t="shared" si="5"/>
        <v>074B</v>
      </c>
      <c r="I76" s="59">
        <v>1</v>
      </c>
      <c r="J76" s="61"/>
    </row>
    <row r="77" spans="1:10" s="25" customFormat="1" ht="27" customHeight="1">
      <c r="A77" s="65">
        <f t="shared" si="4"/>
        <v>75</v>
      </c>
      <c r="B77" s="76" t="s">
        <v>1531</v>
      </c>
      <c r="C77" s="59">
        <v>1</v>
      </c>
      <c r="D77" s="60">
        <v>1</v>
      </c>
      <c r="E77" s="59">
        <v>0</v>
      </c>
      <c r="F77" s="59">
        <v>255</v>
      </c>
      <c r="G77" s="76" t="s">
        <v>1532</v>
      </c>
      <c r="H77" s="64" t="str">
        <f t="shared" si="5"/>
        <v>074C</v>
      </c>
      <c r="I77" s="59">
        <v>1</v>
      </c>
      <c r="J77" s="61"/>
    </row>
    <row r="78" spans="1:10" s="25" customFormat="1" ht="27" customHeight="1">
      <c r="A78" s="65">
        <f t="shared" si="4"/>
        <v>76</v>
      </c>
      <c r="B78" s="76" t="s">
        <v>1533</v>
      </c>
      <c r="C78" s="59">
        <v>32</v>
      </c>
      <c r="D78" s="59">
        <v>32</v>
      </c>
      <c r="E78" s="59">
        <v>0</v>
      </c>
      <c r="F78" s="59">
        <v>255</v>
      </c>
      <c r="G78" s="76" t="s">
        <v>1541</v>
      </c>
      <c r="H78" s="64" t="str">
        <f t="shared" si="5"/>
        <v>074D</v>
      </c>
      <c r="I78" s="59">
        <v>1</v>
      </c>
      <c r="J78" s="61"/>
    </row>
    <row r="79" spans="1:10" s="25" customFormat="1" ht="27" customHeight="1">
      <c r="A79" s="65">
        <f t="shared" si="4"/>
        <v>77</v>
      </c>
      <c r="B79" s="76" t="s">
        <v>1534</v>
      </c>
      <c r="C79" s="59">
        <v>32</v>
      </c>
      <c r="D79" s="59">
        <v>32</v>
      </c>
      <c r="E79" s="59">
        <v>0</v>
      </c>
      <c r="F79" s="59">
        <v>255</v>
      </c>
      <c r="G79" s="76" t="s">
        <v>1541</v>
      </c>
      <c r="H79" s="64" t="str">
        <f t="shared" si="5"/>
        <v>074E</v>
      </c>
      <c r="I79" s="59">
        <v>1</v>
      </c>
      <c r="J79" s="61"/>
    </row>
    <row r="80" spans="1:10" s="25" customFormat="1" ht="27" customHeight="1">
      <c r="A80" s="65">
        <f t="shared" si="4"/>
        <v>78</v>
      </c>
      <c r="B80" s="76" t="s">
        <v>1535</v>
      </c>
      <c r="C80" s="59">
        <v>32</v>
      </c>
      <c r="D80" s="59">
        <v>32</v>
      </c>
      <c r="E80" s="59">
        <v>0</v>
      </c>
      <c r="F80" s="59">
        <v>255</v>
      </c>
      <c r="G80" s="76" t="s">
        <v>1541</v>
      </c>
      <c r="H80" s="64" t="str">
        <f t="shared" si="5"/>
        <v>074F</v>
      </c>
      <c r="I80" s="59">
        <v>1</v>
      </c>
      <c r="J80" s="61"/>
    </row>
    <row r="81" spans="1:10" s="25" customFormat="1" ht="27" customHeight="1">
      <c r="A81" s="65">
        <f t="shared" si="4"/>
        <v>79</v>
      </c>
      <c r="B81" s="76" t="s">
        <v>1536</v>
      </c>
      <c r="C81" s="59">
        <v>32</v>
      </c>
      <c r="D81" s="59">
        <v>32</v>
      </c>
      <c r="E81" s="59">
        <v>0</v>
      </c>
      <c r="F81" s="59">
        <v>255</v>
      </c>
      <c r="G81" s="76" t="s">
        <v>1541</v>
      </c>
      <c r="H81" s="64" t="str">
        <f t="shared" si="5"/>
        <v>0750</v>
      </c>
      <c r="I81" s="59">
        <v>1</v>
      </c>
      <c r="J81" s="61"/>
    </row>
    <row r="82" spans="1:10" s="25" customFormat="1" ht="27" customHeight="1">
      <c r="A82" s="65">
        <f t="shared" si="4"/>
        <v>80</v>
      </c>
      <c r="B82" s="76" t="s">
        <v>1537</v>
      </c>
      <c r="C82" s="59">
        <v>32</v>
      </c>
      <c r="D82" s="59">
        <v>32</v>
      </c>
      <c r="E82" s="59">
        <v>0</v>
      </c>
      <c r="F82" s="59">
        <v>255</v>
      </c>
      <c r="G82" s="76" t="s">
        <v>1541</v>
      </c>
      <c r="H82" s="64" t="str">
        <f t="shared" si="5"/>
        <v>0751</v>
      </c>
      <c r="I82" s="59">
        <v>1</v>
      </c>
      <c r="J82" s="61"/>
    </row>
    <row r="83" spans="1:10" s="25" customFormat="1" ht="27" customHeight="1">
      <c r="A83" s="65">
        <f t="shared" si="4"/>
        <v>81</v>
      </c>
      <c r="B83" s="76" t="s">
        <v>1538</v>
      </c>
      <c r="C83" s="59">
        <v>32</v>
      </c>
      <c r="D83" s="59">
        <v>32</v>
      </c>
      <c r="E83" s="59">
        <v>0</v>
      </c>
      <c r="F83" s="59">
        <v>255</v>
      </c>
      <c r="G83" s="76" t="s">
        <v>1541</v>
      </c>
      <c r="H83" s="64" t="str">
        <f t="shared" si="5"/>
        <v>0752</v>
      </c>
      <c r="I83" s="59">
        <v>1</v>
      </c>
      <c r="J83" s="61"/>
    </row>
    <row r="84" spans="1:10" s="25" customFormat="1" ht="27" customHeight="1">
      <c r="A84" s="65">
        <f t="shared" si="4"/>
        <v>82</v>
      </c>
      <c r="B84" s="76" t="s">
        <v>1539</v>
      </c>
      <c r="C84" s="59">
        <v>32</v>
      </c>
      <c r="D84" s="59">
        <v>32</v>
      </c>
      <c r="E84" s="59">
        <v>0</v>
      </c>
      <c r="F84" s="59">
        <v>255</v>
      </c>
      <c r="G84" s="76" t="s">
        <v>1541</v>
      </c>
      <c r="H84" s="64" t="str">
        <f t="shared" si="5"/>
        <v>0753</v>
      </c>
      <c r="I84" s="59">
        <v>1</v>
      </c>
      <c r="J84" s="61"/>
    </row>
    <row r="85" spans="1:10" s="25" customFormat="1" ht="27" customHeight="1">
      <c r="A85" s="65">
        <f t="shared" si="4"/>
        <v>83</v>
      </c>
      <c r="B85" s="76" t="s">
        <v>1540</v>
      </c>
      <c r="C85" s="59">
        <v>32</v>
      </c>
      <c r="D85" s="59">
        <v>32</v>
      </c>
      <c r="E85" s="59">
        <v>0</v>
      </c>
      <c r="F85" s="59">
        <v>255</v>
      </c>
      <c r="G85" s="76" t="s">
        <v>1541</v>
      </c>
      <c r="H85" s="64" t="str">
        <f t="shared" si="5"/>
        <v>0754</v>
      </c>
      <c r="I85" s="59">
        <v>1</v>
      </c>
      <c r="J85" s="61"/>
    </row>
    <row r="86" spans="1:10" s="25" customFormat="1" ht="27" customHeight="1">
      <c r="A86" s="65">
        <f t="shared" ref="A86:A129" si="6">A85+1</f>
        <v>84</v>
      </c>
      <c r="B86" s="76" t="s">
        <v>1903</v>
      </c>
      <c r="C86" s="59">
        <v>255</v>
      </c>
      <c r="D86" s="60">
        <v>255</v>
      </c>
      <c r="E86" s="59">
        <v>0</v>
      </c>
      <c r="F86" s="59">
        <v>255</v>
      </c>
      <c r="G86" s="76" t="s">
        <v>1902</v>
      </c>
      <c r="H86" s="64" t="str">
        <f t="shared" ref="H86:H129" si="7">DEC2HEX((HEX2DEC(H85)+1),4)</f>
        <v>0755</v>
      </c>
      <c r="I86" s="59">
        <v>1</v>
      </c>
      <c r="J86" s="61"/>
    </row>
    <row r="87" spans="1:10" s="25" customFormat="1" ht="27" customHeight="1">
      <c r="A87" s="65">
        <f t="shared" si="6"/>
        <v>85</v>
      </c>
      <c r="B87" s="76" t="s">
        <v>1904</v>
      </c>
      <c r="C87" s="59">
        <v>255</v>
      </c>
      <c r="D87" s="60">
        <v>255</v>
      </c>
      <c r="E87" s="59">
        <v>0</v>
      </c>
      <c r="F87" s="59">
        <v>255</v>
      </c>
      <c r="G87" s="76" t="s">
        <v>1902</v>
      </c>
      <c r="H87" s="64" t="str">
        <f t="shared" si="7"/>
        <v>0756</v>
      </c>
      <c r="I87" s="59">
        <v>1</v>
      </c>
      <c r="J87" s="61"/>
    </row>
    <row r="88" spans="1:10" s="25" customFormat="1" ht="27" customHeight="1">
      <c r="A88" s="65">
        <f t="shared" si="6"/>
        <v>86</v>
      </c>
      <c r="B88" s="76" t="s">
        <v>1905</v>
      </c>
      <c r="C88" s="59">
        <v>255</v>
      </c>
      <c r="D88" s="60">
        <v>255</v>
      </c>
      <c r="E88" s="59">
        <v>0</v>
      </c>
      <c r="F88" s="59">
        <v>255</v>
      </c>
      <c r="G88" s="76" t="s">
        <v>1902</v>
      </c>
      <c r="H88" s="64" t="str">
        <f t="shared" si="7"/>
        <v>0757</v>
      </c>
      <c r="I88" s="59">
        <v>1</v>
      </c>
      <c r="J88" s="61"/>
    </row>
    <row r="89" spans="1:10" s="25" customFormat="1" ht="27" customHeight="1">
      <c r="A89" s="65">
        <f t="shared" si="6"/>
        <v>87</v>
      </c>
      <c r="B89" s="76" t="s">
        <v>1906</v>
      </c>
      <c r="C89" s="59">
        <v>255</v>
      </c>
      <c r="D89" s="60">
        <v>255</v>
      </c>
      <c r="E89" s="59">
        <v>0</v>
      </c>
      <c r="F89" s="59">
        <v>255</v>
      </c>
      <c r="G89" s="76" t="s">
        <v>1902</v>
      </c>
      <c r="H89" s="64" t="str">
        <f t="shared" si="7"/>
        <v>0758</v>
      </c>
      <c r="I89" s="59">
        <v>1</v>
      </c>
      <c r="J89" s="61"/>
    </row>
    <row r="90" spans="1:10" s="25" customFormat="1" ht="27" customHeight="1">
      <c r="A90" s="65">
        <f t="shared" si="6"/>
        <v>88</v>
      </c>
      <c r="B90" s="76" t="s">
        <v>1907</v>
      </c>
      <c r="C90" s="59">
        <v>255</v>
      </c>
      <c r="D90" s="60">
        <v>255</v>
      </c>
      <c r="E90" s="59">
        <v>0</v>
      </c>
      <c r="F90" s="59">
        <v>255</v>
      </c>
      <c r="G90" s="76" t="s">
        <v>1902</v>
      </c>
      <c r="H90" s="64" t="str">
        <f t="shared" si="7"/>
        <v>0759</v>
      </c>
      <c r="I90" s="59">
        <v>1</v>
      </c>
      <c r="J90" s="61"/>
    </row>
    <row r="91" spans="1:10" s="25" customFormat="1" ht="27" customHeight="1">
      <c r="A91" s="65">
        <f t="shared" si="6"/>
        <v>89</v>
      </c>
      <c r="B91" s="285" t="s">
        <v>2084</v>
      </c>
      <c r="C91" s="61">
        <v>32</v>
      </c>
      <c r="D91" s="61">
        <v>32</v>
      </c>
      <c r="E91" s="61">
        <v>0</v>
      </c>
      <c r="F91" s="61">
        <v>255</v>
      </c>
      <c r="G91" s="76" t="s">
        <v>2085</v>
      </c>
      <c r="H91" s="130" t="str">
        <f t="shared" si="7"/>
        <v>075A</v>
      </c>
      <c r="I91" s="61">
        <v>1</v>
      </c>
      <c r="J91" s="61"/>
    </row>
    <row r="92" spans="1:10" s="25" customFormat="1" ht="27" customHeight="1">
      <c r="A92" s="65">
        <f t="shared" si="6"/>
        <v>90</v>
      </c>
      <c r="B92" s="285" t="s">
        <v>2086</v>
      </c>
      <c r="C92" s="61">
        <v>32</v>
      </c>
      <c r="D92" s="61">
        <v>32</v>
      </c>
      <c r="E92" s="61">
        <v>0</v>
      </c>
      <c r="F92" s="61">
        <v>255</v>
      </c>
      <c r="G92" s="76" t="s">
        <v>2085</v>
      </c>
      <c r="H92" s="130" t="str">
        <f t="shared" si="7"/>
        <v>075B</v>
      </c>
      <c r="I92" s="61">
        <v>1</v>
      </c>
      <c r="J92" s="61"/>
    </row>
    <row r="93" spans="1:10" s="25" customFormat="1" ht="27" customHeight="1">
      <c r="A93" s="65">
        <f t="shared" si="6"/>
        <v>91</v>
      </c>
      <c r="B93" s="285" t="s">
        <v>2087</v>
      </c>
      <c r="C93" s="61">
        <v>32</v>
      </c>
      <c r="D93" s="61">
        <v>32</v>
      </c>
      <c r="E93" s="61">
        <v>0</v>
      </c>
      <c r="F93" s="61">
        <v>255</v>
      </c>
      <c r="G93" s="76" t="s">
        <v>2085</v>
      </c>
      <c r="H93" s="130" t="str">
        <f t="shared" si="7"/>
        <v>075C</v>
      </c>
      <c r="I93" s="61">
        <v>1</v>
      </c>
      <c r="J93" s="61"/>
    </row>
    <row r="94" spans="1:10" s="25" customFormat="1" ht="27" customHeight="1">
      <c r="A94" s="65">
        <f t="shared" si="6"/>
        <v>92</v>
      </c>
      <c r="B94" s="285" t="s">
        <v>2088</v>
      </c>
      <c r="C94" s="61">
        <v>32</v>
      </c>
      <c r="D94" s="61">
        <v>32</v>
      </c>
      <c r="E94" s="61">
        <v>0</v>
      </c>
      <c r="F94" s="61">
        <v>255</v>
      </c>
      <c r="G94" s="76" t="s">
        <v>2085</v>
      </c>
      <c r="H94" s="130" t="str">
        <f t="shared" si="7"/>
        <v>075D</v>
      </c>
      <c r="I94" s="61">
        <v>1</v>
      </c>
      <c r="J94" s="61"/>
    </row>
    <row r="95" spans="1:10" s="25" customFormat="1" ht="27" customHeight="1">
      <c r="A95" s="65">
        <f t="shared" si="6"/>
        <v>93</v>
      </c>
      <c r="B95" s="285" t="s">
        <v>2089</v>
      </c>
      <c r="C95" s="61">
        <v>32</v>
      </c>
      <c r="D95" s="61">
        <v>32</v>
      </c>
      <c r="E95" s="61">
        <v>0</v>
      </c>
      <c r="F95" s="61">
        <v>255</v>
      </c>
      <c r="G95" s="76" t="s">
        <v>2085</v>
      </c>
      <c r="H95" s="130" t="str">
        <f t="shared" si="7"/>
        <v>075E</v>
      </c>
      <c r="I95" s="61">
        <v>1</v>
      </c>
      <c r="J95" s="61"/>
    </row>
    <row r="96" spans="1:10" s="25" customFormat="1" ht="27" customHeight="1">
      <c r="A96" s="65">
        <f t="shared" si="6"/>
        <v>94</v>
      </c>
      <c r="B96" s="285" t="s">
        <v>2090</v>
      </c>
      <c r="C96" s="61">
        <v>32</v>
      </c>
      <c r="D96" s="61">
        <v>32</v>
      </c>
      <c r="E96" s="61">
        <v>0</v>
      </c>
      <c r="F96" s="61">
        <v>255</v>
      </c>
      <c r="G96" s="76" t="s">
        <v>2085</v>
      </c>
      <c r="H96" s="130" t="str">
        <f t="shared" si="7"/>
        <v>075F</v>
      </c>
      <c r="I96" s="61">
        <v>1</v>
      </c>
      <c r="J96" s="61"/>
    </row>
    <row r="97" spans="1:10" s="25" customFormat="1" ht="27" customHeight="1">
      <c r="A97" s="65">
        <f t="shared" si="6"/>
        <v>95</v>
      </c>
      <c r="B97" s="285" t="s">
        <v>2091</v>
      </c>
      <c r="C97" s="61">
        <v>32</v>
      </c>
      <c r="D97" s="61">
        <v>32</v>
      </c>
      <c r="E97" s="61">
        <v>0</v>
      </c>
      <c r="F97" s="61">
        <v>255</v>
      </c>
      <c r="G97" s="76" t="s">
        <v>2085</v>
      </c>
      <c r="H97" s="130" t="str">
        <f t="shared" si="7"/>
        <v>0760</v>
      </c>
      <c r="I97" s="61">
        <v>1</v>
      </c>
      <c r="J97" s="61"/>
    </row>
    <row r="98" spans="1:10" s="25" customFormat="1" ht="27" customHeight="1">
      <c r="A98" s="65">
        <f t="shared" si="6"/>
        <v>96</v>
      </c>
      <c r="B98" s="285" t="s">
        <v>2092</v>
      </c>
      <c r="C98" s="61">
        <v>32</v>
      </c>
      <c r="D98" s="61">
        <v>32</v>
      </c>
      <c r="E98" s="61">
        <v>0</v>
      </c>
      <c r="F98" s="61">
        <v>255</v>
      </c>
      <c r="G98" s="76" t="s">
        <v>2085</v>
      </c>
      <c r="H98" s="130" t="str">
        <f t="shared" si="7"/>
        <v>0761</v>
      </c>
      <c r="I98" s="61">
        <v>1</v>
      </c>
      <c r="J98" s="61"/>
    </row>
    <row r="99" spans="1:10" s="25" customFormat="1" ht="27" customHeight="1">
      <c r="A99" s="65">
        <f t="shared" si="6"/>
        <v>97</v>
      </c>
      <c r="B99" s="285" t="s">
        <v>2093</v>
      </c>
      <c r="C99" s="61">
        <v>32</v>
      </c>
      <c r="D99" s="61">
        <v>32</v>
      </c>
      <c r="E99" s="61">
        <v>0</v>
      </c>
      <c r="F99" s="61">
        <v>255</v>
      </c>
      <c r="G99" s="76" t="s">
        <v>2094</v>
      </c>
      <c r="H99" s="130" t="str">
        <f t="shared" si="7"/>
        <v>0762</v>
      </c>
      <c r="I99" s="61">
        <v>1</v>
      </c>
      <c r="J99" s="61"/>
    </row>
    <row r="100" spans="1:10" s="25" customFormat="1" ht="27" customHeight="1">
      <c r="A100" s="65">
        <f t="shared" si="6"/>
        <v>98</v>
      </c>
      <c r="B100" s="285" t="s">
        <v>2095</v>
      </c>
      <c r="C100" s="61">
        <v>32</v>
      </c>
      <c r="D100" s="61">
        <v>32</v>
      </c>
      <c r="E100" s="61">
        <v>0</v>
      </c>
      <c r="F100" s="61">
        <v>255</v>
      </c>
      <c r="G100" s="76" t="s">
        <v>2094</v>
      </c>
      <c r="H100" s="130" t="str">
        <f t="shared" si="7"/>
        <v>0763</v>
      </c>
      <c r="I100" s="61">
        <v>1</v>
      </c>
      <c r="J100" s="61"/>
    </row>
    <row r="101" spans="1:10" s="25" customFormat="1" ht="27" customHeight="1">
      <c r="A101" s="65">
        <f t="shared" si="6"/>
        <v>99</v>
      </c>
      <c r="B101" s="285" t="s">
        <v>2096</v>
      </c>
      <c r="C101" s="61">
        <v>32</v>
      </c>
      <c r="D101" s="61">
        <v>32</v>
      </c>
      <c r="E101" s="61">
        <v>0</v>
      </c>
      <c r="F101" s="61">
        <v>255</v>
      </c>
      <c r="G101" s="76" t="s">
        <v>2094</v>
      </c>
      <c r="H101" s="130" t="str">
        <f t="shared" si="7"/>
        <v>0764</v>
      </c>
      <c r="I101" s="61">
        <v>1</v>
      </c>
      <c r="J101" s="61"/>
    </row>
    <row r="102" spans="1:10" s="25" customFormat="1" ht="27" customHeight="1">
      <c r="A102" s="65">
        <f t="shared" si="6"/>
        <v>100</v>
      </c>
      <c r="B102" s="285" t="s">
        <v>2097</v>
      </c>
      <c r="C102" s="61">
        <v>32</v>
      </c>
      <c r="D102" s="61">
        <v>32</v>
      </c>
      <c r="E102" s="61">
        <v>0</v>
      </c>
      <c r="F102" s="61">
        <v>255</v>
      </c>
      <c r="G102" s="76" t="s">
        <v>2094</v>
      </c>
      <c r="H102" s="130" t="str">
        <f t="shared" si="7"/>
        <v>0765</v>
      </c>
      <c r="I102" s="61">
        <v>1</v>
      </c>
      <c r="J102" s="61"/>
    </row>
    <row r="103" spans="1:10" s="25" customFormat="1" ht="27" customHeight="1">
      <c r="A103" s="65">
        <f t="shared" si="6"/>
        <v>101</v>
      </c>
      <c r="B103" s="285" t="s">
        <v>2098</v>
      </c>
      <c r="C103" s="61">
        <v>32</v>
      </c>
      <c r="D103" s="61">
        <v>32</v>
      </c>
      <c r="E103" s="61">
        <v>0</v>
      </c>
      <c r="F103" s="61">
        <v>255</v>
      </c>
      <c r="G103" s="76" t="s">
        <v>2094</v>
      </c>
      <c r="H103" s="130" t="str">
        <f t="shared" si="7"/>
        <v>0766</v>
      </c>
      <c r="I103" s="61">
        <v>1</v>
      </c>
      <c r="J103" s="61"/>
    </row>
    <row r="104" spans="1:10" s="25" customFormat="1" ht="27" customHeight="1">
      <c r="A104" s="65">
        <f t="shared" si="6"/>
        <v>102</v>
      </c>
      <c r="B104" s="285" t="s">
        <v>2099</v>
      </c>
      <c r="C104" s="61">
        <v>32</v>
      </c>
      <c r="D104" s="61">
        <v>32</v>
      </c>
      <c r="E104" s="61">
        <v>0</v>
      </c>
      <c r="F104" s="61">
        <v>255</v>
      </c>
      <c r="G104" s="76" t="s">
        <v>2094</v>
      </c>
      <c r="H104" s="130" t="str">
        <f t="shared" si="7"/>
        <v>0767</v>
      </c>
      <c r="I104" s="61">
        <v>1</v>
      </c>
      <c r="J104" s="61"/>
    </row>
    <row r="105" spans="1:10" s="25" customFormat="1" ht="27" customHeight="1">
      <c r="A105" s="65">
        <f t="shared" si="6"/>
        <v>103</v>
      </c>
      <c r="B105" s="285" t="s">
        <v>2100</v>
      </c>
      <c r="C105" s="61">
        <v>32</v>
      </c>
      <c r="D105" s="61">
        <v>32</v>
      </c>
      <c r="E105" s="61">
        <v>0</v>
      </c>
      <c r="F105" s="61">
        <v>255</v>
      </c>
      <c r="G105" s="76" t="s">
        <v>2094</v>
      </c>
      <c r="H105" s="130" t="str">
        <f t="shared" si="7"/>
        <v>0768</v>
      </c>
      <c r="I105" s="61">
        <v>1</v>
      </c>
      <c r="J105" s="61"/>
    </row>
    <row r="106" spans="1:10" s="25" customFormat="1" ht="27" customHeight="1">
      <c r="A106" s="65">
        <f t="shared" si="6"/>
        <v>104</v>
      </c>
      <c r="B106" s="285" t="s">
        <v>2101</v>
      </c>
      <c r="C106" s="61">
        <v>32</v>
      </c>
      <c r="D106" s="61">
        <v>32</v>
      </c>
      <c r="E106" s="61">
        <v>0</v>
      </c>
      <c r="F106" s="61">
        <v>255</v>
      </c>
      <c r="G106" s="76" t="s">
        <v>2094</v>
      </c>
      <c r="H106" s="130" t="str">
        <f t="shared" si="7"/>
        <v>0769</v>
      </c>
      <c r="I106" s="61">
        <v>1</v>
      </c>
      <c r="J106" s="61"/>
    </row>
    <row r="107" spans="1:10" s="25" customFormat="1" ht="27" customHeight="1">
      <c r="A107" s="65">
        <f t="shared" si="6"/>
        <v>105</v>
      </c>
      <c r="B107" s="285" t="s">
        <v>2102</v>
      </c>
      <c r="C107" s="61">
        <v>32</v>
      </c>
      <c r="D107" s="61">
        <v>32</v>
      </c>
      <c r="E107" s="61">
        <v>0</v>
      </c>
      <c r="F107" s="61">
        <v>255</v>
      </c>
      <c r="G107" s="76" t="s">
        <v>2094</v>
      </c>
      <c r="H107" s="130" t="str">
        <f t="shared" si="7"/>
        <v>076A</v>
      </c>
      <c r="I107" s="61">
        <v>1</v>
      </c>
      <c r="J107" s="61"/>
    </row>
    <row r="108" spans="1:10" s="25" customFormat="1" ht="27" customHeight="1">
      <c r="A108" s="65">
        <f t="shared" si="6"/>
        <v>106</v>
      </c>
      <c r="B108" s="285" t="s">
        <v>2103</v>
      </c>
      <c r="C108" s="61">
        <v>32</v>
      </c>
      <c r="D108" s="61">
        <v>32</v>
      </c>
      <c r="E108" s="61">
        <v>0</v>
      </c>
      <c r="F108" s="61">
        <v>255</v>
      </c>
      <c r="G108" s="76" t="s">
        <v>2094</v>
      </c>
      <c r="H108" s="130" t="str">
        <f t="shared" si="7"/>
        <v>076B</v>
      </c>
      <c r="I108" s="61">
        <v>1</v>
      </c>
      <c r="J108" s="61"/>
    </row>
    <row r="109" spans="1:10" s="25" customFormat="1" ht="27" customHeight="1">
      <c r="A109" s="65">
        <f t="shared" si="6"/>
        <v>107</v>
      </c>
      <c r="B109" s="285" t="s">
        <v>2104</v>
      </c>
      <c r="C109" s="61">
        <v>32</v>
      </c>
      <c r="D109" s="61">
        <v>32</v>
      </c>
      <c r="E109" s="61">
        <v>0</v>
      </c>
      <c r="F109" s="61">
        <v>255</v>
      </c>
      <c r="G109" s="76" t="s">
        <v>2094</v>
      </c>
      <c r="H109" s="130" t="str">
        <f t="shared" si="7"/>
        <v>076C</v>
      </c>
      <c r="I109" s="61">
        <v>1</v>
      </c>
      <c r="J109" s="61"/>
    </row>
    <row r="110" spans="1:10" s="25" customFormat="1" ht="27" customHeight="1">
      <c r="A110" s="65">
        <f t="shared" si="6"/>
        <v>108</v>
      </c>
      <c r="B110" s="285" t="s">
        <v>2105</v>
      </c>
      <c r="C110" s="61">
        <v>32</v>
      </c>
      <c r="D110" s="61">
        <v>32</v>
      </c>
      <c r="E110" s="61">
        <v>0</v>
      </c>
      <c r="F110" s="61">
        <v>255</v>
      </c>
      <c r="G110" s="76" t="s">
        <v>2094</v>
      </c>
      <c r="H110" s="130" t="str">
        <f t="shared" si="7"/>
        <v>076D</v>
      </c>
      <c r="I110" s="61">
        <v>1</v>
      </c>
      <c r="J110" s="61"/>
    </row>
    <row r="111" spans="1:10" s="25" customFormat="1" ht="27" customHeight="1">
      <c r="A111" s="65">
        <f t="shared" si="6"/>
        <v>109</v>
      </c>
      <c r="B111" s="285" t="s">
        <v>2106</v>
      </c>
      <c r="C111" s="61">
        <v>32</v>
      </c>
      <c r="D111" s="61">
        <v>32</v>
      </c>
      <c r="E111" s="61">
        <v>0</v>
      </c>
      <c r="F111" s="61">
        <v>255</v>
      </c>
      <c r="G111" s="76" t="s">
        <v>2094</v>
      </c>
      <c r="H111" s="130" t="str">
        <f t="shared" si="7"/>
        <v>076E</v>
      </c>
      <c r="I111" s="61">
        <v>1</v>
      </c>
      <c r="J111" s="61"/>
    </row>
    <row r="112" spans="1:10" s="25" customFormat="1" ht="27" customHeight="1">
      <c r="A112" s="65">
        <f t="shared" si="6"/>
        <v>110</v>
      </c>
      <c r="B112" s="285" t="s">
        <v>2107</v>
      </c>
      <c r="C112" s="61">
        <v>32</v>
      </c>
      <c r="D112" s="61">
        <v>32</v>
      </c>
      <c r="E112" s="61">
        <v>0</v>
      </c>
      <c r="F112" s="61">
        <v>255</v>
      </c>
      <c r="G112" s="76" t="s">
        <v>2094</v>
      </c>
      <c r="H112" s="130" t="str">
        <f t="shared" si="7"/>
        <v>076F</v>
      </c>
      <c r="I112" s="61">
        <v>1</v>
      </c>
      <c r="J112" s="61"/>
    </row>
    <row r="113" spans="1:10" s="25" customFormat="1" ht="27" customHeight="1">
      <c r="A113" s="65">
        <f t="shared" si="6"/>
        <v>111</v>
      </c>
      <c r="B113" s="285" t="s">
        <v>2108</v>
      </c>
      <c r="C113" s="61">
        <v>32</v>
      </c>
      <c r="D113" s="61">
        <v>32</v>
      </c>
      <c r="E113" s="61">
        <v>0</v>
      </c>
      <c r="F113" s="61">
        <v>255</v>
      </c>
      <c r="G113" s="76" t="s">
        <v>2094</v>
      </c>
      <c r="H113" s="130" t="str">
        <f t="shared" si="7"/>
        <v>0770</v>
      </c>
      <c r="I113" s="61">
        <v>1</v>
      </c>
      <c r="J113" s="61"/>
    </row>
    <row r="114" spans="1:10" s="25" customFormat="1" ht="27" customHeight="1">
      <c r="A114" s="65">
        <f t="shared" si="6"/>
        <v>112</v>
      </c>
      <c r="B114" s="285" t="s">
        <v>2109</v>
      </c>
      <c r="C114" s="61">
        <v>32</v>
      </c>
      <c r="D114" s="61">
        <v>32</v>
      </c>
      <c r="E114" s="61">
        <v>0</v>
      </c>
      <c r="F114" s="61">
        <v>255</v>
      </c>
      <c r="G114" s="76" t="s">
        <v>2094</v>
      </c>
      <c r="H114" s="130" t="str">
        <f t="shared" si="7"/>
        <v>0771</v>
      </c>
      <c r="I114" s="61">
        <v>1</v>
      </c>
      <c r="J114" s="61"/>
    </row>
    <row r="115" spans="1:10" s="25" customFormat="1" ht="27" customHeight="1">
      <c r="A115" s="65">
        <f t="shared" si="6"/>
        <v>113</v>
      </c>
      <c r="B115" s="285" t="s">
        <v>2110</v>
      </c>
      <c r="C115" s="61">
        <v>32</v>
      </c>
      <c r="D115" s="61">
        <v>32</v>
      </c>
      <c r="E115" s="61">
        <v>0</v>
      </c>
      <c r="F115" s="61">
        <v>255</v>
      </c>
      <c r="G115" s="76" t="s">
        <v>2111</v>
      </c>
      <c r="H115" s="130" t="str">
        <f t="shared" si="7"/>
        <v>0772</v>
      </c>
      <c r="I115" s="61">
        <v>1</v>
      </c>
      <c r="J115" s="61"/>
    </row>
    <row r="116" spans="1:10" s="25" customFormat="1" ht="27" customHeight="1">
      <c r="A116" s="65">
        <f t="shared" si="6"/>
        <v>114</v>
      </c>
      <c r="B116" s="285" t="s">
        <v>2112</v>
      </c>
      <c r="C116" s="61">
        <v>0</v>
      </c>
      <c r="D116" s="61">
        <v>0</v>
      </c>
      <c r="E116" s="61">
        <v>0</v>
      </c>
      <c r="F116" s="61">
        <v>255</v>
      </c>
      <c r="G116" s="76" t="s">
        <v>2111</v>
      </c>
      <c r="H116" s="130" t="str">
        <f t="shared" si="7"/>
        <v>0773</v>
      </c>
      <c r="I116" s="61">
        <v>1</v>
      </c>
      <c r="J116" s="61"/>
    </row>
    <row r="117" spans="1:10" s="25" customFormat="1" ht="27" customHeight="1">
      <c r="A117" s="65">
        <f t="shared" si="6"/>
        <v>115</v>
      </c>
      <c r="B117" s="285" t="s">
        <v>2113</v>
      </c>
      <c r="C117" s="61">
        <v>1</v>
      </c>
      <c r="D117" s="61">
        <v>1</v>
      </c>
      <c r="E117" s="61">
        <v>0</v>
      </c>
      <c r="F117" s="61">
        <v>255</v>
      </c>
      <c r="G117" s="76" t="s">
        <v>2111</v>
      </c>
      <c r="H117" s="130" t="str">
        <f t="shared" si="7"/>
        <v>0774</v>
      </c>
      <c r="I117" s="61">
        <v>1</v>
      </c>
      <c r="J117" s="61"/>
    </row>
    <row r="118" spans="1:10" s="25" customFormat="1" ht="27" customHeight="1">
      <c r="A118" s="65">
        <f t="shared" si="6"/>
        <v>116</v>
      </c>
      <c r="B118" s="285" t="s">
        <v>2114</v>
      </c>
      <c r="C118" s="61">
        <v>1</v>
      </c>
      <c r="D118" s="61">
        <v>1</v>
      </c>
      <c r="E118" s="61">
        <v>0</v>
      </c>
      <c r="F118" s="61">
        <v>255</v>
      </c>
      <c r="G118" s="76" t="s">
        <v>2111</v>
      </c>
      <c r="H118" s="130" t="str">
        <f t="shared" si="7"/>
        <v>0775</v>
      </c>
      <c r="I118" s="61">
        <v>1</v>
      </c>
      <c r="J118" s="61"/>
    </row>
    <row r="119" spans="1:10" s="25" customFormat="1" ht="27" customHeight="1">
      <c r="A119" s="65">
        <f t="shared" si="6"/>
        <v>117</v>
      </c>
      <c r="B119" s="76" t="s">
        <v>2705</v>
      </c>
      <c r="C119" s="61">
        <v>255</v>
      </c>
      <c r="D119" s="61">
        <v>255</v>
      </c>
      <c r="E119" s="61">
        <v>0</v>
      </c>
      <c r="F119" s="61">
        <v>255</v>
      </c>
      <c r="G119" s="76" t="s">
        <v>2706</v>
      </c>
      <c r="H119" s="64" t="str">
        <f t="shared" si="7"/>
        <v>0776</v>
      </c>
      <c r="I119" s="59">
        <v>1</v>
      </c>
      <c r="J119" s="61"/>
    </row>
    <row r="120" spans="1:10" s="25" customFormat="1" ht="27" customHeight="1">
      <c r="A120" s="65">
        <f t="shared" si="6"/>
        <v>118</v>
      </c>
      <c r="B120" s="76" t="s">
        <v>2707</v>
      </c>
      <c r="C120" s="61">
        <v>255</v>
      </c>
      <c r="D120" s="61">
        <v>255</v>
      </c>
      <c r="E120" s="61">
        <v>0</v>
      </c>
      <c r="F120" s="61">
        <v>255</v>
      </c>
      <c r="G120" s="76" t="s">
        <v>2706</v>
      </c>
      <c r="H120" s="64" t="str">
        <f t="shared" si="7"/>
        <v>0777</v>
      </c>
      <c r="I120" s="59">
        <v>1</v>
      </c>
      <c r="J120" s="61"/>
    </row>
    <row r="121" spans="1:10" s="25" customFormat="1" ht="27" customHeight="1">
      <c r="A121" s="65">
        <f t="shared" si="6"/>
        <v>119</v>
      </c>
      <c r="B121" s="76" t="s">
        <v>2708</v>
      </c>
      <c r="C121" s="61">
        <v>255</v>
      </c>
      <c r="D121" s="61">
        <v>255</v>
      </c>
      <c r="E121" s="61">
        <v>0</v>
      </c>
      <c r="F121" s="61">
        <v>255</v>
      </c>
      <c r="G121" s="76" t="s">
        <v>2706</v>
      </c>
      <c r="H121" s="64" t="str">
        <f t="shared" si="7"/>
        <v>0778</v>
      </c>
      <c r="I121" s="59">
        <v>1</v>
      </c>
      <c r="J121" s="61"/>
    </row>
    <row r="122" spans="1:10" s="25" customFormat="1" ht="27" customHeight="1">
      <c r="A122" s="65">
        <f t="shared" si="6"/>
        <v>120</v>
      </c>
      <c r="B122" s="76" t="s">
        <v>2709</v>
      </c>
      <c r="C122" s="61">
        <v>255</v>
      </c>
      <c r="D122" s="61">
        <v>255</v>
      </c>
      <c r="E122" s="61">
        <v>0</v>
      </c>
      <c r="F122" s="61">
        <v>255</v>
      </c>
      <c r="G122" s="76" t="s">
        <v>2706</v>
      </c>
      <c r="H122" s="64" t="str">
        <f t="shared" si="7"/>
        <v>0779</v>
      </c>
      <c r="I122" s="59">
        <v>1</v>
      </c>
      <c r="J122" s="61"/>
    </row>
    <row r="123" spans="1:10" s="25" customFormat="1" ht="27" customHeight="1">
      <c r="A123" s="65">
        <f t="shared" si="6"/>
        <v>121</v>
      </c>
      <c r="B123" s="76" t="s">
        <v>2710</v>
      </c>
      <c r="C123" s="61">
        <v>255</v>
      </c>
      <c r="D123" s="61">
        <v>255</v>
      </c>
      <c r="E123" s="61">
        <v>0</v>
      </c>
      <c r="F123" s="61">
        <v>255</v>
      </c>
      <c r="G123" s="76" t="s">
        <v>2706</v>
      </c>
      <c r="H123" s="64" t="str">
        <f t="shared" si="7"/>
        <v>077A</v>
      </c>
      <c r="I123" s="59">
        <v>1</v>
      </c>
      <c r="J123" s="61"/>
    </row>
    <row r="124" spans="1:10" s="25" customFormat="1" ht="27" customHeight="1">
      <c r="A124" s="65">
        <f t="shared" si="6"/>
        <v>122</v>
      </c>
      <c r="B124" s="76" t="s">
        <v>2711</v>
      </c>
      <c r="C124" s="61">
        <v>255</v>
      </c>
      <c r="D124" s="61">
        <v>255</v>
      </c>
      <c r="E124" s="61">
        <v>0</v>
      </c>
      <c r="F124" s="61">
        <v>255</v>
      </c>
      <c r="G124" s="76" t="s">
        <v>2706</v>
      </c>
      <c r="H124" s="64" t="str">
        <f t="shared" si="7"/>
        <v>077B</v>
      </c>
      <c r="I124" s="59">
        <v>1</v>
      </c>
      <c r="J124" s="61"/>
    </row>
    <row r="125" spans="1:10" s="25" customFormat="1" ht="27" customHeight="1">
      <c r="A125" s="65">
        <f t="shared" si="6"/>
        <v>123</v>
      </c>
      <c r="B125" s="76" t="s">
        <v>2712</v>
      </c>
      <c r="C125" s="61">
        <v>255</v>
      </c>
      <c r="D125" s="61">
        <v>255</v>
      </c>
      <c r="E125" s="61">
        <v>0</v>
      </c>
      <c r="F125" s="61">
        <v>255</v>
      </c>
      <c r="G125" s="76" t="s">
        <v>2706</v>
      </c>
      <c r="H125" s="64" t="str">
        <f t="shared" si="7"/>
        <v>077C</v>
      </c>
      <c r="I125" s="59">
        <v>1</v>
      </c>
      <c r="J125" s="61"/>
    </row>
    <row r="126" spans="1:10" s="25" customFormat="1" ht="27" customHeight="1">
      <c r="A126" s="65">
        <f t="shared" si="6"/>
        <v>124</v>
      </c>
      <c r="B126" s="76" t="s">
        <v>2713</v>
      </c>
      <c r="C126" s="61">
        <v>255</v>
      </c>
      <c r="D126" s="61">
        <v>255</v>
      </c>
      <c r="E126" s="61">
        <v>0</v>
      </c>
      <c r="F126" s="61">
        <v>255</v>
      </c>
      <c r="G126" s="76" t="s">
        <v>2706</v>
      </c>
      <c r="H126" s="64" t="str">
        <f t="shared" si="7"/>
        <v>077D</v>
      </c>
      <c r="I126" s="59">
        <v>1</v>
      </c>
      <c r="J126" s="61"/>
    </row>
    <row r="127" spans="1:10" s="25" customFormat="1" ht="27" customHeight="1">
      <c r="A127" s="65">
        <f t="shared" si="6"/>
        <v>125</v>
      </c>
      <c r="B127" s="76" t="s">
        <v>2714</v>
      </c>
      <c r="C127" s="61">
        <v>255</v>
      </c>
      <c r="D127" s="61">
        <v>255</v>
      </c>
      <c r="E127" s="61">
        <v>0</v>
      </c>
      <c r="F127" s="61">
        <v>255</v>
      </c>
      <c r="G127" s="76" t="s">
        <v>2706</v>
      </c>
      <c r="H127" s="64" t="str">
        <f t="shared" si="7"/>
        <v>077E</v>
      </c>
      <c r="I127" s="59">
        <v>1</v>
      </c>
      <c r="J127" s="61"/>
    </row>
    <row r="128" spans="1:10" s="25" customFormat="1" ht="27" customHeight="1">
      <c r="A128" s="65">
        <f t="shared" si="6"/>
        <v>126</v>
      </c>
      <c r="B128" s="76" t="s">
        <v>2715</v>
      </c>
      <c r="C128" s="61">
        <v>255</v>
      </c>
      <c r="D128" s="61">
        <v>255</v>
      </c>
      <c r="E128" s="61">
        <v>0</v>
      </c>
      <c r="F128" s="61">
        <v>255</v>
      </c>
      <c r="G128" s="76" t="s">
        <v>2706</v>
      </c>
      <c r="H128" s="64" t="str">
        <f t="shared" si="7"/>
        <v>077F</v>
      </c>
      <c r="I128" s="59">
        <v>1</v>
      </c>
      <c r="J128" s="61"/>
    </row>
    <row r="129" spans="1:10" s="25" customFormat="1" ht="27" customHeight="1">
      <c r="A129" s="65">
        <f t="shared" si="6"/>
        <v>127</v>
      </c>
      <c r="B129" s="76" t="s">
        <v>2716</v>
      </c>
      <c r="C129" s="61">
        <v>255</v>
      </c>
      <c r="D129" s="61">
        <v>255</v>
      </c>
      <c r="E129" s="61">
        <v>0</v>
      </c>
      <c r="F129" s="61">
        <v>255</v>
      </c>
      <c r="G129" s="76" t="s">
        <v>2706</v>
      </c>
      <c r="H129" s="64" t="str">
        <f t="shared" si="7"/>
        <v>0780</v>
      </c>
      <c r="I129" s="59">
        <v>1</v>
      </c>
      <c r="J129" s="61"/>
    </row>
    <row r="130" spans="1:10" s="25" customFormat="1" ht="27" customHeight="1">
      <c r="A130" s="65">
        <f t="shared" ref="A130:A153" si="8">A129+1</f>
        <v>128</v>
      </c>
      <c r="B130" s="76" t="s">
        <v>2717</v>
      </c>
      <c r="C130" s="61">
        <v>255</v>
      </c>
      <c r="D130" s="61">
        <v>255</v>
      </c>
      <c r="E130" s="61">
        <v>0</v>
      </c>
      <c r="F130" s="61">
        <v>255</v>
      </c>
      <c r="G130" s="76" t="s">
        <v>2706</v>
      </c>
      <c r="H130" s="64" t="str">
        <f t="shared" ref="H130:H153" si="9">DEC2HEX((HEX2DEC(H129)+1),4)</f>
        <v>0781</v>
      </c>
      <c r="I130" s="59">
        <v>1</v>
      </c>
      <c r="J130" s="61"/>
    </row>
    <row r="131" spans="1:10" s="25" customFormat="1" ht="27" customHeight="1">
      <c r="A131" s="65">
        <f t="shared" si="8"/>
        <v>129</v>
      </c>
      <c r="B131" s="76" t="s">
        <v>2718</v>
      </c>
      <c r="C131" s="61">
        <v>255</v>
      </c>
      <c r="D131" s="61">
        <v>255</v>
      </c>
      <c r="E131" s="61">
        <v>0</v>
      </c>
      <c r="F131" s="61">
        <v>255</v>
      </c>
      <c r="G131" s="76" t="s">
        <v>2706</v>
      </c>
      <c r="H131" s="64" t="str">
        <f t="shared" si="9"/>
        <v>0782</v>
      </c>
      <c r="I131" s="59">
        <v>1</v>
      </c>
      <c r="J131" s="61"/>
    </row>
    <row r="132" spans="1:10" s="25" customFormat="1" ht="27" customHeight="1">
      <c r="A132" s="65">
        <f t="shared" si="8"/>
        <v>130</v>
      </c>
      <c r="B132" s="76" t="s">
        <v>2719</v>
      </c>
      <c r="C132" s="61">
        <v>255</v>
      </c>
      <c r="D132" s="61">
        <v>255</v>
      </c>
      <c r="E132" s="61">
        <v>0</v>
      </c>
      <c r="F132" s="61">
        <v>255</v>
      </c>
      <c r="G132" s="76" t="s">
        <v>2706</v>
      </c>
      <c r="H132" s="64" t="str">
        <f t="shared" si="9"/>
        <v>0783</v>
      </c>
      <c r="I132" s="59">
        <v>1</v>
      </c>
      <c r="J132" s="61"/>
    </row>
    <row r="133" spans="1:10" s="25" customFormat="1" ht="27" customHeight="1">
      <c r="A133" s="65">
        <f t="shared" si="8"/>
        <v>131</v>
      </c>
      <c r="B133" s="76" t="s">
        <v>2720</v>
      </c>
      <c r="C133" s="61">
        <v>255</v>
      </c>
      <c r="D133" s="61">
        <v>255</v>
      </c>
      <c r="E133" s="61">
        <v>0</v>
      </c>
      <c r="F133" s="61">
        <v>255</v>
      </c>
      <c r="G133" s="76" t="s">
        <v>2706</v>
      </c>
      <c r="H133" s="64" t="str">
        <f t="shared" si="9"/>
        <v>0784</v>
      </c>
      <c r="I133" s="59">
        <v>1</v>
      </c>
      <c r="J133" s="61"/>
    </row>
    <row r="134" spans="1:10" s="25" customFormat="1" ht="27" customHeight="1">
      <c r="A134" s="65">
        <f t="shared" si="8"/>
        <v>132</v>
      </c>
      <c r="B134" s="76" t="s">
        <v>2721</v>
      </c>
      <c r="C134" s="61">
        <v>255</v>
      </c>
      <c r="D134" s="61">
        <v>255</v>
      </c>
      <c r="E134" s="61">
        <v>0</v>
      </c>
      <c r="F134" s="61">
        <v>255</v>
      </c>
      <c r="G134" s="76" t="s">
        <v>2706</v>
      </c>
      <c r="H134" s="64" t="str">
        <f t="shared" si="9"/>
        <v>0785</v>
      </c>
      <c r="I134" s="59">
        <v>1</v>
      </c>
      <c r="J134" s="61"/>
    </row>
    <row r="135" spans="1:10" s="25" customFormat="1" ht="27" customHeight="1">
      <c r="A135" s="65">
        <f t="shared" si="8"/>
        <v>133</v>
      </c>
      <c r="B135" s="76" t="str">
        <f t="shared" ref="B135:B153" si="10">"reserved_byte" &amp;TEXT(A135,0)</f>
        <v>reserved_byte133</v>
      </c>
      <c r="C135" s="59">
        <v>255</v>
      </c>
      <c r="D135" s="60">
        <v>255</v>
      </c>
      <c r="E135" s="59">
        <v>0</v>
      </c>
      <c r="F135" s="59">
        <v>255</v>
      </c>
      <c r="G135" s="76" t="s">
        <v>59</v>
      </c>
      <c r="H135" s="64" t="str">
        <f t="shared" si="9"/>
        <v>0786</v>
      </c>
      <c r="I135" s="59">
        <v>1</v>
      </c>
      <c r="J135" s="61"/>
    </row>
    <row r="136" spans="1:10" s="25" customFormat="1" ht="27" customHeight="1">
      <c r="A136" s="65">
        <f t="shared" si="8"/>
        <v>134</v>
      </c>
      <c r="B136" s="76" t="str">
        <f t="shared" si="10"/>
        <v>reserved_byte134</v>
      </c>
      <c r="C136" s="59">
        <v>255</v>
      </c>
      <c r="D136" s="60">
        <v>255</v>
      </c>
      <c r="E136" s="59">
        <v>0</v>
      </c>
      <c r="F136" s="59">
        <v>255</v>
      </c>
      <c r="G136" s="76" t="s">
        <v>59</v>
      </c>
      <c r="H136" s="64" t="str">
        <f t="shared" si="9"/>
        <v>0787</v>
      </c>
      <c r="I136" s="59">
        <v>1</v>
      </c>
      <c r="J136" s="61"/>
    </row>
    <row r="137" spans="1:10" s="25" customFormat="1" ht="27" customHeight="1">
      <c r="A137" s="65">
        <f t="shared" si="8"/>
        <v>135</v>
      </c>
      <c r="B137" s="76" t="str">
        <f t="shared" si="10"/>
        <v>reserved_byte135</v>
      </c>
      <c r="C137" s="59">
        <v>255</v>
      </c>
      <c r="D137" s="60">
        <v>255</v>
      </c>
      <c r="E137" s="59">
        <v>0</v>
      </c>
      <c r="F137" s="59">
        <v>255</v>
      </c>
      <c r="G137" s="76" t="s">
        <v>59</v>
      </c>
      <c r="H137" s="64" t="str">
        <f t="shared" si="9"/>
        <v>0788</v>
      </c>
      <c r="I137" s="59">
        <v>1</v>
      </c>
      <c r="J137" s="61"/>
    </row>
    <row r="138" spans="1:10" s="25" customFormat="1" ht="27" customHeight="1">
      <c r="A138" s="65">
        <f t="shared" si="8"/>
        <v>136</v>
      </c>
      <c r="B138" s="76" t="str">
        <f t="shared" si="10"/>
        <v>reserved_byte136</v>
      </c>
      <c r="C138" s="59">
        <v>255</v>
      </c>
      <c r="D138" s="60">
        <v>255</v>
      </c>
      <c r="E138" s="59">
        <v>0</v>
      </c>
      <c r="F138" s="59">
        <v>255</v>
      </c>
      <c r="G138" s="76" t="s">
        <v>59</v>
      </c>
      <c r="H138" s="64" t="str">
        <f t="shared" si="9"/>
        <v>0789</v>
      </c>
      <c r="I138" s="59">
        <v>1</v>
      </c>
      <c r="J138" s="61"/>
    </row>
    <row r="139" spans="1:10" s="25" customFormat="1" ht="27" customHeight="1">
      <c r="A139" s="65">
        <f t="shared" si="8"/>
        <v>137</v>
      </c>
      <c r="B139" s="76" t="str">
        <f t="shared" si="10"/>
        <v>reserved_byte137</v>
      </c>
      <c r="C139" s="59">
        <v>255</v>
      </c>
      <c r="D139" s="60">
        <v>255</v>
      </c>
      <c r="E139" s="59">
        <v>0</v>
      </c>
      <c r="F139" s="59">
        <v>255</v>
      </c>
      <c r="G139" s="76" t="s">
        <v>59</v>
      </c>
      <c r="H139" s="64" t="str">
        <f t="shared" si="9"/>
        <v>078A</v>
      </c>
      <c r="I139" s="59">
        <v>1</v>
      </c>
      <c r="J139" s="61"/>
    </row>
    <row r="140" spans="1:10" s="25" customFormat="1" ht="27" customHeight="1">
      <c r="A140" s="65">
        <f t="shared" si="8"/>
        <v>138</v>
      </c>
      <c r="B140" s="76" t="str">
        <f t="shared" si="10"/>
        <v>reserved_byte138</v>
      </c>
      <c r="C140" s="59">
        <v>255</v>
      </c>
      <c r="D140" s="60">
        <v>255</v>
      </c>
      <c r="E140" s="59">
        <v>0</v>
      </c>
      <c r="F140" s="59">
        <v>255</v>
      </c>
      <c r="G140" s="76" t="s">
        <v>59</v>
      </c>
      <c r="H140" s="64" t="str">
        <f t="shared" si="9"/>
        <v>078B</v>
      </c>
      <c r="I140" s="59">
        <v>1</v>
      </c>
      <c r="J140" s="61"/>
    </row>
    <row r="141" spans="1:10" s="25" customFormat="1" ht="27" customHeight="1">
      <c r="A141" s="65">
        <f t="shared" si="8"/>
        <v>139</v>
      </c>
      <c r="B141" s="76" t="str">
        <f t="shared" si="10"/>
        <v>reserved_byte139</v>
      </c>
      <c r="C141" s="59">
        <v>255</v>
      </c>
      <c r="D141" s="60">
        <v>255</v>
      </c>
      <c r="E141" s="59">
        <v>0</v>
      </c>
      <c r="F141" s="59">
        <v>255</v>
      </c>
      <c r="G141" s="76" t="s">
        <v>59</v>
      </c>
      <c r="H141" s="64" t="str">
        <f t="shared" si="9"/>
        <v>078C</v>
      </c>
      <c r="I141" s="59">
        <v>1</v>
      </c>
      <c r="J141" s="61"/>
    </row>
    <row r="142" spans="1:10" s="25" customFormat="1" ht="27" customHeight="1">
      <c r="A142" s="65">
        <f t="shared" si="8"/>
        <v>140</v>
      </c>
      <c r="B142" s="76" t="str">
        <f t="shared" si="10"/>
        <v>reserved_byte140</v>
      </c>
      <c r="C142" s="59">
        <v>255</v>
      </c>
      <c r="D142" s="60">
        <v>255</v>
      </c>
      <c r="E142" s="59">
        <v>0</v>
      </c>
      <c r="F142" s="59">
        <v>255</v>
      </c>
      <c r="G142" s="76" t="s">
        <v>59</v>
      </c>
      <c r="H142" s="64" t="str">
        <f t="shared" si="9"/>
        <v>078D</v>
      </c>
      <c r="I142" s="59">
        <v>1</v>
      </c>
      <c r="J142" s="61"/>
    </row>
    <row r="143" spans="1:10" s="25" customFormat="1" ht="27" customHeight="1">
      <c r="A143" s="65">
        <f t="shared" si="8"/>
        <v>141</v>
      </c>
      <c r="B143" s="76" t="str">
        <f t="shared" si="10"/>
        <v>reserved_byte141</v>
      </c>
      <c r="C143" s="59">
        <v>255</v>
      </c>
      <c r="D143" s="60">
        <v>255</v>
      </c>
      <c r="E143" s="59">
        <v>0</v>
      </c>
      <c r="F143" s="59">
        <v>255</v>
      </c>
      <c r="G143" s="76" t="s">
        <v>59</v>
      </c>
      <c r="H143" s="64" t="str">
        <f t="shared" si="9"/>
        <v>078E</v>
      </c>
      <c r="I143" s="59">
        <v>1</v>
      </c>
      <c r="J143" s="61"/>
    </row>
    <row r="144" spans="1:10" s="25" customFormat="1" ht="27" customHeight="1">
      <c r="A144" s="65">
        <f t="shared" si="8"/>
        <v>142</v>
      </c>
      <c r="B144" s="76" t="str">
        <f t="shared" si="10"/>
        <v>reserved_byte142</v>
      </c>
      <c r="C144" s="59">
        <v>255</v>
      </c>
      <c r="D144" s="60">
        <v>255</v>
      </c>
      <c r="E144" s="59">
        <v>0</v>
      </c>
      <c r="F144" s="59">
        <v>255</v>
      </c>
      <c r="G144" s="76" t="s">
        <v>59</v>
      </c>
      <c r="H144" s="64" t="str">
        <f t="shared" si="9"/>
        <v>078F</v>
      </c>
      <c r="I144" s="59">
        <v>1</v>
      </c>
      <c r="J144" s="61"/>
    </row>
    <row r="145" spans="1:10" s="25" customFormat="1" ht="27" customHeight="1">
      <c r="A145" s="65">
        <f t="shared" si="8"/>
        <v>143</v>
      </c>
      <c r="B145" s="76" t="str">
        <f t="shared" si="10"/>
        <v>reserved_byte143</v>
      </c>
      <c r="C145" s="59">
        <v>255</v>
      </c>
      <c r="D145" s="60">
        <v>255</v>
      </c>
      <c r="E145" s="59">
        <v>0</v>
      </c>
      <c r="F145" s="59">
        <v>255</v>
      </c>
      <c r="G145" s="76" t="s">
        <v>59</v>
      </c>
      <c r="H145" s="64" t="str">
        <f t="shared" si="9"/>
        <v>0790</v>
      </c>
      <c r="I145" s="59">
        <v>1</v>
      </c>
      <c r="J145" s="61"/>
    </row>
    <row r="146" spans="1:10" s="25" customFormat="1" ht="27" customHeight="1">
      <c r="A146" s="65">
        <f t="shared" si="8"/>
        <v>144</v>
      </c>
      <c r="B146" s="76" t="str">
        <f t="shared" si="10"/>
        <v>reserved_byte144</v>
      </c>
      <c r="C146" s="59">
        <v>255</v>
      </c>
      <c r="D146" s="60">
        <v>255</v>
      </c>
      <c r="E146" s="59">
        <v>0</v>
      </c>
      <c r="F146" s="59">
        <v>255</v>
      </c>
      <c r="G146" s="76" t="s">
        <v>59</v>
      </c>
      <c r="H146" s="64" t="str">
        <f t="shared" si="9"/>
        <v>0791</v>
      </c>
      <c r="I146" s="59">
        <v>1</v>
      </c>
      <c r="J146" s="61"/>
    </row>
    <row r="147" spans="1:10" s="25" customFormat="1" ht="27" customHeight="1">
      <c r="A147" s="65">
        <f t="shared" si="8"/>
        <v>145</v>
      </c>
      <c r="B147" s="76" t="str">
        <f t="shared" si="10"/>
        <v>reserved_byte145</v>
      </c>
      <c r="C147" s="59">
        <v>255</v>
      </c>
      <c r="D147" s="60">
        <v>255</v>
      </c>
      <c r="E147" s="59">
        <v>0</v>
      </c>
      <c r="F147" s="59">
        <v>255</v>
      </c>
      <c r="G147" s="76" t="s">
        <v>59</v>
      </c>
      <c r="H147" s="64" t="str">
        <f t="shared" si="9"/>
        <v>0792</v>
      </c>
      <c r="I147" s="59">
        <v>1</v>
      </c>
      <c r="J147" s="61"/>
    </row>
    <row r="148" spans="1:10" s="25" customFormat="1" ht="27" customHeight="1">
      <c r="A148" s="65">
        <f t="shared" si="8"/>
        <v>146</v>
      </c>
      <c r="B148" s="76" t="str">
        <f t="shared" si="10"/>
        <v>reserved_byte146</v>
      </c>
      <c r="C148" s="59">
        <v>255</v>
      </c>
      <c r="D148" s="60">
        <v>255</v>
      </c>
      <c r="E148" s="59">
        <v>0</v>
      </c>
      <c r="F148" s="59">
        <v>255</v>
      </c>
      <c r="G148" s="76" t="s">
        <v>59</v>
      </c>
      <c r="H148" s="64" t="str">
        <f t="shared" si="9"/>
        <v>0793</v>
      </c>
      <c r="I148" s="59">
        <v>1</v>
      </c>
      <c r="J148" s="61"/>
    </row>
    <row r="149" spans="1:10" s="25" customFormat="1" ht="27" customHeight="1">
      <c r="A149" s="65">
        <f t="shared" si="8"/>
        <v>147</v>
      </c>
      <c r="B149" s="76" t="str">
        <f t="shared" si="10"/>
        <v>reserved_byte147</v>
      </c>
      <c r="C149" s="59">
        <v>255</v>
      </c>
      <c r="D149" s="60">
        <v>255</v>
      </c>
      <c r="E149" s="59">
        <v>0</v>
      </c>
      <c r="F149" s="59">
        <v>255</v>
      </c>
      <c r="G149" s="76" t="s">
        <v>59</v>
      </c>
      <c r="H149" s="64" t="str">
        <f t="shared" si="9"/>
        <v>0794</v>
      </c>
      <c r="I149" s="59">
        <v>1</v>
      </c>
      <c r="J149" s="61"/>
    </row>
    <row r="150" spans="1:10" s="25" customFormat="1" ht="27" customHeight="1">
      <c r="A150" s="65">
        <f t="shared" si="8"/>
        <v>148</v>
      </c>
      <c r="B150" s="76" t="str">
        <f t="shared" si="10"/>
        <v>reserved_byte148</v>
      </c>
      <c r="C150" s="59">
        <v>255</v>
      </c>
      <c r="D150" s="60">
        <v>255</v>
      </c>
      <c r="E150" s="59">
        <v>0</v>
      </c>
      <c r="F150" s="59">
        <v>255</v>
      </c>
      <c r="G150" s="76" t="s">
        <v>59</v>
      </c>
      <c r="H150" s="64" t="str">
        <f t="shared" si="9"/>
        <v>0795</v>
      </c>
      <c r="I150" s="59">
        <v>1</v>
      </c>
      <c r="J150" s="61"/>
    </row>
    <row r="151" spans="1:10" s="25" customFormat="1" ht="27" customHeight="1">
      <c r="A151" s="65">
        <f t="shared" si="8"/>
        <v>149</v>
      </c>
      <c r="B151" s="76" t="str">
        <f t="shared" si="10"/>
        <v>reserved_byte149</v>
      </c>
      <c r="C151" s="59">
        <v>255</v>
      </c>
      <c r="D151" s="60">
        <v>255</v>
      </c>
      <c r="E151" s="59">
        <v>0</v>
      </c>
      <c r="F151" s="59">
        <v>255</v>
      </c>
      <c r="G151" s="76" t="s">
        <v>59</v>
      </c>
      <c r="H151" s="64" t="str">
        <f t="shared" si="9"/>
        <v>0796</v>
      </c>
      <c r="I151" s="59">
        <v>1</v>
      </c>
      <c r="J151" s="61"/>
    </row>
    <row r="152" spans="1:10" s="25" customFormat="1" ht="27" customHeight="1">
      <c r="A152" s="65">
        <f t="shared" si="8"/>
        <v>150</v>
      </c>
      <c r="B152" s="76" t="str">
        <f t="shared" si="10"/>
        <v>reserved_byte150</v>
      </c>
      <c r="C152" s="59">
        <v>255</v>
      </c>
      <c r="D152" s="60">
        <v>255</v>
      </c>
      <c r="E152" s="59">
        <v>0</v>
      </c>
      <c r="F152" s="59">
        <v>255</v>
      </c>
      <c r="G152" s="76" t="s">
        <v>59</v>
      </c>
      <c r="H152" s="64" t="str">
        <f t="shared" si="9"/>
        <v>0797</v>
      </c>
      <c r="I152" s="59">
        <v>1</v>
      </c>
      <c r="J152" s="61"/>
    </row>
    <row r="153" spans="1:10" s="25" customFormat="1" ht="27" customHeight="1">
      <c r="A153" s="65">
        <f t="shared" si="8"/>
        <v>151</v>
      </c>
      <c r="B153" s="76" t="str">
        <f t="shared" si="10"/>
        <v>reserved_byte151</v>
      </c>
      <c r="C153" s="59">
        <v>255</v>
      </c>
      <c r="D153" s="60">
        <v>255</v>
      </c>
      <c r="E153" s="59">
        <v>0</v>
      </c>
      <c r="F153" s="59">
        <v>255</v>
      </c>
      <c r="G153" s="76" t="s">
        <v>59</v>
      </c>
      <c r="H153" s="64" t="str">
        <f t="shared" si="9"/>
        <v>0798</v>
      </c>
      <c r="I153" s="59">
        <v>1</v>
      </c>
      <c r="J153" s="61"/>
    </row>
  </sheetData>
  <dataValidations count="3">
    <dataValidation type="decimal" operator="lessThanOrEqual" allowBlank="1" showInputMessage="1" showErrorMessage="1" sqref="F2:F153">
      <formula1>255</formula1>
    </dataValidation>
    <dataValidation type="decimal" allowBlank="1" showInputMessage="1" showErrorMessage="1" sqref="D135:D153 D86:D90 D66:D77">
      <formula1>E66</formula1>
      <formula2>F66</formula2>
    </dataValidation>
    <dataValidation type="decimal" allowBlank="1" showInputMessage="1" showErrorMessage="1" sqref="D91:D134 D78:D85 C2:C1048576 D2:D65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0">
    <tabColor rgb="FFFF0000"/>
    <pageSetUpPr fitToPage="1"/>
  </sheetPr>
  <dimension ref="A1:L61"/>
  <sheetViews>
    <sheetView zoomScale="70" zoomScaleNormal="70" workbookViewId="0">
      <selection activeCell="B3" sqref="A1:L61"/>
    </sheetView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70.140625" style="2" bestFit="1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2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2" s="25" customFormat="1" ht="23.25" customHeight="1">
      <c r="A2" s="65">
        <v>0</v>
      </c>
      <c r="B2" s="324" t="s">
        <v>2725</v>
      </c>
      <c r="C2" s="325">
        <v>116</v>
      </c>
      <c r="D2" s="325">
        <v>116</v>
      </c>
      <c r="E2" s="59">
        <v>0</v>
      </c>
      <c r="F2" s="59">
        <v>254</v>
      </c>
      <c r="G2" s="76" t="s">
        <v>3323</v>
      </c>
      <c r="H2" s="63">
        <v>1701</v>
      </c>
      <c r="I2" s="59">
        <v>2.5</v>
      </c>
      <c r="J2" s="61" t="s">
        <v>2697</v>
      </c>
      <c r="L2" s="25">
        <f>C2*I2</f>
        <v>290</v>
      </c>
    </row>
    <row r="3" spans="1:12" s="25" customFormat="1" ht="27" customHeight="1">
      <c r="A3" s="65">
        <f t="shared" ref="A3:A34" si="0">A2+1</f>
        <v>1</v>
      </c>
      <c r="B3" s="324" t="s">
        <v>2726</v>
      </c>
      <c r="C3" s="325">
        <v>108</v>
      </c>
      <c r="D3" s="325">
        <v>108</v>
      </c>
      <c r="E3" s="59">
        <v>0</v>
      </c>
      <c r="F3" s="59">
        <v>254</v>
      </c>
      <c r="G3" s="76" t="s">
        <v>3324</v>
      </c>
      <c r="H3" s="64" t="str">
        <f t="shared" ref="H3:H34" si="1">DEC2HEX((HEX2DEC(H2)+1),4)</f>
        <v>1702</v>
      </c>
      <c r="I3" s="59">
        <v>2.5</v>
      </c>
      <c r="J3" s="61" t="s">
        <v>2697</v>
      </c>
      <c r="L3" s="25">
        <f>C3*I3</f>
        <v>270</v>
      </c>
    </row>
    <row r="4" spans="1:12" s="25" customFormat="1" ht="27" customHeight="1">
      <c r="A4" s="65">
        <f t="shared" si="0"/>
        <v>2</v>
      </c>
      <c r="B4" s="76" t="s">
        <v>2727</v>
      </c>
      <c r="C4" s="59">
        <v>255</v>
      </c>
      <c r="D4" s="60">
        <v>255</v>
      </c>
      <c r="E4" s="59">
        <v>0</v>
      </c>
      <c r="F4" s="59">
        <v>255</v>
      </c>
      <c r="G4" s="76" t="s">
        <v>2696</v>
      </c>
      <c r="H4" s="64" t="str">
        <f t="shared" si="1"/>
        <v>1703</v>
      </c>
      <c r="I4" s="59">
        <v>1</v>
      </c>
      <c r="J4" s="61" t="s">
        <v>108</v>
      </c>
    </row>
    <row r="5" spans="1:12" s="25" customFormat="1" ht="27" customHeight="1">
      <c r="A5" s="65">
        <f t="shared" si="0"/>
        <v>3</v>
      </c>
      <c r="B5" s="76" t="s">
        <v>2728</v>
      </c>
      <c r="C5" s="59">
        <v>255</v>
      </c>
      <c r="D5" s="60">
        <v>255</v>
      </c>
      <c r="E5" s="59">
        <v>0</v>
      </c>
      <c r="F5" s="59">
        <v>255</v>
      </c>
      <c r="G5" s="76" t="s">
        <v>2694</v>
      </c>
      <c r="H5" s="64" t="str">
        <f t="shared" si="1"/>
        <v>1704</v>
      </c>
      <c r="I5" s="59">
        <v>1</v>
      </c>
      <c r="J5" s="61" t="s">
        <v>108</v>
      </c>
    </row>
    <row r="6" spans="1:12" s="25" customFormat="1" ht="27" customHeight="1">
      <c r="A6" s="65">
        <f t="shared" si="0"/>
        <v>4</v>
      </c>
      <c r="B6" s="76" t="s">
        <v>2729</v>
      </c>
      <c r="C6" s="59">
        <v>1</v>
      </c>
      <c r="D6" s="60">
        <v>1</v>
      </c>
      <c r="E6" s="59">
        <v>0</v>
      </c>
      <c r="F6" s="59">
        <v>255</v>
      </c>
      <c r="G6" s="76" t="s">
        <v>2695</v>
      </c>
      <c r="H6" s="64" t="str">
        <f t="shared" si="1"/>
        <v>1705</v>
      </c>
      <c r="I6" s="59">
        <v>1</v>
      </c>
      <c r="J6" s="61" t="s">
        <v>108</v>
      </c>
    </row>
    <row r="7" spans="1:12" s="25" customFormat="1" ht="27" customHeight="1">
      <c r="A7" s="65">
        <f t="shared" si="0"/>
        <v>5</v>
      </c>
      <c r="B7" s="324" t="s">
        <v>2730</v>
      </c>
      <c r="C7" s="355">
        <v>152</v>
      </c>
      <c r="D7" s="355">
        <v>152</v>
      </c>
      <c r="E7" s="61">
        <v>0</v>
      </c>
      <c r="F7" s="61">
        <v>254</v>
      </c>
      <c r="G7" s="76" t="s">
        <v>3325</v>
      </c>
      <c r="H7" s="64" t="str">
        <f t="shared" si="1"/>
        <v>1706</v>
      </c>
      <c r="I7" s="59">
        <v>2.5</v>
      </c>
      <c r="J7" s="61" t="s">
        <v>2697</v>
      </c>
      <c r="L7" s="25">
        <f t="shared" ref="L7" si="2">C7*I7</f>
        <v>380</v>
      </c>
    </row>
    <row r="8" spans="1:12" s="25" customFormat="1" ht="27" customHeight="1">
      <c r="A8" s="65">
        <f t="shared" si="0"/>
        <v>6</v>
      </c>
      <c r="B8" s="76" t="s">
        <v>2731</v>
      </c>
      <c r="C8" s="61">
        <v>1</v>
      </c>
      <c r="D8" s="129">
        <v>1</v>
      </c>
      <c r="E8" s="61">
        <v>0</v>
      </c>
      <c r="F8" s="61">
        <v>255</v>
      </c>
      <c r="G8" s="76" t="s">
        <v>2698</v>
      </c>
      <c r="H8" s="130" t="str">
        <f t="shared" si="1"/>
        <v>1707</v>
      </c>
      <c r="I8" s="61">
        <v>1</v>
      </c>
      <c r="J8" s="61" t="s">
        <v>108</v>
      </c>
    </row>
    <row r="9" spans="1:12" s="25" customFormat="1" ht="27" customHeight="1">
      <c r="A9" s="65">
        <f t="shared" si="0"/>
        <v>7</v>
      </c>
      <c r="B9" s="76" t="s">
        <v>2732</v>
      </c>
      <c r="C9" s="59">
        <v>5</v>
      </c>
      <c r="D9" s="60">
        <v>5</v>
      </c>
      <c r="E9" s="59">
        <v>0</v>
      </c>
      <c r="F9" s="59">
        <v>255</v>
      </c>
      <c r="G9" s="76" t="s">
        <v>2693</v>
      </c>
      <c r="H9" s="64" t="str">
        <f t="shared" si="1"/>
        <v>1708</v>
      </c>
      <c r="I9" s="59">
        <v>1</v>
      </c>
      <c r="J9" s="61" t="s">
        <v>108</v>
      </c>
    </row>
    <row r="10" spans="1:12" s="25" customFormat="1" ht="27" customHeight="1">
      <c r="A10" s="65">
        <f t="shared" si="0"/>
        <v>8</v>
      </c>
      <c r="B10" s="76" t="str">
        <f t="shared" ref="B10:B33" si="3">"reserved_byte" &amp;TEXT(A10,0)</f>
        <v>reserved_byte8</v>
      </c>
      <c r="C10" s="59">
        <v>255</v>
      </c>
      <c r="D10" s="60">
        <v>255</v>
      </c>
      <c r="E10" s="59">
        <v>0</v>
      </c>
      <c r="F10" s="59">
        <v>255</v>
      </c>
      <c r="G10" s="76" t="s">
        <v>59</v>
      </c>
      <c r="H10" s="64" t="str">
        <f t="shared" si="1"/>
        <v>1709</v>
      </c>
      <c r="I10" s="59">
        <v>1</v>
      </c>
      <c r="J10" s="61"/>
    </row>
    <row r="11" spans="1:12" s="25" customFormat="1" ht="27" customHeight="1">
      <c r="A11" s="65">
        <f t="shared" si="0"/>
        <v>9</v>
      </c>
      <c r="B11" s="76" t="str">
        <f t="shared" si="3"/>
        <v>reserved_byte9</v>
      </c>
      <c r="C11" s="59">
        <v>255</v>
      </c>
      <c r="D11" s="60">
        <v>255</v>
      </c>
      <c r="E11" s="59">
        <v>0</v>
      </c>
      <c r="F11" s="59">
        <v>255</v>
      </c>
      <c r="G11" s="76" t="s">
        <v>59</v>
      </c>
      <c r="H11" s="64" t="str">
        <f t="shared" si="1"/>
        <v>170A</v>
      </c>
      <c r="I11" s="59">
        <v>1</v>
      </c>
      <c r="J11" s="61"/>
    </row>
    <row r="12" spans="1:12" s="25" customFormat="1" ht="27" customHeight="1">
      <c r="A12" s="65">
        <f t="shared" si="0"/>
        <v>10</v>
      </c>
      <c r="B12" s="76" t="str">
        <f t="shared" si="3"/>
        <v>reserved_byte10</v>
      </c>
      <c r="C12" s="59">
        <v>255</v>
      </c>
      <c r="D12" s="60">
        <v>255</v>
      </c>
      <c r="E12" s="59">
        <v>0</v>
      </c>
      <c r="F12" s="59">
        <v>255</v>
      </c>
      <c r="G12" s="76" t="s">
        <v>59</v>
      </c>
      <c r="H12" s="64" t="str">
        <f t="shared" si="1"/>
        <v>170B</v>
      </c>
      <c r="I12" s="59">
        <v>1</v>
      </c>
      <c r="J12" s="61"/>
    </row>
    <row r="13" spans="1:12" s="25" customFormat="1" ht="27" customHeight="1">
      <c r="A13" s="65">
        <f t="shared" si="0"/>
        <v>11</v>
      </c>
      <c r="B13" s="76" t="str">
        <f t="shared" si="3"/>
        <v>reserved_byte11</v>
      </c>
      <c r="C13" s="59">
        <v>255</v>
      </c>
      <c r="D13" s="60">
        <v>255</v>
      </c>
      <c r="E13" s="59">
        <v>0</v>
      </c>
      <c r="F13" s="59">
        <v>255</v>
      </c>
      <c r="G13" s="76" t="s">
        <v>59</v>
      </c>
      <c r="H13" s="64" t="str">
        <f t="shared" si="1"/>
        <v>170C</v>
      </c>
      <c r="I13" s="59">
        <v>1</v>
      </c>
      <c r="J13" s="61"/>
    </row>
    <row r="14" spans="1:12" s="25" customFormat="1" ht="27" customHeight="1">
      <c r="A14" s="65">
        <f t="shared" si="0"/>
        <v>12</v>
      </c>
      <c r="B14" s="76" t="str">
        <f t="shared" si="3"/>
        <v>reserved_byte12</v>
      </c>
      <c r="C14" s="59">
        <v>255</v>
      </c>
      <c r="D14" s="60">
        <v>255</v>
      </c>
      <c r="E14" s="59">
        <v>0</v>
      </c>
      <c r="F14" s="59">
        <v>255</v>
      </c>
      <c r="G14" s="76" t="s">
        <v>59</v>
      </c>
      <c r="H14" s="64" t="str">
        <f t="shared" si="1"/>
        <v>170D</v>
      </c>
      <c r="I14" s="59">
        <v>1</v>
      </c>
      <c r="J14" s="61"/>
    </row>
    <row r="15" spans="1:12" s="25" customFormat="1" ht="27" customHeight="1">
      <c r="A15" s="65">
        <f t="shared" si="0"/>
        <v>13</v>
      </c>
      <c r="B15" s="76" t="str">
        <f t="shared" si="3"/>
        <v>reserved_byte13</v>
      </c>
      <c r="C15" s="59">
        <v>255</v>
      </c>
      <c r="D15" s="60">
        <v>255</v>
      </c>
      <c r="E15" s="59">
        <v>0</v>
      </c>
      <c r="F15" s="59">
        <v>255</v>
      </c>
      <c r="G15" s="76" t="s">
        <v>59</v>
      </c>
      <c r="H15" s="64" t="str">
        <f t="shared" si="1"/>
        <v>170E</v>
      </c>
      <c r="I15" s="59">
        <v>1</v>
      </c>
      <c r="J15" s="61"/>
    </row>
    <row r="16" spans="1:12" s="25" customFormat="1" ht="27" customHeight="1">
      <c r="A16" s="65">
        <f t="shared" si="0"/>
        <v>14</v>
      </c>
      <c r="B16" s="76" t="str">
        <f t="shared" si="3"/>
        <v>reserved_byte14</v>
      </c>
      <c r="C16" s="59">
        <v>255</v>
      </c>
      <c r="D16" s="60">
        <v>255</v>
      </c>
      <c r="E16" s="59">
        <v>0</v>
      </c>
      <c r="F16" s="59">
        <v>255</v>
      </c>
      <c r="G16" s="76" t="s">
        <v>59</v>
      </c>
      <c r="H16" s="64" t="str">
        <f t="shared" si="1"/>
        <v>170F</v>
      </c>
      <c r="I16" s="59">
        <v>1</v>
      </c>
      <c r="J16" s="61"/>
    </row>
    <row r="17" spans="1:10" s="25" customFormat="1" ht="27" customHeight="1">
      <c r="A17" s="65">
        <f t="shared" si="0"/>
        <v>15</v>
      </c>
      <c r="B17" s="76" t="str">
        <f t="shared" si="3"/>
        <v>reserved_byte15</v>
      </c>
      <c r="C17" s="59">
        <v>255</v>
      </c>
      <c r="D17" s="60">
        <v>255</v>
      </c>
      <c r="E17" s="59">
        <v>0</v>
      </c>
      <c r="F17" s="59">
        <v>255</v>
      </c>
      <c r="G17" s="76" t="s">
        <v>59</v>
      </c>
      <c r="H17" s="64" t="str">
        <f t="shared" si="1"/>
        <v>1710</v>
      </c>
      <c r="I17" s="59">
        <v>1</v>
      </c>
      <c r="J17" s="61"/>
    </row>
    <row r="18" spans="1:10" s="25" customFormat="1" ht="27" customHeight="1">
      <c r="A18" s="65">
        <f t="shared" si="0"/>
        <v>16</v>
      </c>
      <c r="B18" s="76" t="str">
        <f t="shared" si="3"/>
        <v>reserved_byte16</v>
      </c>
      <c r="C18" s="59">
        <v>255</v>
      </c>
      <c r="D18" s="60">
        <v>255</v>
      </c>
      <c r="E18" s="59">
        <v>0</v>
      </c>
      <c r="F18" s="59">
        <v>255</v>
      </c>
      <c r="G18" s="76" t="s">
        <v>59</v>
      </c>
      <c r="H18" s="64" t="str">
        <f t="shared" si="1"/>
        <v>1711</v>
      </c>
      <c r="I18" s="59">
        <v>1</v>
      </c>
      <c r="J18" s="61"/>
    </row>
    <row r="19" spans="1:10" s="25" customFormat="1" ht="27" customHeight="1">
      <c r="A19" s="65">
        <f t="shared" si="0"/>
        <v>17</v>
      </c>
      <c r="B19" s="76" t="str">
        <f t="shared" si="3"/>
        <v>reserved_byte17</v>
      </c>
      <c r="C19" s="59">
        <v>255</v>
      </c>
      <c r="D19" s="60">
        <v>255</v>
      </c>
      <c r="E19" s="59">
        <v>0</v>
      </c>
      <c r="F19" s="59">
        <v>255</v>
      </c>
      <c r="G19" s="76" t="s">
        <v>59</v>
      </c>
      <c r="H19" s="64" t="str">
        <f t="shared" si="1"/>
        <v>1712</v>
      </c>
      <c r="I19" s="59">
        <v>1</v>
      </c>
      <c r="J19" s="61"/>
    </row>
    <row r="20" spans="1:10" s="25" customFormat="1" ht="27" customHeight="1">
      <c r="A20" s="65">
        <f t="shared" si="0"/>
        <v>18</v>
      </c>
      <c r="B20" s="76" t="str">
        <f t="shared" si="3"/>
        <v>reserved_byte18</v>
      </c>
      <c r="C20" s="59">
        <v>255</v>
      </c>
      <c r="D20" s="60">
        <v>255</v>
      </c>
      <c r="E20" s="59">
        <v>0</v>
      </c>
      <c r="F20" s="59">
        <v>255</v>
      </c>
      <c r="G20" s="76" t="s">
        <v>59</v>
      </c>
      <c r="H20" s="64" t="str">
        <f t="shared" si="1"/>
        <v>1713</v>
      </c>
      <c r="I20" s="59">
        <v>1</v>
      </c>
      <c r="J20" s="61"/>
    </row>
    <row r="21" spans="1:10" s="25" customFormat="1" ht="27" customHeight="1">
      <c r="A21" s="65">
        <f t="shared" si="0"/>
        <v>19</v>
      </c>
      <c r="B21" s="76" t="str">
        <f t="shared" si="3"/>
        <v>reserved_byte19</v>
      </c>
      <c r="C21" s="59">
        <v>255</v>
      </c>
      <c r="D21" s="60">
        <v>255</v>
      </c>
      <c r="E21" s="59">
        <v>0</v>
      </c>
      <c r="F21" s="59">
        <v>255</v>
      </c>
      <c r="G21" s="76" t="s">
        <v>59</v>
      </c>
      <c r="H21" s="64" t="str">
        <f t="shared" si="1"/>
        <v>1714</v>
      </c>
      <c r="I21" s="59">
        <v>1</v>
      </c>
      <c r="J21" s="61"/>
    </row>
    <row r="22" spans="1:10" s="25" customFormat="1" ht="27" customHeight="1">
      <c r="A22" s="65">
        <f t="shared" si="0"/>
        <v>20</v>
      </c>
      <c r="B22" s="76" t="str">
        <f t="shared" si="3"/>
        <v>reserved_byte20</v>
      </c>
      <c r="C22" s="59">
        <v>255</v>
      </c>
      <c r="D22" s="60">
        <v>255</v>
      </c>
      <c r="E22" s="59">
        <v>0</v>
      </c>
      <c r="F22" s="59">
        <v>255</v>
      </c>
      <c r="G22" s="76" t="s">
        <v>59</v>
      </c>
      <c r="H22" s="64" t="str">
        <f t="shared" si="1"/>
        <v>1715</v>
      </c>
      <c r="I22" s="59">
        <v>1</v>
      </c>
      <c r="J22" s="61"/>
    </row>
    <row r="23" spans="1:10" s="25" customFormat="1" ht="27" customHeight="1">
      <c r="A23" s="65">
        <f t="shared" si="0"/>
        <v>21</v>
      </c>
      <c r="B23" s="76" t="str">
        <f t="shared" si="3"/>
        <v>reserved_byte21</v>
      </c>
      <c r="C23" s="59">
        <v>255</v>
      </c>
      <c r="D23" s="60">
        <v>255</v>
      </c>
      <c r="E23" s="59">
        <v>0</v>
      </c>
      <c r="F23" s="59">
        <v>255</v>
      </c>
      <c r="G23" s="76" t="s">
        <v>59</v>
      </c>
      <c r="H23" s="64" t="str">
        <f t="shared" si="1"/>
        <v>1716</v>
      </c>
      <c r="I23" s="59">
        <v>1</v>
      </c>
      <c r="J23" s="61"/>
    </row>
    <row r="24" spans="1:10" s="25" customFormat="1" ht="27" customHeight="1">
      <c r="A24" s="65">
        <f t="shared" si="0"/>
        <v>22</v>
      </c>
      <c r="B24" s="76" t="str">
        <f t="shared" si="3"/>
        <v>reserved_byte22</v>
      </c>
      <c r="C24" s="59">
        <v>255</v>
      </c>
      <c r="D24" s="60">
        <v>255</v>
      </c>
      <c r="E24" s="59">
        <v>0</v>
      </c>
      <c r="F24" s="59">
        <v>255</v>
      </c>
      <c r="G24" s="76" t="s">
        <v>59</v>
      </c>
      <c r="H24" s="64" t="str">
        <f t="shared" si="1"/>
        <v>1717</v>
      </c>
      <c r="I24" s="59">
        <v>1</v>
      </c>
      <c r="J24" s="61"/>
    </row>
    <row r="25" spans="1:10" s="25" customFormat="1" ht="27" customHeight="1">
      <c r="A25" s="65">
        <f t="shared" si="0"/>
        <v>23</v>
      </c>
      <c r="B25" s="76" t="str">
        <f t="shared" si="3"/>
        <v>reserved_byte23</v>
      </c>
      <c r="C25" s="59">
        <v>255</v>
      </c>
      <c r="D25" s="60">
        <v>255</v>
      </c>
      <c r="E25" s="59">
        <v>0</v>
      </c>
      <c r="F25" s="59">
        <v>255</v>
      </c>
      <c r="G25" s="76" t="s">
        <v>59</v>
      </c>
      <c r="H25" s="64" t="str">
        <f t="shared" si="1"/>
        <v>1718</v>
      </c>
      <c r="I25" s="59">
        <v>1</v>
      </c>
      <c r="J25" s="61"/>
    </row>
    <row r="26" spans="1:10" s="25" customFormat="1" ht="27" customHeight="1">
      <c r="A26" s="65">
        <f t="shared" si="0"/>
        <v>24</v>
      </c>
      <c r="B26" s="76" t="str">
        <f t="shared" si="3"/>
        <v>reserved_byte24</v>
      </c>
      <c r="C26" s="59">
        <v>255</v>
      </c>
      <c r="D26" s="60">
        <v>255</v>
      </c>
      <c r="E26" s="59">
        <v>0</v>
      </c>
      <c r="F26" s="59">
        <v>255</v>
      </c>
      <c r="G26" s="76" t="s">
        <v>59</v>
      </c>
      <c r="H26" s="64" t="str">
        <f t="shared" si="1"/>
        <v>1719</v>
      </c>
      <c r="I26" s="59">
        <v>1</v>
      </c>
      <c r="J26" s="61"/>
    </row>
    <row r="27" spans="1:10" s="25" customFormat="1" ht="27" customHeight="1">
      <c r="A27" s="65">
        <f t="shared" si="0"/>
        <v>25</v>
      </c>
      <c r="B27" s="76" t="str">
        <f t="shared" si="3"/>
        <v>reserved_byte25</v>
      </c>
      <c r="C27" s="59">
        <v>255</v>
      </c>
      <c r="D27" s="60">
        <v>255</v>
      </c>
      <c r="E27" s="59">
        <v>0</v>
      </c>
      <c r="F27" s="59">
        <v>255</v>
      </c>
      <c r="G27" s="76" t="s">
        <v>59</v>
      </c>
      <c r="H27" s="64" t="str">
        <f t="shared" si="1"/>
        <v>171A</v>
      </c>
      <c r="I27" s="59">
        <v>1</v>
      </c>
      <c r="J27" s="61"/>
    </row>
    <row r="28" spans="1:10" s="25" customFormat="1" ht="27" customHeight="1">
      <c r="A28" s="65">
        <f t="shared" si="0"/>
        <v>26</v>
      </c>
      <c r="B28" s="76" t="str">
        <f t="shared" si="3"/>
        <v>reserved_byte26</v>
      </c>
      <c r="C28" s="59">
        <v>255</v>
      </c>
      <c r="D28" s="60">
        <v>255</v>
      </c>
      <c r="E28" s="59">
        <v>0</v>
      </c>
      <c r="F28" s="59">
        <v>255</v>
      </c>
      <c r="G28" s="76" t="s">
        <v>59</v>
      </c>
      <c r="H28" s="64" t="str">
        <f t="shared" si="1"/>
        <v>171B</v>
      </c>
      <c r="I28" s="59">
        <v>1</v>
      </c>
      <c r="J28" s="61"/>
    </row>
    <row r="29" spans="1:10" s="25" customFormat="1" ht="27" customHeight="1">
      <c r="A29" s="65">
        <f t="shared" si="0"/>
        <v>27</v>
      </c>
      <c r="B29" s="76" t="str">
        <f t="shared" si="3"/>
        <v>reserved_byte27</v>
      </c>
      <c r="C29" s="59">
        <v>255</v>
      </c>
      <c r="D29" s="60">
        <v>255</v>
      </c>
      <c r="E29" s="59">
        <v>0</v>
      </c>
      <c r="F29" s="59">
        <v>255</v>
      </c>
      <c r="G29" s="76" t="s">
        <v>59</v>
      </c>
      <c r="H29" s="64" t="str">
        <f t="shared" si="1"/>
        <v>171C</v>
      </c>
      <c r="I29" s="59">
        <v>1</v>
      </c>
      <c r="J29" s="61"/>
    </row>
    <row r="30" spans="1:10" s="25" customFormat="1" ht="27" customHeight="1">
      <c r="A30" s="65">
        <f t="shared" si="0"/>
        <v>28</v>
      </c>
      <c r="B30" s="76" t="str">
        <f t="shared" si="3"/>
        <v>reserved_byte28</v>
      </c>
      <c r="C30" s="59">
        <v>255</v>
      </c>
      <c r="D30" s="60">
        <v>255</v>
      </c>
      <c r="E30" s="59">
        <v>0</v>
      </c>
      <c r="F30" s="59">
        <v>255</v>
      </c>
      <c r="G30" s="76" t="s">
        <v>59</v>
      </c>
      <c r="H30" s="64" t="str">
        <f t="shared" si="1"/>
        <v>171D</v>
      </c>
      <c r="I30" s="59">
        <v>1</v>
      </c>
      <c r="J30" s="61"/>
    </row>
    <row r="31" spans="1:10" s="25" customFormat="1" ht="27" customHeight="1">
      <c r="A31" s="65">
        <f t="shared" si="0"/>
        <v>29</v>
      </c>
      <c r="B31" s="76" t="str">
        <f t="shared" si="3"/>
        <v>reserved_byte29</v>
      </c>
      <c r="C31" s="59">
        <v>255</v>
      </c>
      <c r="D31" s="60">
        <v>255</v>
      </c>
      <c r="E31" s="59">
        <v>0</v>
      </c>
      <c r="F31" s="59">
        <v>255</v>
      </c>
      <c r="G31" s="76" t="s">
        <v>59</v>
      </c>
      <c r="H31" s="64" t="str">
        <f t="shared" si="1"/>
        <v>171E</v>
      </c>
      <c r="I31" s="59">
        <v>1</v>
      </c>
      <c r="J31" s="61"/>
    </row>
    <row r="32" spans="1:10" s="25" customFormat="1" ht="27" customHeight="1">
      <c r="A32" s="65">
        <f t="shared" si="0"/>
        <v>30</v>
      </c>
      <c r="B32" s="76" t="str">
        <f t="shared" si="3"/>
        <v>reserved_byte30</v>
      </c>
      <c r="C32" s="59">
        <v>255</v>
      </c>
      <c r="D32" s="60">
        <v>255</v>
      </c>
      <c r="E32" s="59">
        <v>0</v>
      </c>
      <c r="F32" s="59">
        <v>255</v>
      </c>
      <c r="G32" s="76" t="s">
        <v>59</v>
      </c>
      <c r="H32" s="64" t="str">
        <f t="shared" si="1"/>
        <v>171F</v>
      </c>
      <c r="I32" s="59">
        <v>1</v>
      </c>
      <c r="J32" s="61"/>
    </row>
    <row r="33" spans="1:10" s="25" customFormat="1" ht="27" customHeight="1">
      <c r="A33" s="65">
        <f t="shared" si="0"/>
        <v>31</v>
      </c>
      <c r="B33" s="76" t="str">
        <f t="shared" si="3"/>
        <v>reserved_byte31</v>
      </c>
      <c r="C33" s="59">
        <v>255</v>
      </c>
      <c r="D33" s="60">
        <v>255</v>
      </c>
      <c r="E33" s="59">
        <v>0</v>
      </c>
      <c r="F33" s="59">
        <v>255</v>
      </c>
      <c r="G33" s="76" t="s">
        <v>59</v>
      </c>
      <c r="H33" s="64" t="str">
        <f t="shared" si="1"/>
        <v>1720</v>
      </c>
      <c r="I33" s="59">
        <v>1</v>
      </c>
      <c r="J33" s="61"/>
    </row>
    <row r="34" spans="1:10" s="25" customFormat="1" ht="27" customHeight="1">
      <c r="A34" s="65">
        <f t="shared" si="0"/>
        <v>32</v>
      </c>
      <c r="B34" s="76" t="str">
        <f t="shared" ref="B34:B61" si="4">"reserved_byte" &amp;TEXT(A34,0)</f>
        <v>reserved_byte32</v>
      </c>
      <c r="C34" s="59">
        <v>255</v>
      </c>
      <c r="D34" s="60">
        <v>255</v>
      </c>
      <c r="E34" s="59">
        <v>0</v>
      </c>
      <c r="F34" s="59">
        <v>255</v>
      </c>
      <c r="G34" s="76" t="s">
        <v>59</v>
      </c>
      <c r="H34" s="64" t="str">
        <f t="shared" si="1"/>
        <v>1721</v>
      </c>
      <c r="I34" s="59">
        <v>1</v>
      </c>
      <c r="J34" s="61"/>
    </row>
    <row r="35" spans="1:10" s="25" customFormat="1" ht="27" customHeight="1">
      <c r="A35" s="65">
        <f t="shared" ref="A35:A61" si="5">A34+1</f>
        <v>33</v>
      </c>
      <c r="B35" s="76" t="str">
        <f t="shared" si="4"/>
        <v>reserved_byte33</v>
      </c>
      <c r="C35" s="59">
        <v>255</v>
      </c>
      <c r="D35" s="60">
        <v>255</v>
      </c>
      <c r="E35" s="59">
        <v>0</v>
      </c>
      <c r="F35" s="59">
        <v>255</v>
      </c>
      <c r="G35" s="76" t="s">
        <v>59</v>
      </c>
      <c r="H35" s="64" t="str">
        <f t="shared" ref="H35:H61" si="6">DEC2HEX((HEX2DEC(H34)+1),4)</f>
        <v>1722</v>
      </c>
      <c r="I35" s="59">
        <v>1</v>
      </c>
      <c r="J35" s="61"/>
    </row>
    <row r="36" spans="1:10" s="25" customFormat="1" ht="27" customHeight="1">
      <c r="A36" s="65">
        <f t="shared" si="5"/>
        <v>34</v>
      </c>
      <c r="B36" s="76" t="str">
        <f t="shared" si="4"/>
        <v>reserved_byte34</v>
      </c>
      <c r="C36" s="59">
        <v>255</v>
      </c>
      <c r="D36" s="60">
        <v>255</v>
      </c>
      <c r="E36" s="59">
        <v>0</v>
      </c>
      <c r="F36" s="59">
        <v>255</v>
      </c>
      <c r="G36" s="76" t="s">
        <v>59</v>
      </c>
      <c r="H36" s="64" t="str">
        <f t="shared" si="6"/>
        <v>1723</v>
      </c>
      <c r="I36" s="59">
        <v>1</v>
      </c>
      <c r="J36" s="61"/>
    </row>
    <row r="37" spans="1:10" s="25" customFormat="1" ht="27" customHeight="1">
      <c r="A37" s="65">
        <f t="shared" si="5"/>
        <v>35</v>
      </c>
      <c r="B37" s="76" t="str">
        <f t="shared" si="4"/>
        <v>reserved_byte35</v>
      </c>
      <c r="C37" s="59">
        <v>255</v>
      </c>
      <c r="D37" s="60">
        <v>255</v>
      </c>
      <c r="E37" s="59">
        <v>0</v>
      </c>
      <c r="F37" s="59">
        <v>255</v>
      </c>
      <c r="G37" s="76" t="s">
        <v>59</v>
      </c>
      <c r="H37" s="64" t="str">
        <f t="shared" si="6"/>
        <v>1724</v>
      </c>
      <c r="I37" s="59">
        <v>1</v>
      </c>
      <c r="J37" s="61"/>
    </row>
    <row r="38" spans="1:10" s="25" customFormat="1" ht="27" customHeight="1">
      <c r="A38" s="65">
        <f t="shared" si="5"/>
        <v>36</v>
      </c>
      <c r="B38" s="76" t="str">
        <f t="shared" si="4"/>
        <v>reserved_byte36</v>
      </c>
      <c r="C38" s="59">
        <v>255</v>
      </c>
      <c r="D38" s="60">
        <v>255</v>
      </c>
      <c r="E38" s="59">
        <v>0</v>
      </c>
      <c r="F38" s="59">
        <v>255</v>
      </c>
      <c r="G38" s="76" t="s">
        <v>59</v>
      </c>
      <c r="H38" s="64" t="str">
        <f t="shared" si="6"/>
        <v>1725</v>
      </c>
      <c r="I38" s="59">
        <v>1</v>
      </c>
      <c r="J38" s="61"/>
    </row>
    <row r="39" spans="1:10" s="25" customFormat="1" ht="27" customHeight="1">
      <c r="A39" s="65">
        <f t="shared" si="5"/>
        <v>37</v>
      </c>
      <c r="B39" s="76" t="str">
        <f t="shared" si="4"/>
        <v>reserved_byte37</v>
      </c>
      <c r="C39" s="59">
        <v>255</v>
      </c>
      <c r="D39" s="60">
        <v>255</v>
      </c>
      <c r="E39" s="59">
        <v>0</v>
      </c>
      <c r="F39" s="59">
        <v>255</v>
      </c>
      <c r="G39" s="76" t="s">
        <v>59</v>
      </c>
      <c r="H39" s="64" t="str">
        <f t="shared" si="6"/>
        <v>1726</v>
      </c>
      <c r="I39" s="59">
        <v>1</v>
      </c>
      <c r="J39" s="61"/>
    </row>
    <row r="40" spans="1:10" s="25" customFormat="1" ht="27" customHeight="1">
      <c r="A40" s="65">
        <f t="shared" si="5"/>
        <v>38</v>
      </c>
      <c r="B40" s="76" t="str">
        <f t="shared" si="4"/>
        <v>reserved_byte38</v>
      </c>
      <c r="C40" s="59">
        <v>255</v>
      </c>
      <c r="D40" s="60">
        <v>255</v>
      </c>
      <c r="E40" s="59">
        <v>0</v>
      </c>
      <c r="F40" s="59">
        <v>255</v>
      </c>
      <c r="G40" s="76" t="s">
        <v>59</v>
      </c>
      <c r="H40" s="64" t="str">
        <f t="shared" si="6"/>
        <v>1727</v>
      </c>
      <c r="I40" s="59">
        <v>1</v>
      </c>
      <c r="J40" s="61"/>
    </row>
    <row r="41" spans="1:10" s="25" customFormat="1" ht="27" customHeight="1">
      <c r="A41" s="65">
        <f t="shared" si="5"/>
        <v>39</v>
      </c>
      <c r="B41" s="76" t="str">
        <f t="shared" si="4"/>
        <v>reserved_byte39</v>
      </c>
      <c r="C41" s="59">
        <v>255</v>
      </c>
      <c r="D41" s="60">
        <v>255</v>
      </c>
      <c r="E41" s="59">
        <v>0</v>
      </c>
      <c r="F41" s="59">
        <v>255</v>
      </c>
      <c r="G41" s="76" t="s">
        <v>59</v>
      </c>
      <c r="H41" s="64" t="str">
        <f t="shared" si="6"/>
        <v>1728</v>
      </c>
      <c r="I41" s="59">
        <v>1</v>
      </c>
      <c r="J41" s="61"/>
    </row>
    <row r="42" spans="1:10" s="25" customFormat="1" ht="27" customHeight="1">
      <c r="A42" s="65">
        <f t="shared" si="5"/>
        <v>40</v>
      </c>
      <c r="B42" s="76" t="str">
        <f t="shared" si="4"/>
        <v>reserved_byte40</v>
      </c>
      <c r="C42" s="59">
        <v>255</v>
      </c>
      <c r="D42" s="60">
        <v>255</v>
      </c>
      <c r="E42" s="59">
        <v>0</v>
      </c>
      <c r="F42" s="59">
        <v>255</v>
      </c>
      <c r="G42" s="76" t="s">
        <v>59</v>
      </c>
      <c r="H42" s="64" t="str">
        <f t="shared" si="6"/>
        <v>1729</v>
      </c>
      <c r="I42" s="59">
        <v>1</v>
      </c>
      <c r="J42" s="61"/>
    </row>
    <row r="43" spans="1:10" s="25" customFormat="1" ht="27" customHeight="1">
      <c r="A43" s="65">
        <f t="shared" si="5"/>
        <v>41</v>
      </c>
      <c r="B43" s="76" t="str">
        <f t="shared" si="4"/>
        <v>reserved_byte41</v>
      </c>
      <c r="C43" s="59">
        <v>255</v>
      </c>
      <c r="D43" s="60">
        <v>255</v>
      </c>
      <c r="E43" s="59">
        <v>0</v>
      </c>
      <c r="F43" s="59">
        <v>255</v>
      </c>
      <c r="G43" s="76" t="s">
        <v>59</v>
      </c>
      <c r="H43" s="64" t="str">
        <f t="shared" si="6"/>
        <v>172A</v>
      </c>
      <c r="I43" s="59">
        <v>1</v>
      </c>
      <c r="J43" s="61"/>
    </row>
    <row r="44" spans="1:10" s="25" customFormat="1" ht="27" customHeight="1">
      <c r="A44" s="65">
        <f t="shared" si="5"/>
        <v>42</v>
      </c>
      <c r="B44" s="76" t="str">
        <f t="shared" si="4"/>
        <v>reserved_byte42</v>
      </c>
      <c r="C44" s="59">
        <v>255</v>
      </c>
      <c r="D44" s="60">
        <v>255</v>
      </c>
      <c r="E44" s="59">
        <v>0</v>
      </c>
      <c r="F44" s="59">
        <v>255</v>
      </c>
      <c r="G44" s="76" t="s">
        <v>59</v>
      </c>
      <c r="H44" s="64" t="str">
        <f t="shared" si="6"/>
        <v>172B</v>
      </c>
      <c r="I44" s="59">
        <v>1</v>
      </c>
      <c r="J44" s="61"/>
    </row>
    <row r="45" spans="1:10" s="25" customFormat="1" ht="27" customHeight="1">
      <c r="A45" s="65">
        <f t="shared" si="5"/>
        <v>43</v>
      </c>
      <c r="B45" s="76" t="str">
        <f t="shared" si="4"/>
        <v>reserved_byte43</v>
      </c>
      <c r="C45" s="59">
        <v>255</v>
      </c>
      <c r="D45" s="60">
        <v>255</v>
      </c>
      <c r="E45" s="59">
        <v>0</v>
      </c>
      <c r="F45" s="59">
        <v>255</v>
      </c>
      <c r="G45" s="76" t="s">
        <v>59</v>
      </c>
      <c r="H45" s="64" t="str">
        <f t="shared" si="6"/>
        <v>172C</v>
      </c>
      <c r="I45" s="59">
        <v>1</v>
      </c>
      <c r="J45" s="61"/>
    </row>
    <row r="46" spans="1:10" s="25" customFormat="1" ht="27" customHeight="1">
      <c r="A46" s="65">
        <f t="shared" si="5"/>
        <v>44</v>
      </c>
      <c r="B46" s="76" t="str">
        <f t="shared" si="4"/>
        <v>reserved_byte44</v>
      </c>
      <c r="C46" s="59">
        <v>255</v>
      </c>
      <c r="D46" s="60">
        <v>255</v>
      </c>
      <c r="E46" s="59">
        <v>0</v>
      </c>
      <c r="F46" s="59">
        <v>255</v>
      </c>
      <c r="G46" s="76" t="s">
        <v>59</v>
      </c>
      <c r="H46" s="64" t="str">
        <f t="shared" si="6"/>
        <v>172D</v>
      </c>
      <c r="I46" s="59">
        <v>1</v>
      </c>
      <c r="J46" s="61"/>
    </row>
    <row r="47" spans="1:10" s="25" customFormat="1" ht="27" customHeight="1">
      <c r="A47" s="65">
        <f t="shared" si="5"/>
        <v>45</v>
      </c>
      <c r="B47" s="76" t="str">
        <f t="shared" si="4"/>
        <v>reserved_byte45</v>
      </c>
      <c r="C47" s="59">
        <v>255</v>
      </c>
      <c r="D47" s="60">
        <v>255</v>
      </c>
      <c r="E47" s="59">
        <v>0</v>
      </c>
      <c r="F47" s="59">
        <v>255</v>
      </c>
      <c r="G47" s="76" t="s">
        <v>59</v>
      </c>
      <c r="H47" s="64" t="str">
        <f t="shared" si="6"/>
        <v>172E</v>
      </c>
      <c r="I47" s="59">
        <v>1</v>
      </c>
      <c r="J47" s="61"/>
    </row>
    <row r="48" spans="1:10" s="25" customFormat="1" ht="27" customHeight="1">
      <c r="A48" s="65">
        <f t="shared" si="5"/>
        <v>46</v>
      </c>
      <c r="B48" s="76" t="str">
        <f t="shared" si="4"/>
        <v>reserved_byte46</v>
      </c>
      <c r="C48" s="59">
        <v>255</v>
      </c>
      <c r="D48" s="60">
        <v>255</v>
      </c>
      <c r="E48" s="59">
        <v>0</v>
      </c>
      <c r="F48" s="59">
        <v>255</v>
      </c>
      <c r="G48" s="76" t="s">
        <v>59</v>
      </c>
      <c r="H48" s="64" t="str">
        <f t="shared" si="6"/>
        <v>172F</v>
      </c>
      <c r="I48" s="59">
        <v>1</v>
      </c>
      <c r="J48" s="61"/>
    </row>
    <row r="49" spans="1:10" s="25" customFormat="1" ht="27" customHeight="1">
      <c r="A49" s="65">
        <f t="shared" si="5"/>
        <v>47</v>
      </c>
      <c r="B49" s="76" t="str">
        <f t="shared" si="4"/>
        <v>reserved_byte47</v>
      </c>
      <c r="C49" s="59">
        <v>255</v>
      </c>
      <c r="D49" s="60">
        <v>255</v>
      </c>
      <c r="E49" s="59">
        <v>0</v>
      </c>
      <c r="F49" s="59">
        <v>255</v>
      </c>
      <c r="G49" s="76" t="s">
        <v>59</v>
      </c>
      <c r="H49" s="64" t="str">
        <f t="shared" si="6"/>
        <v>1730</v>
      </c>
      <c r="I49" s="59">
        <v>1</v>
      </c>
      <c r="J49" s="61"/>
    </row>
    <row r="50" spans="1:10" s="25" customFormat="1" ht="27" customHeight="1">
      <c r="A50" s="65">
        <f t="shared" si="5"/>
        <v>48</v>
      </c>
      <c r="B50" s="76" t="str">
        <f t="shared" si="4"/>
        <v>reserved_byte48</v>
      </c>
      <c r="C50" s="59">
        <v>255</v>
      </c>
      <c r="D50" s="60">
        <v>255</v>
      </c>
      <c r="E50" s="59">
        <v>0</v>
      </c>
      <c r="F50" s="59">
        <v>255</v>
      </c>
      <c r="G50" s="76" t="s">
        <v>59</v>
      </c>
      <c r="H50" s="64" t="str">
        <f t="shared" si="6"/>
        <v>1731</v>
      </c>
      <c r="I50" s="59">
        <v>1</v>
      </c>
      <c r="J50" s="61"/>
    </row>
    <row r="51" spans="1:10" s="25" customFormat="1" ht="27" customHeight="1">
      <c r="A51" s="65">
        <f t="shared" si="5"/>
        <v>49</v>
      </c>
      <c r="B51" s="76" t="str">
        <f t="shared" si="4"/>
        <v>reserved_byte49</v>
      </c>
      <c r="C51" s="59">
        <v>255</v>
      </c>
      <c r="D51" s="60">
        <v>255</v>
      </c>
      <c r="E51" s="59">
        <v>0</v>
      </c>
      <c r="F51" s="59">
        <v>255</v>
      </c>
      <c r="G51" s="76" t="s">
        <v>59</v>
      </c>
      <c r="H51" s="64" t="str">
        <f t="shared" si="6"/>
        <v>1732</v>
      </c>
      <c r="I51" s="59">
        <v>1</v>
      </c>
      <c r="J51" s="61"/>
    </row>
    <row r="52" spans="1:10" s="25" customFormat="1" ht="27" customHeight="1">
      <c r="A52" s="65">
        <f t="shared" si="5"/>
        <v>50</v>
      </c>
      <c r="B52" s="76" t="str">
        <f t="shared" si="4"/>
        <v>reserved_byte50</v>
      </c>
      <c r="C52" s="59">
        <v>255</v>
      </c>
      <c r="D52" s="60">
        <v>255</v>
      </c>
      <c r="E52" s="59">
        <v>0</v>
      </c>
      <c r="F52" s="59">
        <v>255</v>
      </c>
      <c r="G52" s="76" t="s">
        <v>59</v>
      </c>
      <c r="H52" s="64" t="str">
        <f t="shared" si="6"/>
        <v>1733</v>
      </c>
      <c r="I52" s="59">
        <v>1</v>
      </c>
      <c r="J52" s="61"/>
    </row>
    <row r="53" spans="1:10" s="25" customFormat="1" ht="27" customHeight="1">
      <c r="A53" s="65">
        <f t="shared" si="5"/>
        <v>51</v>
      </c>
      <c r="B53" s="76" t="str">
        <f t="shared" si="4"/>
        <v>reserved_byte51</v>
      </c>
      <c r="C53" s="59">
        <v>255</v>
      </c>
      <c r="D53" s="60">
        <v>255</v>
      </c>
      <c r="E53" s="59">
        <v>0</v>
      </c>
      <c r="F53" s="59">
        <v>255</v>
      </c>
      <c r="G53" s="76" t="s">
        <v>59</v>
      </c>
      <c r="H53" s="64" t="str">
        <f t="shared" si="6"/>
        <v>1734</v>
      </c>
      <c r="I53" s="59">
        <v>1</v>
      </c>
      <c r="J53" s="61"/>
    </row>
    <row r="54" spans="1:10" s="25" customFormat="1" ht="27" customHeight="1">
      <c r="A54" s="65">
        <f t="shared" si="5"/>
        <v>52</v>
      </c>
      <c r="B54" s="76" t="str">
        <f t="shared" si="4"/>
        <v>reserved_byte52</v>
      </c>
      <c r="C54" s="59">
        <v>255</v>
      </c>
      <c r="D54" s="60">
        <v>255</v>
      </c>
      <c r="E54" s="59">
        <v>0</v>
      </c>
      <c r="F54" s="59">
        <v>255</v>
      </c>
      <c r="G54" s="76" t="s">
        <v>59</v>
      </c>
      <c r="H54" s="64" t="str">
        <f t="shared" si="6"/>
        <v>1735</v>
      </c>
      <c r="I54" s="59">
        <v>1</v>
      </c>
      <c r="J54" s="61"/>
    </row>
    <row r="55" spans="1:10" s="25" customFormat="1" ht="27" customHeight="1">
      <c r="A55" s="65">
        <f t="shared" si="5"/>
        <v>53</v>
      </c>
      <c r="B55" s="76" t="str">
        <f t="shared" si="4"/>
        <v>reserved_byte53</v>
      </c>
      <c r="C55" s="59">
        <v>255</v>
      </c>
      <c r="D55" s="60">
        <v>255</v>
      </c>
      <c r="E55" s="59">
        <v>0</v>
      </c>
      <c r="F55" s="59">
        <v>255</v>
      </c>
      <c r="G55" s="76" t="s">
        <v>59</v>
      </c>
      <c r="H55" s="64" t="str">
        <f t="shared" si="6"/>
        <v>1736</v>
      </c>
      <c r="I55" s="59">
        <v>1</v>
      </c>
      <c r="J55" s="61"/>
    </row>
    <row r="56" spans="1:10" s="25" customFormat="1" ht="27" customHeight="1">
      <c r="A56" s="65">
        <f t="shared" si="5"/>
        <v>54</v>
      </c>
      <c r="B56" s="76" t="str">
        <f t="shared" si="4"/>
        <v>reserved_byte54</v>
      </c>
      <c r="C56" s="59">
        <v>255</v>
      </c>
      <c r="D56" s="60">
        <v>255</v>
      </c>
      <c r="E56" s="59">
        <v>0</v>
      </c>
      <c r="F56" s="59">
        <v>255</v>
      </c>
      <c r="G56" s="76" t="s">
        <v>59</v>
      </c>
      <c r="H56" s="64" t="str">
        <f t="shared" si="6"/>
        <v>1737</v>
      </c>
      <c r="I56" s="59">
        <v>1</v>
      </c>
      <c r="J56" s="61"/>
    </row>
    <row r="57" spans="1:10" s="25" customFormat="1" ht="27" customHeight="1">
      <c r="A57" s="65">
        <f t="shared" si="5"/>
        <v>55</v>
      </c>
      <c r="B57" s="76" t="str">
        <f t="shared" si="4"/>
        <v>reserved_byte55</v>
      </c>
      <c r="C57" s="59">
        <v>255</v>
      </c>
      <c r="D57" s="60">
        <v>255</v>
      </c>
      <c r="E57" s="59">
        <v>0</v>
      </c>
      <c r="F57" s="59">
        <v>255</v>
      </c>
      <c r="G57" s="76" t="s">
        <v>59</v>
      </c>
      <c r="H57" s="64" t="str">
        <f t="shared" si="6"/>
        <v>1738</v>
      </c>
      <c r="I57" s="59">
        <v>1</v>
      </c>
      <c r="J57" s="61"/>
    </row>
    <row r="58" spans="1:10" s="25" customFormat="1" ht="27" customHeight="1">
      <c r="A58" s="65">
        <f t="shared" si="5"/>
        <v>56</v>
      </c>
      <c r="B58" s="76" t="str">
        <f t="shared" si="4"/>
        <v>reserved_byte56</v>
      </c>
      <c r="C58" s="59">
        <v>255</v>
      </c>
      <c r="D58" s="60">
        <v>255</v>
      </c>
      <c r="E58" s="59">
        <v>0</v>
      </c>
      <c r="F58" s="59">
        <v>255</v>
      </c>
      <c r="G58" s="76" t="s">
        <v>59</v>
      </c>
      <c r="H58" s="64" t="str">
        <f t="shared" si="6"/>
        <v>1739</v>
      </c>
      <c r="I58" s="59">
        <v>1</v>
      </c>
      <c r="J58" s="61"/>
    </row>
    <row r="59" spans="1:10" s="25" customFormat="1" ht="27" customHeight="1">
      <c r="A59" s="65">
        <f t="shared" si="5"/>
        <v>57</v>
      </c>
      <c r="B59" s="76" t="str">
        <f t="shared" si="4"/>
        <v>reserved_byte57</v>
      </c>
      <c r="C59" s="59">
        <v>255</v>
      </c>
      <c r="D59" s="60">
        <v>255</v>
      </c>
      <c r="E59" s="59">
        <v>0</v>
      </c>
      <c r="F59" s="59">
        <v>255</v>
      </c>
      <c r="G59" s="76" t="s">
        <v>59</v>
      </c>
      <c r="H59" s="64" t="str">
        <f t="shared" si="6"/>
        <v>173A</v>
      </c>
      <c r="I59" s="59">
        <v>1</v>
      </c>
      <c r="J59" s="61"/>
    </row>
    <row r="60" spans="1:10" s="25" customFormat="1" ht="27" customHeight="1">
      <c r="A60" s="65">
        <f t="shared" si="5"/>
        <v>58</v>
      </c>
      <c r="B60" s="76" t="str">
        <f t="shared" si="4"/>
        <v>reserved_byte58</v>
      </c>
      <c r="C60" s="59">
        <v>255</v>
      </c>
      <c r="D60" s="60">
        <v>255</v>
      </c>
      <c r="E60" s="59">
        <v>0</v>
      </c>
      <c r="F60" s="59">
        <v>255</v>
      </c>
      <c r="G60" s="76" t="s">
        <v>59</v>
      </c>
      <c r="H60" s="64" t="str">
        <f t="shared" si="6"/>
        <v>173B</v>
      </c>
      <c r="I60" s="59">
        <v>1</v>
      </c>
      <c r="J60" s="61"/>
    </row>
    <row r="61" spans="1:10" s="25" customFormat="1" ht="27" customHeight="1">
      <c r="A61" s="65">
        <f t="shared" si="5"/>
        <v>59</v>
      </c>
      <c r="B61" s="76" t="str">
        <f t="shared" si="4"/>
        <v>reserved_byte59</v>
      </c>
      <c r="C61" s="59">
        <v>255</v>
      </c>
      <c r="D61" s="60">
        <v>255</v>
      </c>
      <c r="E61" s="59">
        <v>0</v>
      </c>
      <c r="F61" s="59">
        <v>255</v>
      </c>
      <c r="G61" s="76" t="s">
        <v>59</v>
      </c>
      <c r="H61" s="64" t="str">
        <f t="shared" si="6"/>
        <v>173C</v>
      </c>
      <c r="I61" s="59">
        <v>1</v>
      </c>
      <c r="J61" s="61"/>
    </row>
  </sheetData>
  <dataValidations count="3">
    <dataValidation type="decimal" operator="lessThanOrEqual" allowBlank="1" showInputMessage="1" showErrorMessage="1" sqref="F2:F61">
      <formula1>255</formula1>
    </dataValidation>
    <dataValidation type="decimal" allowBlank="1" showInputMessage="1" showErrorMessage="1" sqref="D2:D1048576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0000"/>
    <pageSetUpPr fitToPage="1"/>
  </sheetPr>
  <dimension ref="A1:G20"/>
  <sheetViews>
    <sheetView zoomScaleNormal="100" zoomScaleSheetLayoutView="50" workbookViewId="0">
      <selection activeCell="E12" sqref="E12"/>
    </sheetView>
  </sheetViews>
  <sheetFormatPr defaultColWidth="11.42578125" defaultRowHeight="12.75"/>
  <cols>
    <col min="1" max="1" width="12.7109375" style="31" bestFit="1" customWidth="1"/>
    <col min="2" max="2" width="38.5703125" bestFit="1" customWidth="1"/>
    <col min="3" max="4" width="9.7109375" style="24" customWidth="1"/>
    <col min="5" max="5" width="77.7109375" customWidth="1"/>
    <col min="6" max="6" width="9.7109375" style="24" customWidth="1"/>
    <col min="7" max="7" width="9.7109375" customWidth="1"/>
    <col min="8" max="8" width="10.28515625" bestFit="1" customWidth="1"/>
  </cols>
  <sheetData>
    <row r="1" spans="1:7" ht="38.25">
      <c r="A1" s="6" t="s">
        <v>20</v>
      </c>
      <c r="B1" s="6" t="s">
        <v>64</v>
      </c>
      <c r="C1" s="6" t="s">
        <v>34</v>
      </c>
      <c r="D1" s="6" t="s">
        <v>35</v>
      </c>
      <c r="E1" s="6" t="s">
        <v>21</v>
      </c>
      <c r="F1" s="6" t="s">
        <v>4</v>
      </c>
      <c r="G1" s="6" t="s">
        <v>16</v>
      </c>
    </row>
    <row r="2" spans="1:7">
      <c r="A2" s="35">
        <v>0</v>
      </c>
      <c r="B2" s="33" t="str">
        <f>"Byte" &amp;A2&amp;" Name"</f>
        <v>Byte0 Name</v>
      </c>
      <c r="C2" s="34" t="str">
        <f>DEC2HEX(C3+C4*2+C5*4+C6*8+C7*16+C8*32+C9*64+C10*128)</f>
        <v>0</v>
      </c>
      <c r="D2" s="34" t="str">
        <f>DEC2HEX(D3+D4*2+D5*4+D6*8+D7*16+D8*32+D9*64+D10*128)</f>
        <v>0</v>
      </c>
      <c r="E2" s="1" t="str">
        <f>B2</f>
        <v>Byte0 Name</v>
      </c>
      <c r="F2" s="62">
        <v>1</v>
      </c>
      <c r="G2" s="32" t="s">
        <v>22</v>
      </c>
    </row>
    <row r="3" spans="1:7">
      <c r="A3" s="36"/>
      <c r="B3" s="29" t="str">
        <f>"reserved_byte"&amp;A2&amp;"_bit_0"</f>
        <v>reserved_byte0_bit_0</v>
      </c>
      <c r="C3" s="5">
        <v>0</v>
      </c>
      <c r="D3" s="5">
        <v>0</v>
      </c>
      <c r="E3" s="30" t="s">
        <v>24</v>
      </c>
      <c r="F3" s="47"/>
      <c r="G3" s="32" t="s">
        <v>15</v>
      </c>
    </row>
    <row r="4" spans="1:7">
      <c r="A4" s="36"/>
      <c r="B4" s="29" t="str">
        <f>"reserved_byte"&amp;A2&amp;"_bit_1"</f>
        <v>reserved_byte0_bit_1</v>
      </c>
      <c r="C4" s="5">
        <v>0</v>
      </c>
      <c r="D4" s="5">
        <v>0</v>
      </c>
      <c r="E4" s="30" t="s">
        <v>25</v>
      </c>
      <c r="F4" s="47"/>
      <c r="G4" s="32" t="s">
        <v>14</v>
      </c>
    </row>
    <row r="5" spans="1:7">
      <c r="A5" s="36"/>
      <c r="B5" s="29" t="str">
        <f>"reserved_byte"&amp;A2&amp;"_bit_2"</f>
        <v>reserved_byte0_bit_2</v>
      </c>
      <c r="C5" s="5">
        <v>0</v>
      </c>
      <c r="D5" s="5">
        <v>0</v>
      </c>
      <c r="E5" s="30" t="s">
        <v>26</v>
      </c>
      <c r="F5" s="47"/>
      <c r="G5" s="32" t="s">
        <v>13</v>
      </c>
    </row>
    <row r="6" spans="1:7">
      <c r="A6" s="36"/>
      <c r="B6" s="29" t="str">
        <f>"reserved_byte"&amp;A2&amp;"_bit_3"</f>
        <v>reserved_byte0_bit_3</v>
      </c>
      <c r="C6" s="5">
        <v>0</v>
      </c>
      <c r="D6" s="5">
        <v>0</v>
      </c>
      <c r="E6" s="30" t="s">
        <v>27</v>
      </c>
      <c r="F6" s="48"/>
      <c r="G6" s="32" t="s">
        <v>12</v>
      </c>
    </row>
    <row r="7" spans="1:7">
      <c r="A7" s="36"/>
      <c r="B7" s="29" t="str">
        <f>"reserved_byte"&amp;A2&amp;"_bit_4"</f>
        <v>reserved_byte0_bit_4</v>
      </c>
      <c r="C7" s="5">
        <v>0</v>
      </c>
      <c r="D7" s="5">
        <v>0</v>
      </c>
      <c r="E7" s="30" t="s">
        <v>28</v>
      </c>
      <c r="F7" s="47"/>
      <c r="G7" s="32" t="s">
        <v>11</v>
      </c>
    </row>
    <row r="8" spans="1:7">
      <c r="A8" s="36"/>
      <c r="B8" s="29" t="str">
        <f>"reserved_byte"&amp;A2&amp;"_bit_5"</f>
        <v>reserved_byte0_bit_5</v>
      </c>
      <c r="C8" s="5">
        <v>0</v>
      </c>
      <c r="D8" s="5">
        <v>0</v>
      </c>
      <c r="E8" s="30" t="s">
        <v>29</v>
      </c>
      <c r="F8" s="47"/>
      <c r="G8" s="32" t="s">
        <v>10</v>
      </c>
    </row>
    <row r="9" spans="1:7">
      <c r="A9" s="36"/>
      <c r="B9" s="29" t="str">
        <f>"reserved_byte"&amp;A2&amp;"_bit_6"</f>
        <v>reserved_byte0_bit_6</v>
      </c>
      <c r="C9" s="5">
        <v>0</v>
      </c>
      <c r="D9" s="5">
        <v>0</v>
      </c>
      <c r="E9" s="30" t="s">
        <v>30</v>
      </c>
      <c r="F9" s="47"/>
      <c r="G9" s="32" t="s">
        <v>8</v>
      </c>
    </row>
    <row r="10" spans="1:7" ht="13.5" thickBot="1">
      <c r="A10" s="40"/>
      <c r="B10" s="41" t="str">
        <f>"reserved_byte"&amp;A2&amp;"_bit_7"</f>
        <v>reserved_byte0_bit_7</v>
      </c>
      <c r="C10" s="42">
        <v>0</v>
      </c>
      <c r="D10" s="42">
        <v>0</v>
      </c>
      <c r="E10" s="43" t="s">
        <v>33</v>
      </c>
      <c r="F10" s="44"/>
      <c r="G10" s="45" t="s">
        <v>7</v>
      </c>
    </row>
    <row r="11" spans="1:7" ht="13.5" thickTop="1">
      <c r="A11" s="37">
        <f>A2+1</f>
        <v>1</v>
      </c>
      <c r="B11" s="33" t="str">
        <f>"Byte" &amp;A11&amp;" Name"</f>
        <v>Byte1 Name</v>
      </c>
      <c r="C11" s="34" t="str">
        <f>DEC2HEX(C12+C13*2+C14*4+C15*8+C16*16+C17*32+C18*64+C19*128)</f>
        <v>0</v>
      </c>
      <c r="D11" s="34" t="str">
        <f>DEC2HEX(D12+D13*2+D14*4+D15*8+D16*16+D17*32+D18*64+D19*128)</f>
        <v>0</v>
      </c>
      <c r="E11" s="38" t="str">
        <f>B11</f>
        <v>Byte1 Name</v>
      </c>
      <c r="F11" s="46" t="str">
        <f>DEC2HEX((HEX2DEC(F2)+1),4)</f>
        <v>0002</v>
      </c>
      <c r="G11" s="39" t="s">
        <v>22</v>
      </c>
    </row>
    <row r="12" spans="1:7">
      <c r="A12" s="36"/>
      <c r="B12" s="29" t="str">
        <f>"reserved_byte"&amp;A11&amp;"_bit_0"</f>
        <v>reserved_byte1_bit_0</v>
      </c>
      <c r="C12" s="5">
        <v>0</v>
      </c>
      <c r="D12" s="5">
        <v>0</v>
      </c>
      <c r="E12" s="30" t="s">
        <v>24</v>
      </c>
      <c r="F12" s="47"/>
      <c r="G12" s="32" t="s">
        <v>15</v>
      </c>
    </row>
    <row r="13" spans="1:7">
      <c r="A13" s="36"/>
      <c r="B13" s="29" t="str">
        <f>"reserved_byte"&amp;A11&amp;"_bit_1"</f>
        <v>reserved_byte1_bit_1</v>
      </c>
      <c r="C13" s="5">
        <v>0</v>
      </c>
      <c r="D13" s="5">
        <v>0</v>
      </c>
      <c r="E13" s="30" t="s">
        <v>25</v>
      </c>
      <c r="F13" s="47"/>
      <c r="G13" s="32" t="s">
        <v>14</v>
      </c>
    </row>
    <row r="14" spans="1:7">
      <c r="A14" s="36"/>
      <c r="B14" s="29" t="str">
        <f>"reserved_byte"&amp;A11&amp;"_bit_2"</f>
        <v>reserved_byte1_bit_2</v>
      </c>
      <c r="C14" s="5">
        <v>0</v>
      </c>
      <c r="D14" s="5">
        <v>0</v>
      </c>
      <c r="E14" s="30" t="s">
        <v>26</v>
      </c>
      <c r="F14" s="47"/>
      <c r="G14" s="32" t="s">
        <v>13</v>
      </c>
    </row>
    <row r="15" spans="1:7">
      <c r="A15" s="36"/>
      <c r="B15" s="29" t="str">
        <f>"reserved_byte"&amp;A11&amp;"_bit_3"</f>
        <v>reserved_byte1_bit_3</v>
      </c>
      <c r="C15" s="5">
        <v>0</v>
      </c>
      <c r="D15" s="5">
        <v>0</v>
      </c>
      <c r="E15" s="30" t="s">
        <v>27</v>
      </c>
      <c r="F15" s="48"/>
      <c r="G15" s="32" t="s">
        <v>12</v>
      </c>
    </row>
    <row r="16" spans="1:7">
      <c r="A16" s="36"/>
      <c r="B16" s="29" t="str">
        <f>"reserved_byte"&amp;A11&amp;"_bit_4"</f>
        <v>reserved_byte1_bit_4</v>
      </c>
      <c r="C16" s="5">
        <v>0</v>
      </c>
      <c r="D16" s="5">
        <v>0</v>
      </c>
      <c r="E16" s="30" t="s">
        <v>28</v>
      </c>
      <c r="F16" s="47"/>
      <c r="G16" s="32" t="s">
        <v>11</v>
      </c>
    </row>
    <row r="17" spans="1:7">
      <c r="A17" s="36"/>
      <c r="B17" s="29" t="str">
        <f>"reserved_byte"&amp;A11&amp;"_bit_5"</f>
        <v>reserved_byte1_bit_5</v>
      </c>
      <c r="C17" s="5">
        <v>0</v>
      </c>
      <c r="D17" s="5">
        <v>0</v>
      </c>
      <c r="E17" s="30" t="s">
        <v>29</v>
      </c>
      <c r="F17" s="47"/>
      <c r="G17" s="32" t="s">
        <v>10</v>
      </c>
    </row>
    <row r="18" spans="1:7">
      <c r="A18" s="36"/>
      <c r="B18" s="29" t="str">
        <f>"reserved_byte"&amp;A11&amp;"_bit_6"</f>
        <v>reserved_byte1_bit_6</v>
      </c>
      <c r="C18" s="5">
        <v>0</v>
      </c>
      <c r="D18" s="5">
        <v>0</v>
      </c>
      <c r="E18" s="30" t="s">
        <v>30</v>
      </c>
      <c r="F18" s="47"/>
      <c r="G18" s="32" t="s">
        <v>8</v>
      </c>
    </row>
    <row r="19" spans="1:7" ht="13.5" thickBot="1">
      <c r="A19" s="40"/>
      <c r="B19" s="41" t="str">
        <f>"reserved_byte"&amp;A11&amp;"_bit_7"</f>
        <v>reserved_byte1_bit_7</v>
      </c>
      <c r="C19" s="42">
        <v>0</v>
      </c>
      <c r="D19" s="42">
        <v>0</v>
      </c>
      <c r="E19" s="43" t="s">
        <v>33</v>
      </c>
      <c r="F19" s="44"/>
      <c r="G19" s="45" t="s">
        <v>7</v>
      </c>
    </row>
    <row r="20" spans="1:7" ht="13.5" thickTop="1"/>
  </sheetData>
  <dataConsolidate/>
  <phoneticPr fontId="0" type="noConversion"/>
  <conditionalFormatting sqref="J1 J20:J65293">
    <cfRule type="cellIs" dxfId="2" priority="4" stopIfTrue="1" operator="greaterThan">
      <formula>21</formula>
    </cfRule>
  </conditionalFormatting>
  <conditionalFormatting sqref="J2:J10">
    <cfRule type="cellIs" dxfId="1" priority="2" stopIfTrue="1" operator="greaterThan">
      <formula>21</formula>
    </cfRule>
  </conditionalFormatting>
  <conditionalFormatting sqref="J11:J19">
    <cfRule type="cellIs" dxfId="0" priority="1" stopIfTrue="1" operator="greaterThan">
      <formula>21</formula>
    </cfRule>
  </conditionalFormatting>
  <dataValidations count="4">
    <dataValidation operator="lessThan" allowBlank="1" showInputMessage="1" showErrorMessage="1" errorTitle="Achtung: Fehler!" error="Name darf nicht mehr als 21 Zeichen enthalten!" sqref="A2:A19"/>
    <dataValidation type="custom" allowBlank="1" showInputMessage="1" showErrorMessage="1" sqref="C10:D10 C19:D19">
      <formula1>0</formula1>
    </dataValidation>
    <dataValidation type="list" allowBlank="1" showInputMessage="1" showErrorMessage="1" sqref="J2 C12:D18 C3:D9">
      <formula1>"0,1"</formula1>
    </dataValidation>
    <dataValidation type="custom" allowBlank="1" showInputMessage="1" showErrorMessage="1" promptTitle="This bit can't used." sqref="B19 B10">
      <formula1>"not usable bit"</formula1>
    </dataValidation>
  </dataValidations>
  <pageMargins left="0.59055118110236227" right="0.59055118110236227" top="0.59055118110236227" bottom="0.98425196850393704" header="0.51181102362204722" footer="0.51181102362204722"/>
  <pageSetup paperSize="9" scale="65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FF0000"/>
    <pageSetUpPr fitToPage="1"/>
  </sheetPr>
  <dimension ref="A1:J3"/>
  <sheetViews>
    <sheetView zoomScale="85" zoomScaleNormal="85" workbookViewId="0">
      <selection activeCell="C3" sqref="C3"/>
    </sheetView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58" t="str">
        <f>"reserved_byte" &amp;TEXT(A2,0)</f>
        <v>reserved_byte0</v>
      </c>
      <c r="C2" s="59">
        <v>255</v>
      </c>
      <c r="D2" s="60">
        <v>255</v>
      </c>
      <c r="E2" s="59">
        <v>0</v>
      </c>
      <c r="F2" s="59">
        <v>255</v>
      </c>
      <c r="G2" s="58" t="s">
        <v>59</v>
      </c>
      <c r="H2" s="63">
        <v>1</v>
      </c>
      <c r="I2" s="59">
        <v>1</v>
      </c>
      <c r="J2" s="61"/>
    </row>
    <row r="3" spans="1:10" s="25" customFormat="1" ht="27" customHeight="1">
      <c r="A3" s="65">
        <f>A2+1</f>
        <v>1</v>
      </c>
      <c r="B3" s="58" t="str">
        <f>"reserved_byte" &amp;TEXT(A3,0)</f>
        <v>reserved_byte1</v>
      </c>
      <c r="C3" s="59">
        <v>255</v>
      </c>
      <c r="D3" s="60">
        <v>255</v>
      </c>
      <c r="E3" s="59">
        <v>0</v>
      </c>
      <c r="F3" s="59">
        <v>255</v>
      </c>
      <c r="G3" s="58" t="s">
        <v>59</v>
      </c>
      <c r="H3" s="64" t="str">
        <f>DEC2HEX((HEX2DEC(H2)+1),4)</f>
        <v>0002</v>
      </c>
      <c r="I3" s="59">
        <v>1</v>
      </c>
      <c r="J3" s="61"/>
    </row>
  </sheetData>
  <phoneticPr fontId="0" type="noConversion"/>
  <dataValidations count="3">
    <dataValidation type="decimal" allowBlank="1" showInputMessage="1" showErrorMessage="1" sqref="C2:C1048576">
      <formula1>E2</formula1>
      <formula2>F2</formula2>
    </dataValidation>
    <dataValidation type="decimal" allowBlank="1" showInputMessage="1" showErrorMessage="1" sqref="D2:D3">
      <formula1>E2</formula1>
      <formula2>F2</formula2>
    </dataValidation>
    <dataValidation type="decimal" operator="lessThanOrEqual" allowBlank="1" showInputMessage="1" showErrorMessage="1" sqref="F2:F3">
      <formula1>255</formula1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0000"/>
    <pageSetUpPr fitToPage="1"/>
  </sheetPr>
  <dimension ref="A1:J5"/>
  <sheetViews>
    <sheetView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tr">
        <f>"reserved_byte" &amp;TEXT(A2,0)</f>
        <v>reserved_byte0</v>
      </c>
      <c r="C2" s="59">
        <v>0</v>
      </c>
      <c r="D2" s="59">
        <v>0</v>
      </c>
      <c r="E2" s="59">
        <v>0</v>
      </c>
      <c r="F2" s="59">
        <v>255</v>
      </c>
      <c r="G2" s="76" t="s">
        <v>2509</v>
      </c>
      <c r="H2" s="63">
        <v>2101</v>
      </c>
      <c r="I2" s="59">
        <v>1</v>
      </c>
      <c r="J2" s="61"/>
    </row>
    <row r="3" spans="1:10" s="25" customFormat="1" ht="27" customHeight="1">
      <c r="A3" s="65">
        <f>A2+1</f>
        <v>1</v>
      </c>
      <c r="B3" s="76" t="str">
        <f>"reserved_byte" &amp;TEXT(A3,0)</f>
        <v>reserved_byte1</v>
      </c>
      <c r="C3" s="59">
        <v>0</v>
      </c>
      <c r="D3" s="59">
        <v>0</v>
      </c>
      <c r="E3" s="59">
        <v>0</v>
      </c>
      <c r="F3" s="59">
        <v>255</v>
      </c>
      <c r="G3" s="76" t="s">
        <v>2510</v>
      </c>
      <c r="H3" s="64" t="str">
        <f>DEC2HEX((HEX2DEC(H2)+1),4)</f>
        <v>2102</v>
      </c>
      <c r="I3" s="59">
        <v>1</v>
      </c>
      <c r="J3" s="61"/>
    </row>
    <row r="4" spans="1:10" s="25" customFormat="1" ht="27" customHeight="1">
      <c r="A4" s="65">
        <f>A3+1</f>
        <v>2</v>
      </c>
      <c r="B4" s="76" t="str">
        <f>"reserved_byte" &amp;TEXT(A4,0)</f>
        <v>reserved_byte2</v>
      </c>
      <c r="C4" s="59">
        <v>0</v>
      </c>
      <c r="D4" s="59">
        <v>0</v>
      </c>
      <c r="E4" s="59">
        <v>0</v>
      </c>
      <c r="F4" s="59">
        <v>255</v>
      </c>
      <c r="G4" s="76" t="s">
        <v>2511</v>
      </c>
      <c r="H4" s="64" t="str">
        <f>DEC2HEX((HEX2DEC(H3)+1),4)</f>
        <v>2103</v>
      </c>
      <c r="I4" s="59">
        <v>1</v>
      </c>
      <c r="J4" s="61"/>
    </row>
    <row r="5" spans="1:10" s="25" customFormat="1" ht="27" customHeight="1">
      <c r="A5" s="65">
        <f>A4+1</f>
        <v>3</v>
      </c>
      <c r="B5" s="76" t="str">
        <f>"reserved_byte" &amp;TEXT(A5,0)</f>
        <v>reserved_byte3</v>
      </c>
      <c r="C5" s="59">
        <v>0</v>
      </c>
      <c r="D5" s="59">
        <v>0</v>
      </c>
      <c r="E5" s="59">
        <v>0</v>
      </c>
      <c r="F5" s="59">
        <v>255</v>
      </c>
      <c r="G5" s="76" t="s">
        <v>2512</v>
      </c>
      <c r="H5" s="64" t="str">
        <f>DEC2HEX((HEX2DEC(H4)+1),4)</f>
        <v>2104</v>
      </c>
      <c r="I5" s="59">
        <v>1</v>
      </c>
      <c r="J5" s="61"/>
    </row>
  </sheetData>
  <dataValidations count="2">
    <dataValidation type="decimal" operator="lessThanOrEqual" allowBlank="1" showInputMessage="1" showErrorMessage="1" sqref="F2:F5">
      <formula1>255</formula1>
    </dataValidation>
    <dataValidation type="decimal" allowBlank="1" showInputMessage="1" showErrorMessage="1" sqref="C2:C1048576 D2:D5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tabColor rgb="FFFF0000"/>
    <pageSetUpPr fitToPage="1"/>
  </sheetPr>
  <dimension ref="A1:J65"/>
  <sheetViews>
    <sheetView topLeftCell="A82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">
        <v>2216</v>
      </c>
      <c r="C2" s="61">
        <v>0</v>
      </c>
      <c r="D2" s="129">
        <v>0</v>
      </c>
      <c r="E2" s="61">
        <v>0</v>
      </c>
      <c r="F2" s="61">
        <v>255</v>
      </c>
      <c r="G2" s="76" t="s">
        <v>1518</v>
      </c>
      <c r="H2" s="63">
        <v>1401</v>
      </c>
      <c r="I2" s="59">
        <v>1</v>
      </c>
      <c r="J2" s="61"/>
    </row>
    <row r="3" spans="1:10" s="25" customFormat="1" ht="27" customHeight="1">
      <c r="A3" s="65">
        <f t="shared" ref="A3:A34" si="0">A2+1</f>
        <v>1</v>
      </c>
      <c r="B3" s="76" t="s">
        <v>2217</v>
      </c>
      <c r="C3" s="61">
        <v>0</v>
      </c>
      <c r="D3" s="129">
        <v>0</v>
      </c>
      <c r="E3" s="61">
        <v>0</v>
      </c>
      <c r="F3" s="61">
        <v>255</v>
      </c>
      <c r="G3" s="76" t="s">
        <v>1518</v>
      </c>
      <c r="H3" s="64" t="str">
        <f t="shared" ref="H3:H34" si="1">DEC2HEX((HEX2DEC(H2)+1),4)</f>
        <v>1402</v>
      </c>
      <c r="I3" s="59">
        <v>1</v>
      </c>
      <c r="J3" s="61"/>
    </row>
    <row r="4" spans="1:10" s="25" customFormat="1" ht="27" customHeight="1">
      <c r="A4" s="65">
        <f t="shared" si="0"/>
        <v>2</v>
      </c>
      <c r="B4" s="76" t="s">
        <v>2218</v>
      </c>
      <c r="C4" s="61">
        <v>0</v>
      </c>
      <c r="D4" s="129">
        <v>0</v>
      </c>
      <c r="E4" s="61">
        <v>0</v>
      </c>
      <c r="F4" s="61">
        <v>255</v>
      </c>
      <c r="G4" s="76" t="s">
        <v>1518</v>
      </c>
      <c r="H4" s="64" t="str">
        <f t="shared" si="1"/>
        <v>1403</v>
      </c>
      <c r="I4" s="59">
        <v>1</v>
      </c>
      <c r="J4" s="61"/>
    </row>
    <row r="5" spans="1:10" s="25" customFormat="1" ht="27" customHeight="1">
      <c r="A5" s="65">
        <f t="shared" si="0"/>
        <v>3</v>
      </c>
      <c r="B5" s="76" t="s">
        <v>2219</v>
      </c>
      <c r="C5" s="61">
        <v>0</v>
      </c>
      <c r="D5" s="129">
        <v>0</v>
      </c>
      <c r="E5" s="61">
        <v>0</v>
      </c>
      <c r="F5" s="61">
        <v>255</v>
      </c>
      <c r="G5" s="76" t="s">
        <v>1518</v>
      </c>
      <c r="H5" s="64" t="str">
        <f t="shared" si="1"/>
        <v>1404</v>
      </c>
      <c r="I5" s="59">
        <v>1</v>
      </c>
      <c r="J5" s="61"/>
    </row>
    <row r="6" spans="1:10" s="25" customFormat="1" ht="27" customHeight="1">
      <c r="A6" s="65">
        <f t="shared" si="0"/>
        <v>4</v>
      </c>
      <c r="B6" s="76" t="s">
        <v>2220</v>
      </c>
      <c r="C6" s="61">
        <v>0</v>
      </c>
      <c r="D6" s="129">
        <v>0</v>
      </c>
      <c r="E6" s="61">
        <v>0</v>
      </c>
      <c r="F6" s="61">
        <v>255</v>
      </c>
      <c r="G6" s="76" t="s">
        <v>1518</v>
      </c>
      <c r="H6" s="64" t="str">
        <f t="shared" si="1"/>
        <v>1405</v>
      </c>
      <c r="I6" s="59">
        <v>1</v>
      </c>
      <c r="J6" s="61"/>
    </row>
    <row r="7" spans="1:10" s="25" customFormat="1" ht="27" customHeight="1">
      <c r="A7" s="65">
        <f t="shared" si="0"/>
        <v>5</v>
      </c>
      <c r="B7" s="76" t="s">
        <v>2221</v>
      </c>
      <c r="C7" s="61">
        <v>0</v>
      </c>
      <c r="D7" s="129">
        <v>0</v>
      </c>
      <c r="E7" s="61">
        <v>0</v>
      </c>
      <c r="F7" s="61">
        <v>255</v>
      </c>
      <c r="G7" s="76" t="s">
        <v>1518</v>
      </c>
      <c r="H7" s="64" t="str">
        <f t="shared" si="1"/>
        <v>1406</v>
      </c>
      <c r="I7" s="59">
        <v>1</v>
      </c>
      <c r="J7" s="61"/>
    </row>
    <row r="8" spans="1:10" s="25" customFormat="1" ht="27" customHeight="1">
      <c r="A8" s="65">
        <f t="shared" si="0"/>
        <v>6</v>
      </c>
      <c r="B8" s="76" t="s">
        <v>2222</v>
      </c>
      <c r="C8" s="61">
        <v>0</v>
      </c>
      <c r="D8" s="129">
        <v>0</v>
      </c>
      <c r="E8" s="61">
        <v>0</v>
      </c>
      <c r="F8" s="61">
        <v>255</v>
      </c>
      <c r="G8" s="76" t="s">
        <v>1518</v>
      </c>
      <c r="H8" s="64" t="str">
        <f t="shared" si="1"/>
        <v>1407</v>
      </c>
      <c r="I8" s="59">
        <v>1</v>
      </c>
      <c r="J8" s="61"/>
    </row>
    <row r="9" spans="1:10" s="25" customFormat="1" ht="27" customHeight="1">
      <c r="A9" s="65">
        <f t="shared" si="0"/>
        <v>7</v>
      </c>
      <c r="B9" s="76" t="s">
        <v>2223</v>
      </c>
      <c r="C9" s="61">
        <v>0</v>
      </c>
      <c r="D9" s="129">
        <v>0</v>
      </c>
      <c r="E9" s="61">
        <v>0</v>
      </c>
      <c r="F9" s="61">
        <v>255</v>
      </c>
      <c r="G9" s="76" t="s">
        <v>1518</v>
      </c>
      <c r="H9" s="64" t="str">
        <f t="shared" si="1"/>
        <v>1408</v>
      </c>
      <c r="I9" s="59">
        <v>1</v>
      </c>
      <c r="J9" s="61"/>
    </row>
    <row r="10" spans="1:10" s="25" customFormat="1" ht="27" customHeight="1">
      <c r="A10" s="65">
        <f t="shared" si="0"/>
        <v>8</v>
      </c>
      <c r="B10" s="76" t="s">
        <v>2224</v>
      </c>
      <c r="C10" s="61">
        <v>0</v>
      </c>
      <c r="D10" s="129">
        <v>0</v>
      </c>
      <c r="E10" s="61">
        <v>0</v>
      </c>
      <c r="F10" s="61">
        <v>255</v>
      </c>
      <c r="G10" s="76" t="s">
        <v>1518</v>
      </c>
      <c r="H10" s="64" t="str">
        <f t="shared" si="1"/>
        <v>1409</v>
      </c>
      <c r="I10" s="59">
        <v>1</v>
      </c>
      <c r="J10" s="61"/>
    </row>
    <row r="11" spans="1:10" s="25" customFormat="1" ht="27" customHeight="1">
      <c r="A11" s="65">
        <f t="shared" si="0"/>
        <v>9</v>
      </c>
      <c r="B11" s="76" t="s">
        <v>2225</v>
      </c>
      <c r="C11" s="61">
        <v>0</v>
      </c>
      <c r="D11" s="129">
        <v>0</v>
      </c>
      <c r="E11" s="61">
        <v>0</v>
      </c>
      <c r="F11" s="61">
        <v>255</v>
      </c>
      <c r="G11" s="76" t="s">
        <v>1518</v>
      </c>
      <c r="H11" s="64" t="str">
        <f t="shared" si="1"/>
        <v>140A</v>
      </c>
      <c r="I11" s="59">
        <v>1</v>
      </c>
      <c r="J11" s="61"/>
    </row>
    <row r="12" spans="1:10" s="25" customFormat="1" ht="27" customHeight="1">
      <c r="A12" s="65">
        <f t="shared" si="0"/>
        <v>10</v>
      </c>
      <c r="B12" s="76" t="s">
        <v>2226</v>
      </c>
      <c r="C12" s="61">
        <v>0</v>
      </c>
      <c r="D12" s="129">
        <v>0</v>
      </c>
      <c r="E12" s="61">
        <v>0</v>
      </c>
      <c r="F12" s="61">
        <v>255</v>
      </c>
      <c r="G12" s="76" t="s">
        <v>1518</v>
      </c>
      <c r="H12" s="64" t="str">
        <f t="shared" si="1"/>
        <v>140B</v>
      </c>
      <c r="I12" s="59">
        <v>1</v>
      </c>
      <c r="J12" s="61"/>
    </row>
    <row r="13" spans="1:10" s="25" customFormat="1" ht="27" customHeight="1">
      <c r="A13" s="65">
        <f t="shared" si="0"/>
        <v>11</v>
      </c>
      <c r="B13" s="76" t="s">
        <v>2227</v>
      </c>
      <c r="C13" s="61">
        <v>0</v>
      </c>
      <c r="D13" s="129">
        <v>0</v>
      </c>
      <c r="E13" s="61">
        <v>0</v>
      </c>
      <c r="F13" s="61">
        <v>255</v>
      </c>
      <c r="G13" s="76" t="s">
        <v>1518</v>
      </c>
      <c r="H13" s="64" t="str">
        <f t="shared" si="1"/>
        <v>140C</v>
      </c>
      <c r="I13" s="59">
        <v>1</v>
      </c>
      <c r="J13" s="61"/>
    </row>
    <row r="14" spans="1:10" s="25" customFormat="1" ht="27" customHeight="1">
      <c r="A14" s="65">
        <f t="shared" si="0"/>
        <v>12</v>
      </c>
      <c r="B14" s="76" t="s">
        <v>2228</v>
      </c>
      <c r="C14" s="61">
        <v>0</v>
      </c>
      <c r="D14" s="129">
        <v>0</v>
      </c>
      <c r="E14" s="61">
        <v>0</v>
      </c>
      <c r="F14" s="61">
        <v>255</v>
      </c>
      <c r="G14" s="76" t="s">
        <v>1518</v>
      </c>
      <c r="H14" s="64" t="str">
        <f t="shared" si="1"/>
        <v>140D</v>
      </c>
      <c r="I14" s="59">
        <v>1</v>
      </c>
      <c r="J14" s="61"/>
    </row>
    <row r="15" spans="1:10" s="25" customFormat="1" ht="27" customHeight="1">
      <c r="A15" s="65">
        <f t="shared" si="0"/>
        <v>13</v>
      </c>
      <c r="B15" s="76" t="s">
        <v>2229</v>
      </c>
      <c r="C15" s="61">
        <v>0</v>
      </c>
      <c r="D15" s="129">
        <v>0</v>
      </c>
      <c r="E15" s="61">
        <v>0</v>
      </c>
      <c r="F15" s="61">
        <v>255</v>
      </c>
      <c r="G15" s="76" t="s">
        <v>1518</v>
      </c>
      <c r="H15" s="64" t="str">
        <f t="shared" si="1"/>
        <v>140E</v>
      </c>
      <c r="I15" s="59">
        <v>1</v>
      </c>
      <c r="J15" s="61"/>
    </row>
    <row r="16" spans="1:10" s="25" customFormat="1" ht="27" customHeight="1">
      <c r="A16" s="65">
        <f t="shared" si="0"/>
        <v>14</v>
      </c>
      <c r="B16" s="76" t="s">
        <v>2230</v>
      </c>
      <c r="C16" s="61">
        <v>0</v>
      </c>
      <c r="D16" s="129">
        <v>0</v>
      </c>
      <c r="E16" s="61">
        <v>0</v>
      </c>
      <c r="F16" s="61">
        <v>255</v>
      </c>
      <c r="G16" s="76" t="s">
        <v>1518</v>
      </c>
      <c r="H16" s="64" t="str">
        <f t="shared" si="1"/>
        <v>140F</v>
      </c>
      <c r="I16" s="59">
        <v>1</v>
      </c>
      <c r="J16" s="61"/>
    </row>
    <row r="17" spans="1:10" s="25" customFormat="1" ht="27" customHeight="1">
      <c r="A17" s="65">
        <f t="shared" si="0"/>
        <v>15</v>
      </c>
      <c r="B17" s="76" t="s">
        <v>2231</v>
      </c>
      <c r="C17" s="61">
        <v>0</v>
      </c>
      <c r="D17" s="129">
        <v>0</v>
      </c>
      <c r="E17" s="61">
        <v>0</v>
      </c>
      <c r="F17" s="61">
        <v>255</v>
      </c>
      <c r="G17" s="76" t="s">
        <v>1518</v>
      </c>
      <c r="H17" s="64" t="str">
        <f t="shared" si="1"/>
        <v>1410</v>
      </c>
      <c r="I17" s="59">
        <v>1</v>
      </c>
      <c r="J17" s="61"/>
    </row>
    <row r="18" spans="1:10" s="25" customFormat="1" ht="27" customHeight="1">
      <c r="A18" s="65">
        <f t="shared" si="0"/>
        <v>16</v>
      </c>
      <c r="B18" s="76" t="s">
        <v>2232</v>
      </c>
      <c r="C18" s="61">
        <v>0</v>
      </c>
      <c r="D18" s="129">
        <v>0</v>
      </c>
      <c r="E18" s="61">
        <v>0</v>
      </c>
      <c r="F18" s="61">
        <v>255</v>
      </c>
      <c r="G18" s="76" t="s">
        <v>1518</v>
      </c>
      <c r="H18" s="64" t="str">
        <f t="shared" si="1"/>
        <v>1411</v>
      </c>
      <c r="I18" s="59">
        <v>1</v>
      </c>
      <c r="J18" s="61"/>
    </row>
    <row r="19" spans="1:10" s="25" customFormat="1" ht="27" customHeight="1">
      <c r="A19" s="65">
        <f t="shared" si="0"/>
        <v>17</v>
      </c>
      <c r="B19" s="76" t="s">
        <v>2233</v>
      </c>
      <c r="C19" s="61">
        <v>0</v>
      </c>
      <c r="D19" s="129">
        <v>0</v>
      </c>
      <c r="E19" s="61">
        <v>0</v>
      </c>
      <c r="F19" s="61">
        <v>255</v>
      </c>
      <c r="G19" s="76" t="s">
        <v>1518</v>
      </c>
      <c r="H19" s="64" t="str">
        <f t="shared" si="1"/>
        <v>1412</v>
      </c>
      <c r="I19" s="59">
        <v>1</v>
      </c>
      <c r="J19" s="61"/>
    </row>
    <row r="20" spans="1:10" s="25" customFormat="1" ht="27" customHeight="1">
      <c r="A20" s="65">
        <f t="shared" si="0"/>
        <v>18</v>
      </c>
      <c r="B20" s="76" t="s">
        <v>2234</v>
      </c>
      <c r="C20" s="61">
        <v>0</v>
      </c>
      <c r="D20" s="129">
        <v>0</v>
      </c>
      <c r="E20" s="61">
        <v>0</v>
      </c>
      <c r="F20" s="61">
        <v>255</v>
      </c>
      <c r="G20" s="76" t="s">
        <v>1518</v>
      </c>
      <c r="H20" s="64" t="str">
        <f t="shared" si="1"/>
        <v>1413</v>
      </c>
      <c r="I20" s="59">
        <v>1</v>
      </c>
      <c r="J20" s="61"/>
    </row>
    <row r="21" spans="1:10" s="25" customFormat="1" ht="27" customHeight="1">
      <c r="A21" s="65">
        <f t="shared" si="0"/>
        <v>19</v>
      </c>
      <c r="B21" s="76" t="s">
        <v>2235</v>
      </c>
      <c r="C21" s="61">
        <v>0</v>
      </c>
      <c r="D21" s="129">
        <v>0</v>
      </c>
      <c r="E21" s="61">
        <v>0</v>
      </c>
      <c r="F21" s="61">
        <v>255</v>
      </c>
      <c r="G21" s="76" t="s">
        <v>1518</v>
      </c>
      <c r="H21" s="64" t="str">
        <f t="shared" si="1"/>
        <v>1414</v>
      </c>
      <c r="I21" s="59">
        <v>1</v>
      </c>
      <c r="J21" s="61"/>
    </row>
    <row r="22" spans="1:10" s="25" customFormat="1" ht="27" customHeight="1">
      <c r="A22" s="65">
        <f t="shared" si="0"/>
        <v>20</v>
      </c>
      <c r="B22" s="76" t="s">
        <v>2236</v>
      </c>
      <c r="C22" s="61">
        <v>0</v>
      </c>
      <c r="D22" s="129">
        <v>0</v>
      </c>
      <c r="E22" s="61">
        <v>0</v>
      </c>
      <c r="F22" s="61">
        <v>255</v>
      </c>
      <c r="G22" s="76" t="s">
        <v>1518</v>
      </c>
      <c r="H22" s="64" t="str">
        <f t="shared" si="1"/>
        <v>1415</v>
      </c>
      <c r="I22" s="59">
        <v>1</v>
      </c>
      <c r="J22" s="61"/>
    </row>
    <row r="23" spans="1:10" s="25" customFormat="1" ht="27" customHeight="1">
      <c r="A23" s="65">
        <f t="shared" si="0"/>
        <v>21</v>
      </c>
      <c r="B23" s="76" t="s">
        <v>2237</v>
      </c>
      <c r="C23" s="61">
        <v>0</v>
      </c>
      <c r="D23" s="129">
        <v>0</v>
      </c>
      <c r="E23" s="61">
        <v>0</v>
      </c>
      <c r="F23" s="61">
        <v>255</v>
      </c>
      <c r="G23" s="76" t="s">
        <v>1518</v>
      </c>
      <c r="H23" s="64" t="str">
        <f t="shared" si="1"/>
        <v>1416</v>
      </c>
      <c r="I23" s="59">
        <v>1</v>
      </c>
      <c r="J23" s="61"/>
    </row>
    <row r="24" spans="1:10" s="25" customFormat="1" ht="27" customHeight="1">
      <c r="A24" s="65">
        <f t="shared" si="0"/>
        <v>22</v>
      </c>
      <c r="B24" s="76" t="s">
        <v>2238</v>
      </c>
      <c r="C24" s="61">
        <v>0</v>
      </c>
      <c r="D24" s="129">
        <v>0</v>
      </c>
      <c r="E24" s="61">
        <v>0</v>
      </c>
      <c r="F24" s="61">
        <v>255</v>
      </c>
      <c r="G24" s="76" t="s">
        <v>1518</v>
      </c>
      <c r="H24" s="64" t="str">
        <f t="shared" si="1"/>
        <v>1417</v>
      </c>
      <c r="I24" s="59">
        <v>1</v>
      </c>
      <c r="J24" s="61"/>
    </row>
    <row r="25" spans="1:10" s="25" customFormat="1" ht="27" customHeight="1">
      <c r="A25" s="65">
        <f t="shared" si="0"/>
        <v>23</v>
      </c>
      <c r="B25" s="76" t="s">
        <v>2239</v>
      </c>
      <c r="C25" s="61">
        <v>0</v>
      </c>
      <c r="D25" s="129">
        <v>0</v>
      </c>
      <c r="E25" s="61">
        <v>0</v>
      </c>
      <c r="F25" s="61">
        <v>255</v>
      </c>
      <c r="G25" s="76" t="s">
        <v>1518</v>
      </c>
      <c r="H25" s="64" t="str">
        <f t="shared" si="1"/>
        <v>1418</v>
      </c>
      <c r="I25" s="59">
        <v>1</v>
      </c>
      <c r="J25" s="61"/>
    </row>
    <row r="26" spans="1:10" s="25" customFormat="1" ht="27" customHeight="1">
      <c r="A26" s="65">
        <f t="shared" si="0"/>
        <v>24</v>
      </c>
      <c r="B26" s="76" t="s">
        <v>2240</v>
      </c>
      <c r="C26" s="61">
        <v>0</v>
      </c>
      <c r="D26" s="129">
        <v>0</v>
      </c>
      <c r="E26" s="61">
        <v>0</v>
      </c>
      <c r="F26" s="61">
        <v>255</v>
      </c>
      <c r="G26" s="76" t="s">
        <v>1518</v>
      </c>
      <c r="H26" s="64" t="str">
        <f t="shared" si="1"/>
        <v>1419</v>
      </c>
      <c r="I26" s="59">
        <v>1</v>
      </c>
      <c r="J26" s="61"/>
    </row>
    <row r="27" spans="1:10" s="25" customFormat="1" ht="27" customHeight="1">
      <c r="A27" s="65">
        <f t="shared" si="0"/>
        <v>25</v>
      </c>
      <c r="B27" s="76" t="s">
        <v>2241</v>
      </c>
      <c r="C27" s="61">
        <v>0</v>
      </c>
      <c r="D27" s="129">
        <v>0</v>
      </c>
      <c r="E27" s="61">
        <v>0</v>
      </c>
      <c r="F27" s="61">
        <v>255</v>
      </c>
      <c r="G27" s="76" t="s">
        <v>1518</v>
      </c>
      <c r="H27" s="64" t="str">
        <f t="shared" si="1"/>
        <v>141A</v>
      </c>
      <c r="I27" s="59">
        <v>1</v>
      </c>
      <c r="J27" s="61"/>
    </row>
    <row r="28" spans="1:10" s="25" customFormat="1" ht="27" customHeight="1">
      <c r="A28" s="65">
        <f t="shared" si="0"/>
        <v>26</v>
      </c>
      <c r="B28" s="76" t="s">
        <v>2242</v>
      </c>
      <c r="C28" s="61">
        <v>0</v>
      </c>
      <c r="D28" s="129">
        <v>0</v>
      </c>
      <c r="E28" s="61">
        <v>0</v>
      </c>
      <c r="F28" s="61">
        <v>255</v>
      </c>
      <c r="G28" s="76" t="s">
        <v>1518</v>
      </c>
      <c r="H28" s="64" t="str">
        <f t="shared" si="1"/>
        <v>141B</v>
      </c>
      <c r="I28" s="59">
        <v>1</v>
      </c>
      <c r="J28" s="61"/>
    </row>
    <row r="29" spans="1:10" s="25" customFormat="1" ht="27" customHeight="1">
      <c r="A29" s="65">
        <f t="shared" si="0"/>
        <v>27</v>
      </c>
      <c r="B29" s="76" t="s">
        <v>2243</v>
      </c>
      <c r="C29" s="61">
        <v>0</v>
      </c>
      <c r="D29" s="129">
        <v>0</v>
      </c>
      <c r="E29" s="61">
        <v>0</v>
      </c>
      <c r="F29" s="61">
        <v>255</v>
      </c>
      <c r="G29" s="76" t="s">
        <v>1518</v>
      </c>
      <c r="H29" s="64" t="str">
        <f t="shared" si="1"/>
        <v>141C</v>
      </c>
      <c r="I29" s="59">
        <v>1</v>
      </c>
      <c r="J29" s="61"/>
    </row>
    <row r="30" spans="1:10" s="25" customFormat="1" ht="27" customHeight="1">
      <c r="A30" s="65">
        <f t="shared" si="0"/>
        <v>28</v>
      </c>
      <c r="B30" s="76" t="s">
        <v>2244</v>
      </c>
      <c r="C30" s="61">
        <v>0</v>
      </c>
      <c r="D30" s="129">
        <v>0</v>
      </c>
      <c r="E30" s="61">
        <v>0</v>
      </c>
      <c r="F30" s="61">
        <v>255</v>
      </c>
      <c r="G30" s="76" t="s">
        <v>1518</v>
      </c>
      <c r="H30" s="64" t="str">
        <f t="shared" si="1"/>
        <v>141D</v>
      </c>
      <c r="I30" s="59">
        <v>1</v>
      </c>
      <c r="J30" s="61"/>
    </row>
    <row r="31" spans="1:10" s="25" customFormat="1" ht="27" customHeight="1">
      <c r="A31" s="65">
        <f t="shared" si="0"/>
        <v>29</v>
      </c>
      <c r="B31" s="76" t="s">
        <v>2245</v>
      </c>
      <c r="C31" s="61">
        <v>0</v>
      </c>
      <c r="D31" s="129">
        <v>0</v>
      </c>
      <c r="E31" s="61">
        <v>0</v>
      </c>
      <c r="F31" s="61">
        <v>255</v>
      </c>
      <c r="G31" s="76" t="s">
        <v>1518</v>
      </c>
      <c r="H31" s="64" t="str">
        <f t="shared" si="1"/>
        <v>141E</v>
      </c>
      <c r="I31" s="59">
        <v>1</v>
      </c>
      <c r="J31" s="61"/>
    </row>
    <row r="32" spans="1:10" s="25" customFormat="1" ht="27" customHeight="1">
      <c r="A32" s="65">
        <f t="shared" si="0"/>
        <v>30</v>
      </c>
      <c r="B32" s="76" t="s">
        <v>2246</v>
      </c>
      <c r="C32" s="61">
        <v>0</v>
      </c>
      <c r="D32" s="129">
        <v>0</v>
      </c>
      <c r="E32" s="61">
        <v>0</v>
      </c>
      <c r="F32" s="61">
        <v>255</v>
      </c>
      <c r="G32" s="76" t="s">
        <v>1518</v>
      </c>
      <c r="H32" s="64" t="str">
        <f t="shared" si="1"/>
        <v>141F</v>
      </c>
      <c r="I32" s="59">
        <v>1</v>
      </c>
      <c r="J32" s="61"/>
    </row>
    <row r="33" spans="1:10" s="25" customFormat="1" ht="27" customHeight="1">
      <c r="A33" s="65">
        <f t="shared" si="0"/>
        <v>31</v>
      </c>
      <c r="B33" s="76" t="s">
        <v>2247</v>
      </c>
      <c r="C33" s="61">
        <v>0</v>
      </c>
      <c r="D33" s="129">
        <v>0</v>
      </c>
      <c r="E33" s="61">
        <v>0</v>
      </c>
      <c r="F33" s="61">
        <v>255</v>
      </c>
      <c r="G33" s="76" t="s">
        <v>1518</v>
      </c>
      <c r="H33" s="64" t="str">
        <f t="shared" si="1"/>
        <v>1420</v>
      </c>
      <c r="I33" s="59">
        <v>1</v>
      </c>
      <c r="J33" s="61"/>
    </row>
    <row r="34" spans="1:10" s="25" customFormat="1" ht="27" customHeight="1">
      <c r="A34" s="65">
        <f t="shared" si="0"/>
        <v>32</v>
      </c>
      <c r="B34" s="76" t="s">
        <v>2248</v>
      </c>
      <c r="C34" s="61">
        <v>0</v>
      </c>
      <c r="D34" s="129">
        <v>0</v>
      </c>
      <c r="E34" s="61">
        <v>0</v>
      </c>
      <c r="F34" s="61">
        <v>255</v>
      </c>
      <c r="G34" s="76" t="s">
        <v>1518</v>
      </c>
      <c r="H34" s="64" t="str">
        <f t="shared" si="1"/>
        <v>1421</v>
      </c>
      <c r="I34" s="59">
        <v>1</v>
      </c>
      <c r="J34" s="61"/>
    </row>
    <row r="35" spans="1:10" s="25" customFormat="1" ht="27" customHeight="1">
      <c r="A35" s="65">
        <f t="shared" ref="A35:A65" si="2">A34+1</f>
        <v>33</v>
      </c>
      <c r="B35" s="76" t="s">
        <v>2249</v>
      </c>
      <c r="C35" s="61">
        <v>0</v>
      </c>
      <c r="D35" s="129">
        <v>0</v>
      </c>
      <c r="E35" s="61">
        <v>0</v>
      </c>
      <c r="F35" s="61">
        <v>255</v>
      </c>
      <c r="G35" s="76" t="s">
        <v>1518</v>
      </c>
      <c r="H35" s="64" t="str">
        <f t="shared" ref="H35:H65" si="3">DEC2HEX((HEX2DEC(H34)+1),4)</f>
        <v>1422</v>
      </c>
      <c r="I35" s="59">
        <v>1</v>
      </c>
      <c r="J35" s="61"/>
    </row>
    <row r="36" spans="1:10" s="25" customFormat="1" ht="27" customHeight="1">
      <c r="A36" s="65">
        <f t="shared" si="2"/>
        <v>34</v>
      </c>
      <c r="B36" s="76" t="s">
        <v>2250</v>
      </c>
      <c r="C36" s="61">
        <v>0</v>
      </c>
      <c r="D36" s="129">
        <v>0</v>
      </c>
      <c r="E36" s="61">
        <v>0</v>
      </c>
      <c r="F36" s="61">
        <v>255</v>
      </c>
      <c r="G36" s="76" t="s">
        <v>1518</v>
      </c>
      <c r="H36" s="64" t="str">
        <f t="shared" si="3"/>
        <v>1423</v>
      </c>
      <c r="I36" s="59">
        <v>1</v>
      </c>
      <c r="J36" s="61"/>
    </row>
    <row r="37" spans="1:10" s="25" customFormat="1" ht="27" customHeight="1">
      <c r="A37" s="65">
        <f t="shared" si="2"/>
        <v>35</v>
      </c>
      <c r="B37" s="76" t="s">
        <v>2251</v>
      </c>
      <c r="C37" s="61">
        <v>0</v>
      </c>
      <c r="D37" s="129">
        <v>0</v>
      </c>
      <c r="E37" s="61">
        <v>0</v>
      </c>
      <c r="F37" s="61">
        <v>255</v>
      </c>
      <c r="G37" s="76" t="s">
        <v>1518</v>
      </c>
      <c r="H37" s="64" t="str">
        <f t="shared" si="3"/>
        <v>1424</v>
      </c>
      <c r="I37" s="59">
        <v>1</v>
      </c>
      <c r="J37" s="61"/>
    </row>
    <row r="38" spans="1:10" s="25" customFormat="1" ht="27" customHeight="1">
      <c r="A38" s="65">
        <f t="shared" si="2"/>
        <v>36</v>
      </c>
      <c r="B38" s="76" t="s">
        <v>2252</v>
      </c>
      <c r="C38" s="61">
        <v>0</v>
      </c>
      <c r="D38" s="129">
        <v>0</v>
      </c>
      <c r="E38" s="61">
        <v>0</v>
      </c>
      <c r="F38" s="61">
        <v>255</v>
      </c>
      <c r="G38" s="76" t="s">
        <v>1518</v>
      </c>
      <c r="H38" s="64" t="str">
        <f t="shared" si="3"/>
        <v>1425</v>
      </c>
      <c r="I38" s="59">
        <v>1</v>
      </c>
      <c r="J38" s="61"/>
    </row>
    <row r="39" spans="1:10" s="25" customFormat="1" ht="27" customHeight="1">
      <c r="A39" s="65">
        <f t="shared" si="2"/>
        <v>37</v>
      </c>
      <c r="B39" s="76" t="s">
        <v>2253</v>
      </c>
      <c r="C39" s="61">
        <v>0</v>
      </c>
      <c r="D39" s="129">
        <v>0</v>
      </c>
      <c r="E39" s="61">
        <v>0</v>
      </c>
      <c r="F39" s="61">
        <v>255</v>
      </c>
      <c r="G39" s="76" t="s">
        <v>1518</v>
      </c>
      <c r="H39" s="64" t="str">
        <f t="shared" si="3"/>
        <v>1426</v>
      </c>
      <c r="I39" s="59">
        <v>1</v>
      </c>
      <c r="J39" s="61"/>
    </row>
    <row r="40" spans="1:10" s="25" customFormat="1" ht="27" customHeight="1">
      <c r="A40" s="65">
        <f t="shared" si="2"/>
        <v>38</v>
      </c>
      <c r="B40" s="76" t="s">
        <v>2254</v>
      </c>
      <c r="C40" s="61">
        <v>0</v>
      </c>
      <c r="D40" s="129">
        <v>0</v>
      </c>
      <c r="E40" s="61">
        <v>0</v>
      </c>
      <c r="F40" s="61">
        <v>255</v>
      </c>
      <c r="G40" s="76" t="s">
        <v>1518</v>
      </c>
      <c r="H40" s="64" t="str">
        <f t="shared" si="3"/>
        <v>1427</v>
      </c>
      <c r="I40" s="59">
        <v>1</v>
      </c>
      <c r="J40" s="61"/>
    </row>
    <row r="41" spans="1:10" s="25" customFormat="1" ht="27" customHeight="1">
      <c r="A41" s="65">
        <f t="shared" si="2"/>
        <v>39</v>
      </c>
      <c r="B41" s="76" t="s">
        <v>2255</v>
      </c>
      <c r="C41" s="61">
        <v>0</v>
      </c>
      <c r="D41" s="129">
        <v>0</v>
      </c>
      <c r="E41" s="61">
        <v>0</v>
      </c>
      <c r="F41" s="61">
        <v>255</v>
      </c>
      <c r="G41" s="76" t="s">
        <v>1518</v>
      </c>
      <c r="H41" s="64" t="str">
        <f t="shared" si="3"/>
        <v>1428</v>
      </c>
      <c r="I41" s="59">
        <v>1</v>
      </c>
      <c r="J41" s="61"/>
    </row>
    <row r="42" spans="1:10" s="25" customFormat="1" ht="27" customHeight="1">
      <c r="A42" s="65">
        <f t="shared" si="2"/>
        <v>40</v>
      </c>
      <c r="B42" s="76" t="s">
        <v>2256</v>
      </c>
      <c r="C42" s="61">
        <v>0</v>
      </c>
      <c r="D42" s="129">
        <v>0</v>
      </c>
      <c r="E42" s="61">
        <v>0</v>
      </c>
      <c r="F42" s="61">
        <v>255</v>
      </c>
      <c r="G42" s="76" t="s">
        <v>1518</v>
      </c>
      <c r="H42" s="64" t="str">
        <f t="shared" si="3"/>
        <v>1429</v>
      </c>
      <c r="I42" s="59">
        <v>1</v>
      </c>
      <c r="J42" s="61"/>
    </row>
    <row r="43" spans="1:10" s="25" customFormat="1" ht="27" customHeight="1">
      <c r="A43" s="65">
        <f t="shared" si="2"/>
        <v>41</v>
      </c>
      <c r="B43" s="76" t="s">
        <v>2257</v>
      </c>
      <c r="C43" s="61">
        <v>0</v>
      </c>
      <c r="D43" s="129">
        <v>0</v>
      </c>
      <c r="E43" s="61">
        <v>0</v>
      </c>
      <c r="F43" s="61">
        <v>255</v>
      </c>
      <c r="G43" s="76" t="s">
        <v>1518</v>
      </c>
      <c r="H43" s="64" t="str">
        <f t="shared" si="3"/>
        <v>142A</v>
      </c>
      <c r="I43" s="59">
        <v>1</v>
      </c>
      <c r="J43" s="61"/>
    </row>
    <row r="44" spans="1:10" s="25" customFormat="1" ht="27" customHeight="1">
      <c r="A44" s="65">
        <f t="shared" si="2"/>
        <v>42</v>
      </c>
      <c r="B44" s="76" t="s">
        <v>2258</v>
      </c>
      <c r="C44" s="61">
        <v>0</v>
      </c>
      <c r="D44" s="129">
        <v>0</v>
      </c>
      <c r="E44" s="61">
        <v>0</v>
      </c>
      <c r="F44" s="61">
        <v>255</v>
      </c>
      <c r="G44" s="76" t="s">
        <v>1518</v>
      </c>
      <c r="H44" s="64" t="str">
        <f t="shared" si="3"/>
        <v>142B</v>
      </c>
      <c r="I44" s="59">
        <v>1</v>
      </c>
      <c r="J44" s="61"/>
    </row>
    <row r="45" spans="1:10" s="25" customFormat="1" ht="27" customHeight="1">
      <c r="A45" s="65">
        <f t="shared" si="2"/>
        <v>43</v>
      </c>
      <c r="B45" s="76" t="s">
        <v>2259</v>
      </c>
      <c r="C45" s="61">
        <v>0</v>
      </c>
      <c r="D45" s="129">
        <v>0</v>
      </c>
      <c r="E45" s="61">
        <v>0</v>
      </c>
      <c r="F45" s="61">
        <v>255</v>
      </c>
      <c r="G45" s="76" t="s">
        <v>1518</v>
      </c>
      <c r="H45" s="64" t="str">
        <f t="shared" si="3"/>
        <v>142C</v>
      </c>
      <c r="I45" s="59">
        <v>1</v>
      </c>
      <c r="J45" s="61"/>
    </row>
    <row r="46" spans="1:10" s="25" customFormat="1" ht="27" customHeight="1">
      <c r="A46" s="65">
        <f t="shared" si="2"/>
        <v>44</v>
      </c>
      <c r="B46" s="76" t="s">
        <v>2260</v>
      </c>
      <c r="C46" s="61">
        <v>0</v>
      </c>
      <c r="D46" s="129">
        <v>0</v>
      </c>
      <c r="E46" s="61">
        <v>0</v>
      </c>
      <c r="F46" s="61">
        <v>255</v>
      </c>
      <c r="G46" s="76" t="s">
        <v>1518</v>
      </c>
      <c r="H46" s="64" t="str">
        <f t="shared" si="3"/>
        <v>142D</v>
      </c>
      <c r="I46" s="59">
        <v>1</v>
      </c>
      <c r="J46" s="61"/>
    </row>
    <row r="47" spans="1:10" s="25" customFormat="1" ht="27" customHeight="1">
      <c r="A47" s="65">
        <f t="shared" si="2"/>
        <v>45</v>
      </c>
      <c r="B47" s="76" t="s">
        <v>2261</v>
      </c>
      <c r="C47" s="61">
        <v>0</v>
      </c>
      <c r="D47" s="129">
        <v>0</v>
      </c>
      <c r="E47" s="61">
        <v>0</v>
      </c>
      <c r="F47" s="61">
        <v>255</v>
      </c>
      <c r="G47" s="76" t="s">
        <v>1518</v>
      </c>
      <c r="H47" s="64" t="str">
        <f t="shared" si="3"/>
        <v>142E</v>
      </c>
      <c r="I47" s="59">
        <v>1</v>
      </c>
      <c r="J47" s="61"/>
    </row>
    <row r="48" spans="1:10" s="25" customFormat="1" ht="27" customHeight="1">
      <c r="A48" s="65">
        <f t="shared" si="2"/>
        <v>46</v>
      </c>
      <c r="B48" s="76" t="s">
        <v>2262</v>
      </c>
      <c r="C48" s="61">
        <v>0</v>
      </c>
      <c r="D48" s="129">
        <v>0</v>
      </c>
      <c r="E48" s="61">
        <v>0</v>
      </c>
      <c r="F48" s="61">
        <v>255</v>
      </c>
      <c r="G48" s="76" t="s">
        <v>1518</v>
      </c>
      <c r="H48" s="64" t="str">
        <f t="shared" si="3"/>
        <v>142F</v>
      </c>
      <c r="I48" s="59">
        <v>1</v>
      </c>
      <c r="J48" s="61"/>
    </row>
    <row r="49" spans="1:10" s="25" customFormat="1" ht="27" customHeight="1">
      <c r="A49" s="65">
        <f t="shared" si="2"/>
        <v>47</v>
      </c>
      <c r="B49" s="76" t="s">
        <v>2263</v>
      </c>
      <c r="C49" s="61">
        <v>0</v>
      </c>
      <c r="D49" s="129">
        <v>0</v>
      </c>
      <c r="E49" s="61">
        <v>0</v>
      </c>
      <c r="F49" s="61">
        <v>255</v>
      </c>
      <c r="G49" s="76" t="s">
        <v>1518</v>
      </c>
      <c r="H49" s="64" t="str">
        <f t="shared" si="3"/>
        <v>1430</v>
      </c>
      <c r="I49" s="59">
        <v>1</v>
      </c>
      <c r="J49" s="61"/>
    </row>
    <row r="50" spans="1:10" s="25" customFormat="1" ht="27" customHeight="1">
      <c r="A50" s="65">
        <f t="shared" si="2"/>
        <v>48</v>
      </c>
      <c r="B50" s="76" t="s">
        <v>2264</v>
      </c>
      <c r="C50" s="61">
        <v>0</v>
      </c>
      <c r="D50" s="129">
        <v>0</v>
      </c>
      <c r="E50" s="61">
        <v>0</v>
      </c>
      <c r="F50" s="61">
        <v>255</v>
      </c>
      <c r="G50" s="76" t="s">
        <v>1518</v>
      </c>
      <c r="H50" s="64" t="str">
        <f t="shared" si="3"/>
        <v>1431</v>
      </c>
      <c r="I50" s="59">
        <v>1</v>
      </c>
      <c r="J50" s="61"/>
    </row>
    <row r="51" spans="1:10" s="25" customFormat="1" ht="27" customHeight="1">
      <c r="A51" s="65">
        <f t="shared" si="2"/>
        <v>49</v>
      </c>
      <c r="B51" s="76" t="s">
        <v>2265</v>
      </c>
      <c r="C51" s="61">
        <v>0</v>
      </c>
      <c r="D51" s="129">
        <v>0</v>
      </c>
      <c r="E51" s="61">
        <v>0</v>
      </c>
      <c r="F51" s="61">
        <v>255</v>
      </c>
      <c r="G51" s="76" t="s">
        <v>1518</v>
      </c>
      <c r="H51" s="64" t="str">
        <f t="shared" si="3"/>
        <v>1432</v>
      </c>
      <c r="I51" s="59">
        <v>1</v>
      </c>
      <c r="J51" s="61"/>
    </row>
    <row r="52" spans="1:10" s="25" customFormat="1" ht="27" customHeight="1">
      <c r="A52" s="65">
        <f t="shared" si="2"/>
        <v>50</v>
      </c>
      <c r="B52" s="76" t="s">
        <v>2266</v>
      </c>
      <c r="C52" s="61">
        <v>0</v>
      </c>
      <c r="D52" s="129">
        <v>0</v>
      </c>
      <c r="E52" s="61">
        <v>0</v>
      </c>
      <c r="F52" s="61">
        <v>255</v>
      </c>
      <c r="G52" s="76" t="s">
        <v>1518</v>
      </c>
      <c r="H52" s="64" t="str">
        <f t="shared" si="3"/>
        <v>1433</v>
      </c>
      <c r="I52" s="59">
        <v>1</v>
      </c>
      <c r="J52" s="61"/>
    </row>
    <row r="53" spans="1:10" s="25" customFormat="1" ht="27" customHeight="1">
      <c r="A53" s="65">
        <f t="shared" si="2"/>
        <v>51</v>
      </c>
      <c r="B53" s="76" t="s">
        <v>2267</v>
      </c>
      <c r="C53" s="61">
        <v>0</v>
      </c>
      <c r="D53" s="129">
        <v>0</v>
      </c>
      <c r="E53" s="61">
        <v>0</v>
      </c>
      <c r="F53" s="61">
        <v>255</v>
      </c>
      <c r="G53" s="76" t="s">
        <v>1518</v>
      </c>
      <c r="H53" s="64" t="str">
        <f t="shared" si="3"/>
        <v>1434</v>
      </c>
      <c r="I53" s="59">
        <v>1</v>
      </c>
      <c r="J53" s="61"/>
    </row>
    <row r="54" spans="1:10" s="25" customFormat="1" ht="27" customHeight="1">
      <c r="A54" s="65">
        <f t="shared" si="2"/>
        <v>52</v>
      </c>
      <c r="B54" s="76" t="s">
        <v>2268</v>
      </c>
      <c r="C54" s="61">
        <v>0</v>
      </c>
      <c r="D54" s="129">
        <v>0</v>
      </c>
      <c r="E54" s="61">
        <v>0</v>
      </c>
      <c r="F54" s="61">
        <v>255</v>
      </c>
      <c r="G54" s="76" t="s">
        <v>1518</v>
      </c>
      <c r="H54" s="64" t="str">
        <f t="shared" si="3"/>
        <v>1435</v>
      </c>
      <c r="I54" s="59">
        <v>1</v>
      </c>
      <c r="J54" s="61"/>
    </row>
    <row r="55" spans="1:10" s="25" customFormat="1" ht="27" customHeight="1">
      <c r="A55" s="65">
        <f t="shared" si="2"/>
        <v>53</v>
      </c>
      <c r="B55" s="76" t="s">
        <v>2269</v>
      </c>
      <c r="C55" s="61">
        <v>0</v>
      </c>
      <c r="D55" s="129">
        <v>0</v>
      </c>
      <c r="E55" s="61">
        <v>0</v>
      </c>
      <c r="F55" s="61">
        <v>255</v>
      </c>
      <c r="G55" s="76" t="s">
        <v>1518</v>
      </c>
      <c r="H55" s="64" t="str">
        <f t="shared" si="3"/>
        <v>1436</v>
      </c>
      <c r="I55" s="59">
        <v>1</v>
      </c>
      <c r="J55" s="61"/>
    </row>
    <row r="56" spans="1:10" s="25" customFormat="1" ht="27" customHeight="1">
      <c r="A56" s="65">
        <f t="shared" si="2"/>
        <v>54</v>
      </c>
      <c r="B56" s="76" t="s">
        <v>2270</v>
      </c>
      <c r="C56" s="61">
        <v>0</v>
      </c>
      <c r="D56" s="129">
        <v>0</v>
      </c>
      <c r="E56" s="61">
        <v>0</v>
      </c>
      <c r="F56" s="61">
        <v>255</v>
      </c>
      <c r="G56" s="76" t="s">
        <v>1518</v>
      </c>
      <c r="H56" s="64" t="str">
        <f t="shared" si="3"/>
        <v>1437</v>
      </c>
      <c r="I56" s="59">
        <v>1</v>
      </c>
      <c r="J56" s="61"/>
    </row>
    <row r="57" spans="1:10" s="25" customFormat="1" ht="27" customHeight="1">
      <c r="A57" s="65">
        <f t="shared" si="2"/>
        <v>55</v>
      </c>
      <c r="B57" s="76" t="s">
        <v>2271</v>
      </c>
      <c r="C57" s="61">
        <v>0</v>
      </c>
      <c r="D57" s="129">
        <v>0</v>
      </c>
      <c r="E57" s="61">
        <v>0</v>
      </c>
      <c r="F57" s="61">
        <v>255</v>
      </c>
      <c r="G57" s="76" t="s">
        <v>1518</v>
      </c>
      <c r="H57" s="64" t="str">
        <f t="shared" si="3"/>
        <v>1438</v>
      </c>
      <c r="I57" s="59">
        <v>1</v>
      </c>
      <c r="J57" s="61"/>
    </row>
    <row r="58" spans="1:10" s="25" customFormat="1" ht="27" customHeight="1">
      <c r="A58" s="65">
        <f t="shared" si="2"/>
        <v>56</v>
      </c>
      <c r="B58" s="76" t="s">
        <v>2272</v>
      </c>
      <c r="C58" s="61">
        <v>0</v>
      </c>
      <c r="D58" s="129">
        <v>0</v>
      </c>
      <c r="E58" s="61">
        <v>0</v>
      </c>
      <c r="F58" s="61">
        <v>255</v>
      </c>
      <c r="G58" s="76" t="s">
        <v>1518</v>
      </c>
      <c r="H58" s="64" t="str">
        <f t="shared" si="3"/>
        <v>1439</v>
      </c>
      <c r="I58" s="59">
        <v>1</v>
      </c>
      <c r="J58" s="61"/>
    </row>
    <row r="59" spans="1:10" s="25" customFormat="1" ht="27" customHeight="1">
      <c r="A59" s="65">
        <f t="shared" si="2"/>
        <v>57</v>
      </c>
      <c r="B59" s="76" t="s">
        <v>2273</v>
      </c>
      <c r="C59" s="61">
        <v>0</v>
      </c>
      <c r="D59" s="129">
        <v>0</v>
      </c>
      <c r="E59" s="61">
        <v>0</v>
      </c>
      <c r="F59" s="61">
        <v>255</v>
      </c>
      <c r="G59" s="76" t="s">
        <v>1518</v>
      </c>
      <c r="H59" s="64" t="str">
        <f t="shared" si="3"/>
        <v>143A</v>
      </c>
      <c r="I59" s="59">
        <v>1</v>
      </c>
      <c r="J59" s="61"/>
    </row>
    <row r="60" spans="1:10" s="25" customFormat="1" ht="27" customHeight="1">
      <c r="A60" s="65">
        <f t="shared" si="2"/>
        <v>58</v>
      </c>
      <c r="B60" s="76" t="s">
        <v>2274</v>
      </c>
      <c r="C60" s="61">
        <v>0</v>
      </c>
      <c r="D60" s="129">
        <v>0</v>
      </c>
      <c r="E60" s="61">
        <v>0</v>
      </c>
      <c r="F60" s="61">
        <v>255</v>
      </c>
      <c r="G60" s="76" t="s">
        <v>1518</v>
      </c>
      <c r="H60" s="64" t="str">
        <f t="shared" si="3"/>
        <v>143B</v>
      </c>
      <c r="I60" s="59">
        <v>1</v>
      </c>
      <c r="J60" s="61"/>
    </row>
    <row r="61" spans="1:10" s="25" customFormat="1" ht="27" customHeight="1">
      <c r="A61" s="65">
        <f t="shared" si="2"/>
        <v>59</v>
      </c>
      <c r="B61" s="76" t="s">
        <v>2275</v>
      </c>
      <c r="C61" s="61">
        <v>0</v>
      </c>
      <c r="D61" s="129">
        <v>0</v>
      </c>
      <c r="E61" s="61">
        <v>0</v>
      </c>
      <c r="F61" s="61">
        <v>255</v>
      </c>
      <c r="G61" s="76" t="s">
        <v>1518</v>
      </c>
      <c r="H61" s="64" t="str">
        <f t="shared" si="3"/>
        <v>143C</v>
      </c>
      <c r="I61" s="59">
        <v>1</v>
      </c>
      <c r="J61" s="61"/>
    </row>
    <row r="62" spans="1:10" s="25" customFormat="1" ht="27" customHeight="1">
      <c r="A62" s="65">
        <f t="shared" si="2"/>
        <v>60</v>
      </c>
      <c r="B62" s="76" t="s">
        <v>2276</v>
      </c>
      <c r="C62" s="61">
        <v>0</v>
      </c>
      <c r="D62" s="129">
        <v>0</v>
      </c>
      <c r="E62" s="61">
        <v>0</v>
      </c>
      <c r="F62" s="61">
        <v>255</v>
      </c>
      <c r="G62" s="76" t="s">
        <v>1518</v>
      </c>
      <c r="H62" s="64" t="str">
        <f t="shared" si="3"/>
        <v>143D</v>
      </c>
      <c r="I62" s="59">
        <v>1</v>
      </c>
      <c r="J62" s="61"/>
    </row>
    <row r="63" spans="1:10" s="25" customFormat="1" ht="27" customHeight="1">
      <c r="A63" s="65">
        <f t="shared" si="2"/>
        <v>61</v>
      </c>
      <c r="B63" s="76" t="s">
        <v>2277</v>
      </c>
      <c r="C63" s="61">
        <v>0</v>
      </c>
      <c r="D63" s="129">
        <v>0</v>
      </c>
      <c r="E63" s="61">
        <v>0</v>
      </c>
      <c r="F63" s="61">
        <v>255</v>
      </c>
      <c r="G63" s="76" t="s">
        <v>1518</v>
      </c>
      <c r="H63" s="64" t="str">
        <f t="shared" si="3"/>
        <v>143E</v>
      </c>
      <c r="I63" s="59">
        <v>1</v>
      </c>
      <c r="J63" s="61"/>
    </row>
    <row r="64" spans="1:10" s="25" customFormat="1" ht="27" customHeight="1">
      <c r="A64" s="65">
        <f t="shared" si="2"/>
        <v>62</v>
      </c>
      <c r="B64" s="76" t="s">
        <v>2278</v>
      </c>
      <c r="C64" s="61">
        <v>0</v>
      </c>
      <c r="D64" s="129">
        <v>0</v>
      </c>
      <c r="E64" s="61">
        <v>0</v>
      </c>
      <c r="F64" s="61">
        <v>255</v>
      </c>
      <c r="G64" s="76" t="s">
        <v>1518</v>
      </c>
      <c r="H64" s="64" t="str">
        <f t="shared" si="3"/>
        <v>143F</v>
      </c>
      <c r="I64" s="59">
        <v>1</v>
      </c>
      <c r="J64" s="61"/>
    </row>
    <row r="65" spans="1:10" s="25" customFormat="1" ht="27" customHeight="1">
      <c r="A65" s="65">
        <f t="shared" si="2"/>
        <v>63</v>
      </c>
      <c r="B65" s="76" t="s">
        <v>2279</v>
      </c>
      <c r="C65" s="61">
        <v>0</v>
      </c>
      <c r="D65" s="129">
        <v>0</v>
      </c>
      <c r="E65" s="61">
        <v>0</v>
      </c>
      <c r="F65" s="61">
        <v>255</v>
      </c>
      <c r="G65" s="76" t="s">
        <v>1518</v>
      </c>
      <c r="H65" s="64" t="str">
        <f t="shared" si="3"/>
        <v>1440</v>
      </c>
      <c r="I65" s="59">
        <v>1</v>
      </c>
      <c r="J65" s="61"/>
    </row>
  </sheetData>
  <dataValidations count="3">
    <dataValidation type="decimal" operator="lessThanOrEqual" allowBlank="1" showInputMessage="1" showErrorMessage="1" sqref="F2:F65">
      <formula1>255</formula1>
    </dataValidation>
    <dataValidation type="decimal" allowBlank="1" showInputMessage="1" showErrorMessage="1" sqref="D2:D65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>
    <tabColor rgb="FFFF0000"/>
    <pageSetUpPr fitToPage="1"/>
  </sheetPr>
  <dimension ref="A1:J65"/>
  <sheetViews>
    <sheetView topLeftCell="A91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">
        <v>2280</v>
      </c>
      <c r="C2" s="61">
        <v>0</v>
      </c>
      <c r="D2" s="129">
        <v>0</v>
      </c>
      <c r="E2" s="61">
        <v>0</v>
      </c>
      <c r="F2" s="61">
        <v>255</v>
      </c>
      <c r="G2" s="76" t="s">
        <v>1518</v>
      </c>
      <c r="H2" s="63">
        <v>1501</v>
      </c>
      <c r="I2" s="59">
        <v>1</v>
      </c>
      <c r="J2" s="61"/>
    </row>
    <row r="3" spans="1:10" s="25" customFormat="1" ht="27" customHeight="1">
      <c r="A3" s="65">
        <f t="shared" ref="A3:A34" si="0">A2+1</f>
        <v>1</v>
      </c>
      <c r="B3" s="76" t="s">
        <v>2281</v>
      </c>
      <c r="C3" s="61">
        <v>0</v>
      </c>
      <c r="D3" s="129">
        <v>0</v>
      </c>
      <c r="E3" s="61">
        <v>0</v>
      </c>
      <c r="F3" s="61">
        <v>255</v>
      </c>
      <c r="G3" s="76" t="s">
        <v>1518</v>
      </c>
      <c r="H3" s="64" t="str">
        <f t="shared" ref="H3:H34" si="1">DEC2HEX((HEX2DEC(H2)+1),4)</f>
        <v>1502</v>
      </c>
      <c r="I3" s="59">
        <v>1</v>
      </c>
      <c r="J3" s="61"/>
    </row>
    <row r="4" spans="1:10" s="25" customFormat="1" ht="27" customHeight="1">
      <c r="A4" s="65">
        <f t="shared" si="0"/>
        <v>2</v>
      </c>
      <c r="B4" s="76" t="s">
        <v>2282</v>
      </c>
      <c r="C4" s="61">
        <v>0</v>
      </c>
      <c r="D4" s="129">
        <v>0</v>
      </c>
      <c r="E4" s="61">
        <v>0</v>
      </c>
      <c r="F4" s="61">
        <v>255</v>
      </c>
      <c r="G4" s="76" t="s">
        <v>1518</v>
      </c>
      <c r="H4" s="64" t="str">
        <f t="shared" si="1"/>
        <v>1503</v>
      </c>
      <c r="I4" s="59">
        <v>1</v>
      </c>
      <c r="J4" s="61"/>
    </row>
    <row r="5" spans="1:10" s="25" customFormat="1" ht="27" customHeight="1">
      <c r="A5" s="65">
        <f t="shared" si="0"/>
        <v>3</v>
      </c>
      <c r="B5" s="76" t="s">
        <v>2283</v>
      </c>
      <c r="C5" s="61">
        <v>0</v>
      </c>
      <c r="D5" s="129">
        <v>0</v>
      </c>
      <c r="E5" s="61">
        <v>0</v>
      </c>
      <c r="F5" s="61">
        <v>255</v>
      </c>
      <c r="G5" s="76" t="s">
        <v>1518</v>
      </c>
      <c r="H5" s="64" t="str">
        <f t="shared" si="1"/>
        <v>1504</v>
      </c>
      <c r="I5" s="59">
        <v>1</v>
      </c>
      <c r="J5" s="61"/>
    </row>
    <row r="6" spans="1:10" s="25" customFormat="1" ht="27" customHeight="1">
      <c r="A6" s="65">
        <f t="shared" si="0"/>
        <v>4</v>
      </c>
      <c r="B6" s="76" t="s">
        <v>2284</v>
      </c>
      <c r="C6" s="61">
        <v>0</v>
      </c>
      <c r="D6" s="129">
        <v>0</v>
      </c>
      <c r="E6" s="61">
        <v>0</v>
      </c>
      <c r="F6" s="61">
        <v>255</v>
      </c>
      <c r="G6" s="76" t="s">
        <v>1518</v>
      </c>
      <c r="H6" s="64" t="str">
        <f t="shared" si="1"/>
        <v>1505</v>
      </c>
      <c r="I6" s="59">
        <v>1</v>
      </c>
      <c r="J6" s="61"/>
    </row>
    <row r="7" spans="1:10" s="25" customFormat="1" ht="27" customHeight="1">
      <c r="A7" s="65">
        <f t="shared" si="0"/>
        <v>5</v>
      </c>
      <c r="B7" s="76" t="s">
        <v>2285</v>
      </c>
      <c r="C7" s="61">
        <v>0</v>
      </c>
      <c r="D7" s="129">
        <v>0</v>
      </c>
      <c r="E7" s="61">
        <v>0</v>
      </c>
      <c r="F7" s="61">
        <v>255</v>
      </c>
      <c r="G7" s="76" t="s">
        <v>1518</v>
      </c>
      <c r="H7" s="64" t="str">
        <f t="shared" si="1"/>
        <v>1506</v>
      </c>
      <c r="I7" s="59">
        <v>1</v>
      </c>
      <c r="J7" s="61"/>
    </row>
    <row r="8" spans="1:10" s="25" customFormat="1" ht="27" customHeight="1">
      <c r="A8" s="65">
        <f t="shared" si="0"/>
        <v>6</v>
      </c>
      <c r="B8" s="76" t="s">
        <v>2286</v>
      </c>
      <c r="C8" s="61">
        <v>0</v>
      </c>
      <c r="D8" s="129">
        <v>0</v>
      </c>
      <c r="E8" s="61">
        <v>0</v>
      </c>
      <c r="F8" s="61">
        <v>255</v>
      </c>
      <c r="G8" s="76" t="s">
        <v>1518</v>
      </c>
      <c r="H8" s="64" t="str">
        <f t="shared" si="1"/>
        <v>1507</v>
      </c>
      <c r="I8" s="59">
        <v>1</v>
      </c>
      <c r="J8" s="61"/>
    </row>
    <row r="9" spans="1:10" s="25" customFormat="1" ht="27" customHeight="1">
      <c r="A9" s="65">
        <f t="shared" si="0"/>
        <v>7</v>
      </c>
      <c r="B9" s="76" t="s">
        <v>2287</v>
      </c>
      <c r="C9" s="61">
        <v>0</v>
      </c>
      <c r="D9" s="129">
        <v>0</v>
      </c>
      <c r="E9" s="61">
        <v>0</v>
      </c>
      <c r="F9" s="61">
        <v>255</v>
      </c>
      <c r="G9" s="76" t="s">
        <v>1518</v>
      </c>
      <c r="H9" s="64" t="str">
        <f t="shared" si="1"/>
        <v>1508</v>
      </c>
      <c r="I9" s="59">
        <v>1</v>
      </c>
      <c r="J9" s="61"/>
    </row>
    <row r="10" spans="1:10" s="25" customFormat="1" ht="27" customHeight="1">
      <c r="A10" s="65">
        <f t="shared" si="0"/>
        <v>8</v>
      </c>
      <c r="B10" s="76" t="s">
        <v>2288</v>
      </c>
      <c r="C10" s="61">
        <v>0</v>
      </c>
      <c r="D10" s="129">
        <v>0</v>
      </c>
      <c r="E10" s="61">
        <v>0</v>
      </c>
      <c r="F10" s="61">
        <v>255</v>
      </c>
      <c r="G10" s="76" t="s">
        <v>1518</v>
      </c>
      <c r="H10" s="64" t="str">
        <f t="shared" si="1"/>
        <v>1509</v>
      </c>
      <c r="I10" s="59">
        <v>1</v>
      </c>
      <c r="J10" s="61"/>
    </row>
    <row r="11" spans="1:10" s="25" customFormat="1" ht="27" customHeight="1">
      <c r="A11" s="65">
        <f t="shared" si="0"/>
        <v>9</v>
      </c>
      <c r="B11" s="76" t="s">
        <v>2289</v>
      </c>
      <c r="C11" s="61">
        <v>0</v>
      </c>
      <c r="D11" s="129">
        <v>0</v>
      </c>
      <c r="E11" s="61">
        <v>0</v>
      </c>
      <c r="F11" s="61">
        <v>255</v>
      </c>
      <c r="G11" s="76" t="s">
        <v>1518</v>
      </c>
      <c r="H11" s="64" t="str">
        <f t="shared" si="1"/>
        <v>150A</v>
      </c>
      <c r="I11" s="59">
        <v>1</v>
      </c>
      <c r="J11" s="61"/>
    </row>
    <row r="12" spans="1:10" s="25" customFormat="1" ht="27" customHeight="1">
      <c r="A12" s="65">
        <f t="shared" si="0"/>
        <v>10</v>
      </c>
      <c r="B12" s="76" t="s">
        <v>2290</v>
      </c>
      <c r="C12" s="61">
        <v>0</v>
      </c>
      <c r="D12" s="129">
        <v>0</v>
      </c>
      <c r="E12" s="61">
        <v>0</v>
      </c>
      <c r="F12" s="61">
        <v>255</v>
      </c>
      <c r="G12" s="76" t="s">
        <v>1518</v>
      </c>
      <c r="H12" s="64" t="str">
        <f t="shared" si="1"/>
        <v>150B</v>
      </c>
      <c r="I12" s="59">
        <v>1</v>
      </c>
      <c r="J12" s="61"/>
    </row>
    <row r="13" spans="1:10" s="25" customFormat="1" ht="27" customHeight="1">
      <c r="A13" s="65">
        <f t="shared" si="0"/>
        <v>11</v>
      </c>
      <c r="B13" s="76" t="s">
        <v>2291</v>
      </c>
      <c r="C13" s="61">
        <v>0</v>
      </c>
      <c r="D13" s="129">
        <v>0</v>
      </c>
      <c r="E13" s="61">
        <v>0</v>
      </c>
      <c r="F13" s="61">
        <v>255</v>
      </c>
      <c r="G13" s="76" t="s">
        <v>1518</v>
      </c>
      <c r="H13" s="64" t="str">
        <f t="shared" si="1"/>
        <v>150C</v>
      </c>
      <c r="I13" s="59">
        <v>1</v>
      </c>
      <c r="J13" s="61"/>
    </row>
    <row r="14" spans="1:10" s="25" customFormat="1" ht="27" customHeight="1">
      <c r="A14" s="65">
        <f t="shared" si="0"/>
        <v>12</v>
      </c>
      <c r="B14" s="76" t="s">
        <v>2292</v>
      </c>
      <c r="C14" s="61">
        <v>0</v>
      </c>
      <c r="D14" s="129">
        <v>0</v>
      </c>
      <c r="E14" s="61">
        <v>0</v>
      </c>
      <c r="F14" s="61">
        <v>255</v>
      </c>
      <c r="G14" s="76" t="s">
        <v>1518</v>
      </c>
      <c r="H14" s="64" t="str">
        <f t="shared" si="1"/>
        <v>150D</v>
      </c>
      <c r="I14" s="59">
        <v>1</v>
      </c>
      <c r="J14" s="61"/>
    </row>
    <row r="15" spans="1:10" s="25" customFormat="1" ht="27" customHeight="1">
      <c r="A15" s="65">
        <f t="shared" si="0"/>
        <v>13</v>
      </c>
      <c r="B15" s="76" t="s">
        <v>2293</v>
      </c>
      <c r="C15" s="61">
        <v>0</v>
      </c>
      <c r="D15" s="129">
        <v>0</v>
      </c>
      <c r="E15" s="61">
        <v>0</v>
      </c>
      <c r="F15" s="61">
        <v>255</v>
      </c>
      <c r="G15" s="76" t="s">
        <v>1518</v>
      </c>
      <c r="H15" s="64" t="str">
        <f t="shared" si="1"/>
        <v>150E</v>
      </c>
      <c r="I15" s="59">
        <v>1</v>
      </c>
      <c r="J15" s="61"/>
    </row>
    <row r="16" spans="1:10" s="25" customFormat="1" ht="27" customHeight="1">
      <c r="A16" s="65">
        <f t="shared" si="0"/>
        <v>14</v>
      </c>
      <c r="B16" s="76" t="s">
        <v>2294</v>
      </c>
      <c r="C16" s="61">
        <v>0</v>
      </c>
      <c r="D16" s="129">
        <v>0</v>
      </c>
      <c r="E16" s="61">
        <v>0</v>
      </c>
      <c r="F16" s="61">
        <v>255</v>
      </c>
      <c r="G16" s="76" t="s">
        <v>1518</v>
      </c>
      <c r="H16" s="64" t="str">
        <f t="shared" si="1"/>
        <v>150F</v>
      </c>
      <c r="I16" s="59">
        <v>1</v>
      </c>
      <c r="J16" s="61"/>
    </row>
    <row r="17" spans="1:10" s="25" customFormat="1" ht="27" customHeight="1">
      <c r="A17" s="65">
        <f t="shared" si="0"/>
        <v>15</v>
      </c>
      <c r="B17" s="76" t="s">
        <v>2295</v>
      </c>
      <c r="C17" s="61">
        <v>0</v>
      </c>
      <c r="D17" s="129">
        <v>0</v>
      </c>
      <c r="E17" s="61">
        <v>0</v>
      </c>
      <c r="F17" s="61">
        <v>255</v>
      </c>
      <c r="G17" s="76" t="s">
        <v>1518</v>
      </c>
      <c r="H17" s="64" t="str">
        <f t="shared" si="1"/>
        <v>1510</v>
      </c>
      <c r="I17" s="59">
        <v>1</v>
      </c>
      <c r="J17" s="61"/>
    </row>
    <row r="18" spans="1:10" s="25" customFormat="1" ht="27" customHeight="1">
      <c r="A18" s="65">
        <f t="shared" si="0"/>
        <v>16</v>
      </c>
      <c r="B18" s="76" t="s">
        <v>2296</v>
      </c>
      <c r="C18" s="61">
        <v>0</v>
      </c>
      <c r="D18" s="129">
        <v>0</v>
      </c>
      <c r="E18" s="61">
        <v>0</v>
      </c>
      <c r="F18" s="61">
        <v>255</v>
      </c>
      <c r="G18" s="76" t="s">
        <v>1518</v>
      </c>
      <c r="H18" s="64" t="str">
        <f t="shared" si="1"/>
        <v>1511</v>
      </c>
      <c r="I18" s="59">
        <v>1</v>
      </c>
      <c r="J18" s="61"/>
    </row>
    <row r="19" spans="1:10" s="25" customFormat="1" ht="27" customHeight="1">
      <c r="A19" s="65">
        <f t="shared" si="0"/>
        <v>17</v>
      </c>
      <c r="B19" s="76" t="s">
        <v>2297</v>
      </c>
      <c r="C19" s="61">
        <v>0</v>
      </c>
      <c r="D19" s="129">
        <v>0</v>
      </c>
      <c r="E19" s="61">
        <v>0</v>
      </c>
      <c r="F19" s="61">
        <v>255</v>
      </c>
      <c r="G19" s="76" t="s">
        <v>1518</v>
      </c>
      <c r="H19" s="64" t="str">
        <f t="shared" si="1"/>
        <v>1512</v>
      </c>
      <c r="I19" s="59">
        <v>1</v>
      </c>
      <c r="J19" s="61"/>
    </row>
    <row r="20" spans="1:10" s="25" customFormat="1" ht="27" customHeight="1">
      <c r="A20" s="65">
        <f t="shared" si="0"/>
        <v>18</v>
      </c>
      <c r="B20" s="76" t="s">
        <v>2298</v>
      </c>
      <c r="C20" s="61">
        <v>0</v>
      </c>
      <c r="D20" s="129">
        <v>0</v>
      </c>
      <c r="E20" s="61">
        <v>0</v>
      </c>
      <c r="F20" s="61">
        <v>255</v>
      </c>
      <c r="G20" s="76" t="s">
        <v>1518</v>
      </c>
      <c r="H20" s="64" t="str">
        <f t="shared" si="1"/>
        <v>1513</v>
      </c>
      <c r="I20" s="59">
        <v>1</v>
      </c>
      <c r="J20" s="61"/>
    </row>
    <row r="21" spans="1:10" s="25" customFormat="1" ht="27" customHeight="1">
      <c r="A21" s="65">
        <f t="shared" si="0"/>
        <v>19</v>
      </c>
      <c r="B21" s="76" t="s">
        <v>2299</v>
      </c>
      <c r="C21" s="61">
        <v>0</v>
      </c>
      <c r="D21" s="129">
        <v>0</v>
      </c>
      <c r="E21" s="61">
        <v>0</v>
      </c>
      <c r="F21" s="61">
        <v>255</v>
      </c>
      <c r="G21" s="76" t="s">
        <v>1518</v>
      </c>
      <c r="H21" s="64" t="str">
        <f t="shared" si="1"/>
        <v>1514</v>
      </c>
      <c r="I21" s="59">
        <v>1</v>
      </c>
      <c r="J21" s="61"/>
    </row>
    <row r="22" spans="1:10" s="25" customFormat="1" ht="27" customHeight="1">
      <c r="A22" s="65">
        <f t="shared" si="0"/>
        <v>20</v>
      </c>
      <c r="B22" s="76" t="s">
        <v>2300</v>
      </c>
      <c r="C22" s="61">
        <v>0</v>
      </c>
      <c r="D22" s="129">
        <v>0</v>
      </c>
      <c r="E22" s="61">
        <v>0</v>
      </c>
      <c r="F22" s="61">
        <v>255</v>
      </c>
      <c r="G22" s="76" t="s">
        <v>1518</v>
      </c>
      <c r="H22" s="64" t="str">
        <f t="shared" si="1"/>
        <v>1515</v>
      </c>
      <c r="I22" s="59">
        <v>1</v>
      </c>
      <c r="J22" s="61"/>
    </row>
    <row r="23" spans="1:10" s="25" customFormat="1" ht="27" customHeight="1">
      <c r="A23" s="65">
        <f t="shared" si="0"/>
        <v>21</v>
      </c>
      <c r="B23" s="76" t="s">
        <v>2301</v>
      </c>
      <c r="C23" s="61">
        <v>0</v>
      </c>
      <c r="D23" s="129">
        <v>0</v>
      </c>
      <c r="E23" s="61">
        <v>0</v>
      </c>
      <c r="F23" s="61">
        <v>255</v>
      </c>
      <c r="G23" s="76" t="s">
        <v>1518</v>
      </c>
      <c r="H23" s="64" t="str">
        <f t="shared" si="1"/>
        <v>1516</v>
      </c>
      <c r="I23" s="59">
        <v>1</v>
      </c>
      <c r="J23" s="61"/>
    </row>
    <row r="24" spans="1:10" s="25" customFormat="1" ht="27" customHeight="1">
      <c r="A24" s="65">
        <f t="shared" si="0"/>
        <v>22</v>
      </c>
      <c r="B24" s="76" t="s">
        <v>2302</v>
      </c>
      <c r="C24" s="61">
        <v>0</v>
      </c>
      <c r="D24" s="129">
        <v>0</v>
      </c>
      <c r="E24" s="61">
        <v>0</v>
      </c>
      <c r="F24" s="61">
        <v>255</v>
      </c>
      <c r="G24" s="76" t="s">
        <v>1518</v>
      </c>
      <c r="H24" s="64" t="str">
        <f t="shared" si="1"/>
        <v>1517</v>
      </c>
      <c r="I24" s="59">
        <v>1</v>
      </c>
      <c r="J24" s="61"/>
    </row>
    <row r="25" spans="1:10" s="25" customFormat="1" ht="27" customHeight="1">
      <c r="A25" s="65">
        <f t="shared" si="0"/>
        <v>23</v>
      </c>
      <c r="B25" s="76" t="s">
        <v>2303</v>
      </c>
      <c r="C25" s="61">
        <v>0</v>
      </c>
      <c r="D25" s="129">
        <v>0</v>
      </c>
      <c r="E25" s="61">
        <v>0</v>
      </c>
      <c r="F25" s="61">
        <v>255</v>
      </c>
      <c r="G25" s="76" t="s">
        <v>1518</v>
      </c>
      <c r="H25" s="64" t="str">
        <f t="shared" si="1"/>
        <v>1518</v>
      </c>
      <c r="I25" s="59">
        <v>1</v>
      </c>
      <c r="J25" s="61"/>
    </row>
    <row r="26" spans="1:10" s="25" customFormat="1" ht="27" customHeight="1">
      <c r="A26" s="65">
        <f t="shared" si="0"/>
        <v>24</v>
      </c>
      <c r="B26" s="76" t="s">
        <v>2304</v>
      </c>
      <c r="C26" s="61">
        <v>0</v>
      </c>
      <c r="D26" s="129">
        <v>0</v>
      </c>
      <c r="E26" s="61">
        <v>0</v>
      </c>
      <c r="F26" s="61">
        <v>255</v>
      </c>
      <c r="G26" s="76" t="s">
        <v>1518</v>
      </c>
      <c r="H26" s="64" t="str">
        <f t="shared" si="1"/>
        <v>1519</v>
      </c>
      <c r="I26" s="59">
        <v>1</v>
      </c>
      <c r="J26" s="61"/>
    </row>
    <row r="27" spans="1:10" s="25" customFormat="1" ht="27" customHeight="1">
      <c r="A27" s="65">
        <f t="shared" si="0"/>
        <v>25</v>
      </c>
      <c r="B27" s="76" t="s">
        <v>2305</v>
      </c>
      <c r="C27" s="61">
        <v>0</v>
      </c>
      <c r="D27" s="129">
        <v>0</v>
      </c>
      <c r="E27" s="61">
        <v>0</v>
      </c>
      <c r="F27" s="61">
        <v>255</v>
      </c>
      <c r="G27" s="76" t="s">
        <v>1518</v>
      </c>
      <c r="H27" s="64" t="str">
        <f t="shared" si="1"/>
        <v>151A</v>
      </c>
      <c r="I27" s="59">
        <v>1</v>
      </c>
      <c r="J27" s="61"/>
    </row>
    <row r="28" spans="1:10" s="25" customFormat="1" ht="27" customHeight="1">
      <c r="A28" s="65">
        <f t="shared" si="0"/>
        <v>26</v>
      </c>
      <c r="B28" s="76" t="s">
        <v>2306</v>
      </c>
      <c r="C28" s="61">
        <v>0</v>
      </c>
      <c r="D28" s="129">
        <v>0</v>
      </c>
      <c r="E28" s="61">
        <v>0</v>
      </c>
      <c r="F28" s="61">
        <v>255</v>
      </c>
      <c r="G28" s="76" t="s">
        <v>1518</v>
      </c>
      <c r="H28" s="64" t="str">
        <f t="shared" si="1"/>
        <v>151B</v>
      </c>
      <c r="I28" s="59">
        <v>1</v>
      </c>
      <c r="J28" s="61"/>
    </row>
    <row r="29" spans="1:10" s="25" customFormat="1" ht="27" customHeight="1">
      <c r="A29" s="65">
        <f t="shared" si="0"/>
        <v>27</v>
      </c>
      <c r="B29" s="76" t="s">
        <v>2307</v>
      </c>
      <c r="C29" s="61">
        <v>0</v>
      </c>
      <c r="D29" s="129">
        <v>0</v>
      </c>
      <c r="E29" s="61">
        <v>0</v>
      </c>
      <c r="F29" s="61">
        <v>255</v>
      </c>
      <c r="G29" s="76" t="s">
        <v>1518</v>
      </c>
      <c r="H29" s="64" t="str">
        <f t="shared" si="1"/>
        <v>151C</v>
      </c>
      <c r="I29" s="59">
        <v>1</v>
      </c>
      <c r="J29" s="61"/>
    </row>
    <row r="30" spans="1:10" s="25" customFormat="1" ht="27" customHeight="1">
      <c r="A30" s="65">
        <f t="shared" si="0"/>
        <v>28</v>
      </c>
      <c r="B30" s="76" t="s">
        <v>2308</v>
      </c>
      <c r="C30" s="61">
        <v>0</v>
      </c>
      <c r="D30" s="129">
        <v>0</v>
      </c>
      <c r="E30" s="61">
        <v>0</v>
      </c>
      <c r="F30" s="61">
        <v>255</v>
      </c>
      <c r="G30" s="76" t="s">
        <v>1518</v>
      </c>
      <c r="H30" s="64" t="str">
        <f t="shared" si="1"/>
        <v>151D</v>
      </c>
      <c r="I30" s="59">
        <v>1</v>
      </c>
      <c r="J30" s="61"/>
    </row>
    <row r="31" spans="1:10" s="25" customFormat="1" ht="27" customHeight="1">
      <c r="A31" s="65">
        <f t="shared" si="0"/>
        <v>29</v>
      </c>
      <c r="B31" s="76" t="s">
        <v>2309</v>
      </c>
      <c r="C31" s="61">
        <v>0</v>
      </c>
      <c r="D31" s="129">
        <v>0</v>
      </c>
      <c r="E31" s="61">
        <v>0</v>
      </c>
      <c r="F31" s="61">
        <v>255</v>
      </c>
      <c r="G31" s="76" t="s">
        <v>1518</v>
      </c>
      <c r="H31" s="64" t="str">
        <f t="shared" si="1"/>
        <v>151E</v>
      </c>
      <c r="I31" s="59">
        <v>1</v>
      </c>
      <c r="J31" s="61"/>
    </row>
    <row r="32" spans="1:10" s="25" customFormat="1" ht="27" customHeight="1">
      <c r="A32" s="65">
        <f t="shared" si="0"/>
        <v>30</v>
      </c>
      <c r="B32" s="76" t="s">
        <v>2310</v>
      </c>
      <c r="C32" s="61">
        <v>0</v>
      </c>
      <c r="D32" s="129">
        <v>0</v>
      </c>
      <c r="E32" s="61">
        <v>0</v>
      </c>
      <c r="F32" s="61">
        <v>255</v>
      </c>
      <c r="G32" s="76" t="s">
        <v>1518</v>
      </c>
      <c r="H32" s="64" t="str">
        <f t="shared" si="1"/>
        <v>151F</v>
      </c>
      <c r="I32" s="59">
        <v>1</v>
      </c>
      <c r="J32" s="61"/>
    </row>
    <row r="33" spans="1:10" s="25" customFormat="1" ht="27" customHeight="1">
      <c r="A33" s="65">
        <f t="shared" si="0"/>
        <v>31</v>
      </c>
      <c r="B33" s="76" t="s">
        <v>2311</v>
      </c>
      <c r="C33" s="61">
        <v>0</v>
      </c>
      <c r="D33" s="129">
        <v>0</v>
      </c>
      <c r="E33" s="61">
        <v>0</v>
      </c>
      <c r="F33" s="61">
        <v>255</v>
      </c>
      <c r="G33" s="76" t="s">
        <v>1518</v>
      </c>
      <c r="H33" s="64" t="str">
        <f t="shared" si="1"/>
        <v>1520</v>
      </c>
      <c r="I33" s="59">
        <v>1</v>
      </c>
      <c r="J33" s="61"/>
    </row>
    <row r="34" spans="1:10" s="25" customFormat="1" ht="27" customHeight="1">
      <c r="A34" s="65">
        <f t="shared" si="0"/>
        <v>32</v>
      </c>
      <c r="B34" s="76" t="s">
        <v>2312</v>
      </c>
      <c r="C34" s="61">
        <v>0</v>
      </c>
      <c r="D34" s="129">
        <v>0</v>
      </c>
      <c r="E34" s="61">
        <v>0</v>
      </c>
      <c r="F34" s="61">
        <v>255</v>
      </c>
      <c r="G34" s="76" t="s">
        <v>1518</v>
      </c>
      <c r="H34" s="64" t="str">
        <f t="shared" si="1"/>
        <v>1521</v>
      </c>
      <c r="I34" s="59">
        <v>1</v>
      </c>
      <c r="J34" s="61"/>
    </row>
    <row r="35" spans="1:10" s="25" customFormat="1" ht="27" customHeight="1">
      <c r="A35" s="65">
        <f t="shared" ref="A35:A65" si="2">A34+1</f>
        <v>33</v>
      </c>
      <c r="B35" s="76" t="s">
        <v>2313</v>
      </c>
      <c r="C35" s="61">
        <v>0</v>
      </c>
      <c r="D35" s="129">
        <v>0</v>
      </c>
      <c r="E35" s="61">
        <v>0</v>
      </c>
      <c r="F35" s="61">
        <v>255</v>
      </c>
      <c r="G35" s="76" t="s">
        <v>1518</v>
      </c>
      <c r="H35" s="64" t="str">
        <f t="shared" ref="H35:H65" si="3">DEC2HEX((HEX2DEC(H34)+1),4)</f>
        <v>1522</v>
      </c>
      <c r="I35" s="59">
        <v>1</v>
      </c>
      <c r="J35" s="61"/>
    </row>
    <row r="36" spans="1:10" s="25" customFormat="1" ht="27" customHeight="1">
      <c r="A36" s="65">
        <f t="shared" si="2"/>
        <v>34</v>
      </c>
      <c r="B36" s="76" t="s">
        <v>2314</v>
      </c>
      <c r="C36" s="61">
        <v>0</v>
      </c>
      <c r="D36" s="129">
        <v>0</v>
      </c>
      <c r="E36" s="61">
        <v>0</v>
      </c>
      <c r="F36" s="61">
        <v>255</v>
      </c>
      <c r="G36" s="76" t="s">
        <v>1518</v>
      </c>
      <c r="H36" s="64" t="str">
        <f t="shared" si="3"/>
        <v>1523</v>
      </c>
      <c r="I36" s="59">
        <v>1</v>
      </c>
      <c r="J36" s="61"/>
    </row>
    <row r="37" spans="1:10" s="25" customFormat="1" ht="27" customHeight="1">
      <c r="A37" s="65">
        <f t="shared" si="2"/>
        <v>35</v>
      </c>
      <c r="B37" s="76" t="s">
        <v>2315</v>
      </c>
      <c r="C37" s="61">
        <v>0</v>
      </c>
      <c r="D37" s="129">
        <v>0</v>
      </c>
      <c r="E37" s="61">
        <v>0</v>
      </c>
      <c r="F37" s="61">
        <v>255</v>
      </c>
      <c r="G37" s="76" t="s">
        <v>1518</v>
      </c>
      <c r="H37" s="64" t="str">
        <f t="shared" si="3"/>
        <v>1524</v>
      </c>
      <c r="I37" s="59">
        <v>1</v>
      </c>
      <c r="J37" s="61"/>
    </row>
    <row r="38" spans="1:10" s="25" customFormat="1" ht="27" customHeight="1">
      <c r="A38" s="65">
        <f t="shared" si="2"/>
        <v>36</v>
      </c>
      <c r="B38" s="76" t="s">
        <v>2316</v>
      </c>
      <c r="C38" s="61">
        <v>0</v>
      </c>
      <c r="D38" s="129">
        <v>0</v>
      </c>
      <c r="E38" s="61">
        <v>0</v>
      </c>
      <c r="F38" s="61">
        <v>255</v>
      </c>
      <c r="G38" s="76" t="s">
        <v>1518</v>
      </c>
      <c r="H38" s="64" t="str">
        <f t="shared" si="3"/>
        <v>1525</v>
      </c>
      <c r="I38" s="59">
        <v>1</v>
      </c>
      <c r="J38" s="61"/>
    </row>
    <row r="39" spans="1:10" s="25" customFormat="1" ht="27" customHeight="1">
      <c r="A39" s="65">
        <f t="shared" si="2"/>
        <v>37</v>
      </c>
      <c r="B39" s="76" t="s">
        <v>2317</v>
      </c>
      <c r="C39" s="61">
        <v>0</v>
      </c>
      <c r="D39" s="129">
        <v>0</v>
      </c>
      <c r="E39" s="61">
        <v>0</v>
      </c>
      <c r="F39" s="61">
        <v>255</v>
      </c>
      <c r="G39" s="76" t="s">
        <v>1518</v>
      </c>
      <c r="H39" s="64" t="str">
        <f t="shared" si="3"/>
        <v>1526</v>
      </c>
      <c r="I39" s="59">
        <v>1</v>
      </c>
      <c r="J39" s="61"/>
    </row>
    <row r="40" spans="1:10" s="25" customFormat="1" ht="27" customHeight="1">
      <c r="A40" s="65">
        <f t="shared" si="2"/>
        <v>38</v>
      </c>
      <c r="B40" s="76" t="s">
        <v>2318</v>
      </c>
      <c r="C40" s="61">
        <v>0</v>
      </c>
      <c r="D40" s="129">
        <v>0</v>
      </c>
      <c r="E40" s="61">
        <v>0</v>
      </c>
      <c r="F40" s="61">
        <v>255</v>
      </c>
      <c r="G40" s="76" t="s">
        <v>1518</v>
      </c>
      <c r="H40" s="64" t="str">
        <f t="shared" si="3"/>
        <v>1527</v>
      </c>
      <c r="I40" s="59">
        <v>1</v>
      </c>
      <c r="J40" s="61"/>
    </row>
    <row r="41" spans="1:10" s="25" customFormat="1" ht="27" customHeight="1">
      <c r="A41" s="65">
        <f t="shared" si="2"/>
        <v>39</v>
      </c>
      <c r="B41" s="76" t="s">
        <v>2319</v>
      </c>
      <c r="C41" s="61">
        <v>0</v>
      </c>
      <c r="D41" s="129">
        <v>0</v>
      </c>
      <c r="E41" s="61">
        <v>0</v>
      </c>
      <c r="F41" s="61">
        <v>255</v>
      </c>
      <c r="G41" s="76" t="s">
        <v>1518</v>
      </c>
      <c r="H41" s="64" t="str">
        <f t="shared" si="3"/>
        <v>1528</v>
      </c>
      <c r="I41" s="59">
        <v>1</v>
      </c>
      <c r="J41" s="61"/>
    </row>
    <row r="42" spans="1:10" s="25" customFormat="1" ht="27" customHeight="1">
      <c r="A42" s="65">
        <f t="shared" si="2"/>
        <v>40</v>
      </c>
      <c r="B42" s="76" t="s">
        <v>2320</v>
      </c>
      <c r="C42" s="61">
        <v>0</v>
      </c>
      <c r="D42" s="129">
        <v>0</v>
      </c>
      <c r="E42" s="61">
        <v>0</v>
      </c>
      <c r="F42" s="61">
        <v>255</v>
      </c>
      <c r="G42" s="76" t="s">
        <v>1518</v>
      </c>
      <c r="H42" s="64" t="str">
        <f t="shared" si="3"/>
        <v>1529</v>
      </c>
      <c r="I42" s="59">
        <v>1</v>
      </c>
      <c r="J42" s="61"/>
    </row>
    <row r="43" spans="1:10" s="25" customFormat="1" ht="27" customHeight="1">
      <c r="A43" s="65">
        <f t="shared" si="2"/>
        <v>41</v>
      </c>
      <c r="B43" s="76" t="s">
        <v>2321</v>
      </c>
      <c r="C43" s="61">
        <v>0</v>
      </c>
      <c r="D43" s="129">
        <v>0</v>
      </c>
      <c r="E43" s="61">
        <v>0</v>
      </c>
      <c r="F43" s="61">
        <v>255</v>
      </c>
      <c r="G43" s="76" t="s">
        <v>1518</v>
      </c>
      <c r="H43" s="64" t="str">
        <f t="shared" si="3"/>
        <v>152A</v>
      </c>
      <c r="I43" s="59">
        <v>1</v>
      </c>
      <c r="J43" s="61"/>
    </row>
    <row r="44" spans="1:10" s="25" customFormat="1" ht="27" customHeight="1">
      <c r="A44" s="65">
        <f t="shared" si="2"/>
        <v>42</v>
      </c>
      <c r="B44" s="76" t="s">
        <v>2322</v>
      </c>
      <c r="C44" s="61">
        <v>0</v>
      </c>
      <c r="D44" s="129">
        <v>0</v>
      </c>
      <c r="E44" s="61">
        <v>0</v>
      </c>
      <c r="F44" s="61">
        <v>255</v>
      </c>
      <c r="G44" s="76" t="s">
        <v>1518</v>
      </c>
      <c r="H44" s="64" t="str">
        <f t="shared" si="3"/>
        <v>152B</v>
      </c>
      <c r="I44" s="59">
        <v>1</v>
      </c>
      <c r="J44" s="61"/>
    </row>
    <row r="45" spans="1:10" s="25" customFormat="1" ht="27" customHeight="1">
      <c r="A45" s="65">
        <f t="shared" si="2"/>
        <v>43</v>
      </c>
      <c r="B45" s="76" t="s">
        <v>2323</v>
      </c>
      <c r="C45" s="61">
        <v>0</v>
      </c>
      <c r="D45" s="129">
        <v>0</v>
      </c>
      <c r="E45" s="61">
        <v>0</v>
      </c>
      <c r="F45" s="61">
        <v>255</v>
      </c>
      <c r="G45" s="76" t="s">
        <v>1518</v>
      </c>
      <c r="H45" s="64" t="str">
        <f t="shared" si="3"/>
        <v>152C</v>
      </c>
      <c r="I45" s="59">
        <v>1</v>
      </c>
      <c r="J45" s="61"/>
    </row>
    <row r="46" spans="1:10" s="25" customFormat="1" ht="27" customHeight="1">
      <c r="A46" s="65">
        <f t="shared" si="2"/>
        <v>44</v>
      </c>
      <c r="B46" s="76" t="s">
        <v>2324</v>
      </c>
      <c r="C46" s="61">
        <v>0</v>
      </c>
      <c r="D46" s="129">
        <v>0</v>
      </c>
      <c r="E46" s="61">
        <v>0</v>
      </c>
      <c r="F46" s="61">
        <v>255</v>
      </c>
      <c r="G46" s="76" t="s">
        <v>1518</v>
      </c>
      <c r="H46" s="64" t="str">
        <f t="shared" si="3"/>
        <v>152D</v>
      </c>
      <c r="I46" s="59">
        <v>1</v>
      </c>
      <c r="J46" s="61"/>
    </row>
    <row r="47" spans="1:10" s="25" customFormat="1" ht="27" customHeight="1">
      <c r="A47" s="65">
        <f t="shared" si="2"/>
        <v>45</v>
      </c>
      <c r="B47" s="76" t="s">
        <v>2325</v>
      </c>
      <c r="C47" s="61">
        <v>0</v>
      </c>
      <c r="D47" s="129">
        <v>0</v>
      </c>
      <c r="E47" s="61">
        <v>0</v>
      </c>
      <c r="F47" s="61">
        <v>255</v>
      </c>
      <c r="G47" s="76" t="s">
        <v>1518</v>
      </c>
      <c r="H47" s="64" t="str">
        <f t="shared" si="3"/>
        <v>152E</v>
      </c>
      <c r="I47" s="59">
        <v>1</v>
      </c>
      <c r="J47" s="61"/>
    </row>
    <row r="48" spans="1:10" s="25" customFormat="1" ht="27" customHeight="1">
      <c r="A48" s="65">
        <f t="shared" si="2"/>
        <v>46</v>
      </c>
      <c r="B48" s="76" t="s">
        <v>2326</v>
      </c>
      <c r="C48" s="61">
        <v>0</v>
      </c>
      <c r="D48" s="129">
        <v>0</v>
      </c>
      <c r="E48" s="61">
        <v>0</v>
      </c>
      <c r="F48" s="61">
        <v>255</v>
      </c>
      <c r="G48" s="76" t="s">
        <v>1518</v>
      </c>
      <c r="H48" s="64" t="str">
        <f t="shared" si="3"/>
        <v>152F</v>
      </c>
      <c r="I48" s="59">
        <v>1</v>
      </c>
      <c r="J48" s="61"/>
    </row>
    <row r="49" spans="1:10" s="25" customFormat="1" ht="27" customHeight="1">
      <c r="A49" s="65">
        <f t="shared" si="2"/>
        <v>47</v>
      </c>
      <c r="B49" s="76" t="s">
        <v>2327</v>
      </c>
      <c r="C49" s="61">
        <v>0</v>
      </c>
      <c r="D49" s="129">
        <v>0</v>
      </c>
      <c r="E49" s="61">
        <v>0</v>
      </c>
      <c r="F49" s="61">
        <v>255</v>
      </c>
      <c r="G49" s="76" t="s">
        <v>1518</v>
      </c>
      <c r="H49" s="64" t="str">
        <f t="shared" si="3"/>
        <v>1530</v>
      </c>
      <c r="I49" s="59">
        <v>1</v>
      </c>
      <c r="J49" s="61"/>
    </row>
    <row r="50" spans="1:10" s="25" customFormat="1" ht="27" customHeight="1">
      <c r="A50" s="65">
        <f t="shared" si="2"/>
        <v>48</v>
      </c>
      <c r="B50" s="76" t="s">
        <v>2328</v>
      </c>
      <c r="C50" s="61">
        <v>0</v>
      </c>
      <c r="D50" s="129">
        <v>0</v>
      </c>
      <c r="E50" s="61">
        <v>0</v>
      </c>
      <c r="F50" s="61">
        <v>255</v>
      </c>
      <c r="G50" s="76" t="s">
        <v>1518</v>
      </c>
      <c r="H50" s="64" t="str">
        <f t="shared" si="3"/>
        <v>1531</v>
      </c>
      <c r="I50" s="59">
        <v>1</v>
      </c>
      <c r="J50" s="61"/>
    </row>
    <row r="51" spans="1:10" s="25" customFormat="1" ht="27" customHeight="1">
      <c r="A51" s="65">
        <f t="shared" si="2"/>
        <v>49</v>
      </c>
      <c r="B51" s="76" t="s">
        <v>2329</v>
      </c>
      <c r="C51" s="61">
        <v>0</v>
      </c>
      <c r="D51" s="129">
        <v>0</v>
      </c>
      <c r="E51" s="61">
        <v>0</v>
      </c>
      <c r="F51" s="61">
        <v>255</v>
      </c>
      <c r="G51" s="76" t="s">
        <v>1518</v>
      </c>
      <c r="H51" s="64" t="str">
        <f t="shared" si="3"/>
        <v>1532</v>
      </c>
      <c r="I51" s="59">
        <v>1</v>
      </c>
      <c r="J51" s="61"/>
    </row>
    <row r="52" spans="1:10" s="25" customFormat="1" ht="27" customHeight="1">
      <c r="A52" s="65">
        <f t="shared" si="2"/>
        <v>50</v>
      </c>
      <c r="B52" s="76" t="s">
        <v>2330</v>
      </c>
      <c r="C52" s="61">
        <v>0</v>
      </c>
      <c r="D52" s="129">
        <v>0</v>
      </c>
      <c r="E52" s="61">
        <v>0</v>
      </c>
      <c r="F52" s="61">
        <v>255</v>
      </c>
      <c r="G52" s="76" t="s">
        <v>1518</v>
      </c>
      <c r="H52" s="64" t="str">
        <f t="shared" si="3"/>
        <v>1533</v>
      </c>
      <c r="I52" s="59">
        <v>1</v>
      </c>
      <c r="J52" s="61"/>
    </row>
    <row r="53" spans="1:10" s="25" customFormat="1" ht="27" customHeight="1">
      <c r="A53" s="65">
        <f t="shared" si="2"/>
        <v>51</v>
      </c>
      <c r="B53" s="76" t="s">
        <v>2331</v>
      </c>
      <c r="C53" s="61">
        <v>0</v>
      </c>
      <c r="D53" s="129">
        <v>0</v>
      </c>
      <c r="E53" s="61">
        <v>0</v>
      </c>
      <c r="F53" s="61">
        <v>255</v>
      </c>
      <c r="G53" s="76" t="s">
        <v>1518</v>
      </c>
      <c r="H53" s="64" t="str">
        <f t="shared" si="3"/>
        <v>1534</v>
      </c>
      <c r="I53" s="59">
        <v>1</v>
      </c>
      <c r="J53" s="61"/>
    </row>
    <row r="54" spans="1:10" s="25" customFormat="1" ht="27" customHeight="1">
      <c r="A54" s="65">
        <f t="shared" si="2"/>
        <v>52</v>
      </c>
      <c r="B54" s="76" t="s">
        <v>2332</v>
      </c>
      <c r="C54" s="61">
        <v>0</v>
      </c>
      <c r="D54" s="129">
        <v>0</v>
      </c>
      <c r="E54" s="61">
        <v>0</v>
      </c>
      <c r="F54" s="61">
        <v>255</v>
      </c>
      <c r="G54" s="76" t="s">
        <v>1518</v>
      </c>
      <c r="H54" s="64" t="str">
        <f t="shared" si="3"/>
        <v>1535</v>
      </c>
      <c r="I54" s="59">
        <v>1</v>
      </c>
      <c r="J54" s="61"/>
    </row>
    <row r="55" spans="1:10" s="25" customFormat="1" ht="27" customHeight="1">
      <c r="A55" s="65">
        <f t="shared" si="2"/>
        <v>53</v>
      </c>
      <c r="B55" s="76" t="s">
        <v>2333</v>
      </c>
      <c r="C55" s="61">
        <v>0</v>
      </c>
      <c r="D55" s="129">
        <v>0</v>
      </c>
      <c r="E55" s="61">
        <v>0</v>
      </c>
      <c r="F55" s="61">
        <v>255</v>
      </c>
      <c r="G55" s="76" t="s">
        <v>1518</v>
      </c>
      <c r="H55" s="64" t="str">
        <f t="shared" si="3"/>
        <v>1536</v>
      </c>
      <c r="I55" s="59">
        <v>1</v>
      </c>
      <c r="J55" s="61"/>
    </row>
    <row r="56" spans="1:10" s="25" customFormat="1" ht="27" customHeight="1">
      <c r="A56" s="65">
        <f t="shared" si="2"/>
        <v>54</v>
      </c>
      <c r="B56" s="76" t="s">
        <v>2334</v>
      </c>
      <c r="C56" s="61">
        <v>0</v>
      </c>
      <c r="D56" s="129">
        <v>0</v>
      </c>
      <c r="E56" s="61">
        <v>0</v>
      </c>
      <c r="F56" s="61">
        <v>255</v>
      </c>
      <c r="G56" s="76" t="s">
        <v>1518</v>
      </c>
      <c r="H56" s="64" t="str">
        <f t="shared" si="3"/>
        <v>1537</v>
      </c>
      <c r="I56" s="59">
        <v>1</v>
      </c>
      <c r="J56" s="61"/>
    </row>
    <row r="57" spans="1:10" s="25" customFormat="1" ht="27" customHeight="1">
      <c r="A57" s="65">
        <f t="shared" si="2"/>
        <v>55</v>
      </c>
      <c r="B57" s="76" t="s">
        <v>2335</v>
      </c>
      <c r="C57" s="61">
        <v>0</v>
      </c>
      <c r="D57" s="129">
        <v>0</v>
      </c>
      <c r="E57" s="61">
        <v>0</v>
      </c>
      <c r="F57" s="61">
        <v>255</v>
      </c>
      <c r="G57" s="76" t="s">
        <v>1518</v>
      </c>
      <c r="H57" s="64" t="str">
        <f t="shared" si="3"/>
        <v>1538</v>
      </c>
      <c r="I57" s="59">
        <v>1</v>
      </c>
      <c r="J57" s="61"/>
    </row>
    <row r="58" spans="1:10" s="25" customFormat="1" ht="27" customHeight="1">
      <c r="A58" s="65">
        <f t="shared" si="2"/>
        <v>56</v>
      </c>
      <c r="B58" s="76" t="s">
        <v>2336</v>
      </c>
      <c r="C58" s="61">
        <v>0</v>
      </c>
      <c r="D58" s="129">
        <v>0</v>
      </c>
      <c r="E58" s="61">
        <v>0</v>
      </c>
      <c r="F58" s="61">
        <v>255</v>
      </c>
      <c r="G58" s="76" t="s">
        <v>1518</v>
      </c>
      <c r="H58" s="64" t="str">
        <f t="shared" si="3"/>
        <v>1539</v>
      </c>
      <c r="I58" s="59">
        <v>1</v>
      </c>
      <c r="J58" s="61"/>
    </row>
    <row r="59" spans="1:10" s="25" customFormat="1" ht="27" customHeight="1">
      <c r="A59" s="65">
        <f t="shared" si="2"/>
        <v>57</v>
      </c>
      <c r="B59" s="76" t="s">
        <v>2337</v>
      </c>
      <c r="C59" s="61">
        <v>0</v>
      </c>
      <c r="D59" s="129">
        <v>0</v>
      </c>
      <c r="E59" s="61">
        <v>0</v>
      </c>
      <c r="F59" s="61">
        <v>255</v>
      </c>
      <c r="G59" s="76" t="s">
        <v>1518</v>
      </c>
      <c r="H59" s="64" t="str">
        <f t="shared" si="3"/>
        <v>153A</v>
      </c>
      <c r="I59" s="59">
        <v>1</v>
      </c>
      <c r="J59" s="61"/>
    </row>
    <row r="60" spans="1:10" s="25" customFormat="1" ht="27" customHeight="1">
      <c r="A60" s="65">
        <f t="shared" si="2"/>
        <v>58</v>
      </c>
      <c r="B60" s="76" t="s">
        <v>2338</v>
      </c>
      <c r="C60" s="61">
        <v>0</v>
      </c>
      <c r="D60" s="129">
        <v>0</v>
      </c>
      <c r="E60" s="61">
        <v>0</v>
      </c>
      <c r="F60" s="61">
        <v>255</v>
      </c>
      <c r="G60" s="76" t="s">
        <v>1518</v>
      </c>
      <c r="H60" s="64" t="str">
        <f t="shared" si="3"/>
        <v>153B</v>
      </c>
      <c r="I60" s="59">
        <v>1</v>
      </c>
      <c r="J60" s="61"/>
    </row>
    <row r="61" spans="1:10" s="25" customFormat="1" ht="27" customHeight="1">
      <c r="A61" s="65">
        <f t="shared" si="2"/>
        <v>59</v>
      </c>
      <c r="B61" s="76" t="s">
        <v>2339</v>
      </c>
      <c r="C61" s="61">
        <v>0</v>
      </c>
      <c r="D61" s="129">
        <v>0</v>
      </c>
      <c r="E61" s="61">
        <v>0</v>
      </c>
      <c r="F61" s="61">
        <v>255</v>
      </c>
      <c r="G61" s="76" t="s">
        <v>1518</v>
      </c>
      <c r="H61" s="64" t="str">
        <f t="shared" si="3"/>
        <v>153C</v>
      </c>
      <c r="I61" s="59">
        <v>1</v>
      </c>
      <c r="J61" s="61"/>
    </row>
    <row r="62" spans="1:10" s="25" customFormat="1" ht="27" customHeight="1">
      <c r="A62" s="65">
        <f t="shared" si="2"/>
        <v>60</v>
      </c>
      <c r="B62" s="76" t="s">
        <v>2340</v>
      </c>
      <c r="C62" s="61">
        <v>0</v>
      </c>
      <c r="D62" s="129">
        <v>0</v>
      </c>
      <c r="E62" s="61">
        <v>0</v>
      </c>
      <c r="F62" s="61">
        <v>255</v>
      </c>
      <c r="G62" s="76" t="s">
        <v>1518</v>
      </c>
      <c r="H62" s="64" t="str">
        <f t="shared" si="3"/>
        <v>153D</v>
      </c>
      <c r="I62" s="59">
        <v>1</v>
      </c>
      <c r="J62" s="61"/>
    </row>
    <row r="63" spans="1:10" s="25" customFormat="1" ht="27" customHeight="1">
      <c r="A63" s="65">
        <f t="shared" si="2"/>
        <v>61</v>
      </c>
      <c r="B63" s="76" t="s">
        <v>2341</v>
      </c>
      <c r="C63" s="61">
        <v>0</v>
      </c>
      <c r="D63" s="129">
        <v>0</v>
      </c>
      <c r="E63" s="61">
        <v>0</v>
      </c>
      <c r="F63" s="61">
        <v>255</v>
      </c>
      <c r="G63" s="76" t="s">
        <v>1518</v>
      </c>
      <c r="H63" s="64" t="str">
        <f t="shared" si="3"/>
        <v>153E</v>
      </c>
      <c r="I63" s="59">
        <v>1</v>
      </c>
      <c r="J63" s="61"/>
    </row>
    <row r="64" spans="1:10" s="25" customFormat="1" ht="27" customHeight="1">
      <c r="A64" s="65">
        <f t="shared" si="2"/>
        <v>62</v>
      </c>
      <c r="B64" s="76" t="s">
        <v>2342</v>
      </c>
      <c r="C64" s="61">
        <v>0</v>
      </c>
      <c r="D64" s="129">
        <v>0</v>
      </c>
      <c r="E64" s="61">
        <v>0</v>
      </c>
      <c r="F64" s="61">
        <v>255</v>
      </c>
      <c r="G64" s="76" t="s">
        <v>1518</v>
      </c>
      <c r="H64" s="64" t="str">
        <f t="shared" si="3"/>
        <v>153F</v>
      </c>
      <c r="I64" s="59">
        <v>1</v>
      </c>
      <c r="J64" s="61"/>
    </row>
    <row r="65" spans="1:10" s="25" customFormat="1" ht="27" customHeight="1">
      <c r="A65" s="65">
        <f t="shared" si="2"/>
        <v>63</v>
      </c>
      <c r="B65" s="76" t="s">
        <v>2343</v>
      </c>
      <c r="C65" s="61">
        <v>0</v>
      </c>
      <c r="D65" s="129">
        <v>0</v>
      </c>
      <c r="E65" s="61">
        <v>0</v>
      </c>
      <c r="F65" s="61">
        <v>255</v>
      </c>
      <c r="G65" s="76" t="s">
        <v>1518</v>
      </c>
      <c r="H65" s="64" t="str">
        <f t="shared" si="3"/>
        <v>1540</v>
      </c>
      <c r="I65" s="59">
        <v>1</v>
      </c>
      <c r="J65" s="61"/>
    </row>
  </sheetData>
  <dataValidations count="3">
    <dataValidation type="decimal" operator="lessThanOrEqual" allowBlank="1" showInputMessage="1" showErrorMessage="1" sqref="F2:F65">
      <formula1>255</formula1>
    </dataValidation>
    <dataValidation type="decimal" allowBlank="1" showInputMessage="1" showErrorMessage="1" sqref="D2:D65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>
    <tabColor rgb="FFFF0000"/>
    <pageSetUpPr fitToPage="1"/>
  </sheetPr>
  <dimension ref="A1:J65"/>
  <sheetViews>
    <sheetView topLeftCell="A94" zoomScale="85" zoomScaleNormal="85" workbookViewId="0"/>
  </sheetViews>
  <sheetFormatPr defaultColWidth="11.42578125" defaultRowHeight="15"/>
  <cols>
    <col min="1" max="1" width="10.5703125" style="57" customWidth="1"/>
    <col min="2" max="2" width="50.7109375" customWidth="1"/>
    <col min="3" max="3" width="9.7109375" customWidth="1"/>
    <col min="4" max="4" width="10.42578125" customWidth="1"/>
    <col min="5" max="5" width="7" customWidth="1"/>
    <col min="6" max="6" width="7.85546875" customWidth="1"/>
    <col min="7" max="7" width="48.28515625" style="2" customWidth="1"/>
    <col min="8" max="8" width="9.7109375" style="4" customWidth="1"/>
    <col min="9" max="9" width="11.85546875" style="3" bestFit="1" customWidth="1"/>
    <col min="10" max="10" width="9.7109375" style="3" customWidth="1"/>
  </cols>
  <sheetData>
    <row r="1" spans="1:10" ht="38.25">
      <c r="A1" s="6" t="s">
        <v>20</v>
      </c>
      <c r="B1" s="6" t="s">
        <v>63</v>
      </c>
      <c r="C1" s="6" t="s">
        <v>34</v>
      </c>
      <c r="D1" s="6" t="s">
        <v>35</v>
      </c>
      <c r="E1" s="6" t="s">
        <v>60</v>
      </c>
      <c r="F1" s="6" t="s">
        <v>61</v>
      </c>
      <c r="G1" s="6" t="s">
        <v>58</v>
      </c>
      <c r="H1" s="7" t="s">
        <v>4</v>
      </c>
      <c r="I1" s="6" t="s">
        <v>62</v>
      </c>
      <c r="J1" s="6" t="s">
        <v>3</v>
      </c>
    </row>
    <row r="2" spans="1:10" s="25" customFormat="1" ht="23.25" customHeight="1">
      <c r="A2" s="65">
        <v>0</v>
      </c>
      <c r="B2" s="76" t="s">
        <v>2344</v>
      </c>
      <c r="C2" s="61">
        <v>0</v>
      </c>
      <c r="D2" s="129">
        <v>0</v>
      </c>
      <c r="E2" s="61">
        <v>0</v>
      </c>
      <c r="F2" s="61">
        <v>255</v>
      </c>
      <c r="G2" s="76" t="s">
        <v>1518</v>
      </c>
      <c r="H2" s="63">
        <v>1601</v>
      </c>
      <c r="I2" s="59">
        <v>1</v>
      </c>
      <c r="J2" s="61"/>
    </row>
    <row r="3" spans="1:10" s="25" customFormat="1" ht="27" customHeight="1">
      <c r="A3" s="65">
        <f t="shared" ref="A3:A34" si="0">A2+1</f>
        <v>1</v>
      </c>
      <c r="B3" s="76" t="s">
        <v>2345</v>
      </c>
      <c r="C3" s="61">
        <v>0</v>
      </c>
      <c r="D3" s="129">
        <v>0</v>
      </c>
      <c r="E3" s="61">
        <v>0</v>
      </c>
      <c r="F3" s="61">
        <v>255</v>
      </c>
      <c r="G3" s="76" t="s">
        <v>1518</v>
      </c>
      <c r="H3" s="64" t="str">
        <f t="shared" ref="H3:H34" si="1">DEC2HEX((HEX2DEC(H2)+1),4)</f>
        <v>1602</v>
      </c>
      <c r="I3" s="59">
        <v>1</v>
      </c>
      <c r="J3" s="61"/>
    </row>
    <row r="4" spans="1:10" s="25" customFormat="1" ht="27" customHeight="1">
      <c r="A4" s="65">
        <f t="shared" si="0"/>
        <v>2</v>
      </c>
      <c r="B4" s="76" t="s">
        <v>2346</v>
      </c>
      <c r="C4" s="61">
        <v>0</v>
      </c>
      <c r="D4" s="129">
        <v>0</v>
      </c>
      <c r="E4" s="61">
        <v>0</v>
      </c>
      <c r="F4" s="61">
        <v>255</v>
      </c>
      <c r="G4" s="76" t="s">
        <v>1518</v>
      </c>
      <c r="H4" s="64" t="str">
        <f t="shared" si="1"/>
        <v>1603</v>
      </c>
      <c r="I4" s="59">
        <v>1</v>
      </c>
      <c r="J4" s="61"/>
    </row>
    <row r="5" spans="1:10" s="25" customFormat="1" ht="27" customHeight="1">
      <c r="A5" s="65">
        <f t="shared" si="0"/>
        <v>3</v>
      </c>
      <c r="B5" s="76" t="s">
        <v>2347</v>
      </c>
      <c r="C5" s="61">
        <v>0</v>
      </c>
      <c r="D5" s="129">
        <v>0</v>
      </c>
      <c r="E5" s="61">
        <v>0</v>
      </c>
      <c r="F5" s="61">
        <v>255</v>
      </c>
      <c r="G5" s="76" t="s">
        <v>1518</v>
      </c>
      <c r="H5" s="64" t="str">
        <f t="shared" si="1"/>
        <v>1604</v>
      </c>
      <c r="I5" s="59">
        <v>1</v>
      </c>
      <c r="J5" s="61"/>
    </row>
    <row r="6" spans="1:10" s="25" customFormat="1" ht="27" customHeight="1">
      <c r="A6" s="65">
        <f t="shared" si="0"/>
        <v>4</v>
      </c>
      <c r="B6" s="76" t="s">
        <v>2348</v>
      </c>
      <c r="C6" s="61">
        <v>0</v>
      </c>
      <c r="D6" s="129">
        <v>0</v>
      </c>
      <c r="E6" s="61">
        <v>0</v>
      </c>
      <c r="F6" s="61">
        <v>255</v>
      </c>
      <c r="G6" s="76" t="s">
        <v>1518</v>
      </c>
      <c r="H6" s="64" t="str">
        <f t="shared" si="1"/>
        <v>1605</v>
      </c>
      <c r="I6" s="59">
        <v>1</v>
      </c>
      <c r="J6" s="61"/>
    </row>
    <row r="7" spans="1:10" s="25" customFormat="1" ht="27" customHeight="1">
      <c r="A7" s="65">
        <f t="shared" si="0"/>
        <v>5</v>
      </c>
      <c r="B7" s="76" t="s">
        <v>2349</v>
      </c>
      <c r="C7" s="61">
        <v>0</v>
      </c>
      <c r="D7" s="129">
        <v>0</v>
      </c>
      <c r="E7" s="61">
        <v>0</v>
      </c>
      <c r="F7" s="61">
        <v>255</v>
      </c>
      <c r="G7" s="76" t="s">
        <v>1518</v>
      </c>
      <c r="H7" s="64" t="str">
        <f t="shared" si="1"/>
        <v>1606</v>
      </c>
      <c r="I7" s="59">
        <v>1</v>
      </c>
      <c r="J7" s="61"/>
    </row>
    <row r="8" spans="1:10" s="25" customFormat="1" ht="27" customHeight="1">
      <c r="A8" s="65">
        <f t="shared" si="0"/>
        <v>6</v>
      </c>
      <c r="B8" s="76" t="s">
        <v>2350</v>
      </c>
      <c r="C8" s="61">
        <v>0</v>
      </c>
      <c r="D8" s="129">
        <v>0</v>
      </c>
      <c r="E8" s="61">
        <v>0</v>
      </c>
      <c r="F8" s="61">
        <v>255</v>
      </c>
      <c r="G8" s="76" t="s">
        <v>1518</v>
      </c>
      <c r="H8" s="64" t="str">
        <f t="shared" si="1"/>
        <v>1607</v>
      </c>
      <c r="I8" s="59">
        <v>1</v>
      </c>
      <c r="J8" s="61"/>
    </row>
    <row r="9" spans="1:10" s="25" customFormat="1" ht="27" customHeight="1">
      <c r="A9" s="65">
        <f t="shared" si="0"/>
        <v>7</v>
      </c>
      <c r="B9" s="76" t="s">
        <v>2351</v>
      </c>
      <c r="C9" s="61">
        <v>0</v>
      </c>
      <c r="D9" s="129">
        <v>0</v>
      </c>
      <c r="E9" s="61">
        <v>0</v>
      </c>
      <c r="F9" s="61">
        <v>255</v>
      </c>
      <c r="G9" s="76" t="s">
        <v>1518</v>
      </c>
      <c r="H9" s="64" t="str">
        <f t="shared" si="1"/>
        <v>1608</v>
      </c>
      <c r="I9" s="59">
        <v>1</v>
      </c>
      <c r="J9" s="61"/>
    </row>
    <row r="10" spans="1:10" s="25" customFormat="1" ht="27" customHeight="1">
      <c r="A10" s="65">
        <f t="shared" si="0"/>
        <v>8</v>
      </c>
      <c r="B10" s="76" t="s">
        <v>2352</v>
      </c>
      <c r="C10" s="61">
        <v>0</v>
      </c>
      <c r="D10" s="129">
        <v>0</v>
      </c>
      <c r="E10" s="61">
        <v>0</v>
      </c>
      <c r="F10" s="61">
        <v>255</v>
      </c>
      <c r="G10" s="76" t="s">
        <v>1518</v>
      </c>
      <c r="H10" s="64" t="str">
        <f t="shared" si="1"/>
        <v>1609</v>
      </c>
      <c r="I10" s="59">
        <v>1</v>
      </c>
      <c r="J10" s="61"/>
    </row>
    <row r="11" spans="1:10" s="25" customFormat="1" ht="27" customHeight="1">
      <c r="A11" s="65">
        <f t="shared" si="0"/>
        <v>9</v>
      </c>
      <c r="B11" s="76" t="s">
        <v>2353</v>
      </c>
      <c r="C11" s="61">
        <v>0</v>
      </c>
      <c r="D11" s="129">
        <v>0</v>
      </c>
      <c r="E11" s="61">
        <v>0</v>
      </c>
      <c r="F11" s="61">
        <v>255</v>
      </c>
      <c r="G11" s="76" t="s">
        <v>1518</v>
      </c>
      <c r="H11" s="64" t="str">
        <f t="shared" si="1"/>
        <v>160A</v>
      </c>
      <c r="I11" s="59">
        <v>1</v>
      </c>
      <c r="J11" s="61"/>
    </row>
    <row r="12" spans="1:10" s="25" customFormat="1" ht="27" customHeight="1">
      <c r="A12" s="65">
        <f t="shared" si="0"/>
        <v>10</v>
      </c>
      <c r="B12" s="76" t="s">
        <v>2354</v>
      </c>
      <c r="C12" s="61">
        <v>0</v>
      </c>
      <c r="D12" s="129">
        <v>0</v>
      </c>
      <c r="E12" s="61">
        <v>0</v>
      </c>
      <c r="F12" s="61">
        <v>255</v>
      </c>
      <c r="G12" s="76" t="s">
        <v>1518</v>
      </c>
      <c r="H12" s="64" t="str">
        <f t="shared" si="1"/>
        <v>160B</v>
      </c>
      <c r="I12" s="59">
        <v>1</v>
      </c>
      <c r="J12" s="61"/>
    </row>
    <row r="13" spans="1:10" s="25" customFormat="1" ht="27" customHeight="1">
      <c r="A13" s="65">
        <f t="shared" si="0"/>
        <v>11</v>
      </c>
      <c r="B13" s="76" t="s">
        <v>2355</v>
      </c>
      <c r="C13" s="61">
        <v>0</v>
      </c>
      <c r="D13" s="129">
        <v>0</v>
      </c>
      <c r="E13" s="61">
        <v>0</v>
      </c>
      <c r="F13" s="61">
        <v>255</v>
      </c>
      <c r="G13" s="76" t="s">
        <v>1518</v>
      </c>
      <c r="H13" s="64" t="str">
        <f t="shared" si="1"/>
        <v>160C</v>
      </c>
      <c r="I13" s="59">
        <v>1</v>
      </c>
      <c r="J13" s="61"/>
    </row>
    <row r="14" spans="1:10" s="25" customFormat="1" ht="27" customHeight="1">
      <c r="A14" s="65">
        <f t="shared" si="0"/>
        <v>12</v>
      </c>
      <c r="B14" s="76" t="s">
        <v>2356</v>
      </c>
      <c r="C14" s="61">
        <v>0</v>
      </c>
      <c r="D14" s="129">
        <v>0</v>
      </c>
      <c r="E14" s="61">
        <v>0</v>
      </c>
      <c r="F14" s="61">
        <v>255</v>
      </c>
      <c r="G14" s="76" t="s">
        <v>1518</v>
      </c>
      <c r="H14" s="64" t="str">
        <f t="shared" si="1"/>
        <v>160D</v>
      </c>
      <c r="I14" s="59">
        <v>1</v>
      </c>
      <c r="J14" s="61"/>
    </row>
    <row r="15" spans="1:10" s="25" customFormat="1" ht="27" customHeight="1">
      <c r="A15" s="65">
        <f t="shared" si="0"/>
        <v>13</v>
      </c>
      <c r="B15" s="76" t="s">
        <v>2357</v>
      </c>
      <c r="C15" s="61">
        <v>0</v>
      </c>
      <c r="D15" s="129">
        <v>0</v>
      </c>
      <c r="E15" s="61">
        <v>0</v>
      </c>
      <c r="F15" s="61">
        <v>255</v>
      </c>
      <c r="G15" s="76" t="s">
        <v>1518</v>
      </c>
      <c r="H15" s="64" t="str">
        <f t="shared" si="1"/>
        <v>160E</v>
      </c>
      <c r="I15" s="59">
        <v>1</v>
      </c>
      <c r="J15" s="61"/>
    </row>
    <row r="16" spans="1:10" s="25" customFormat="1" ht="27" customHeight="1">
      <c r="A16" s="65">
        <f t="shared" si="0"/>
        <v>14</v>
      </c>
      <c r="B16" s="76" t="s">
        <v>2358</v>
      </c>
      <c r="C16" s="61">
        <v>0</v>
      </c>
      <c r="D16" s="129">
        <v>0</v>
      </c>
      <c r="E16" s="61">
        <v>0</v>
      </c>
      <c r="F16" s="61">
        <v>255</v>
      </c>
      <c r="G16" s="76" t="s">
        <v>1518</v>
      </c>
      <c r="H16" s="64" t="str">
        <f t="shared" si="1"/>
        <v>160F</v>
      </c>
      <c r="I16" s="59">
        <v>1</v>
      </c>
      <c r="J16" s="61"/>
    </row>
    <row r="17" spans="1:10" s="25" customFormat="1" ht="27" customHeight="1">
      <c r="A17" s="65">
        <f t="shared" si="0"/>
        <v>15</v>
      </c>
      <c r="B17" s="76" t="s">
        <v>2359</v>
      </c>
      <c r="C17" s="61">
        <v>0</v>
      </c>
      <c r="D17" s="129">
        <v>0</v>
      </c>
      <c r="E17" s="61">
        <v>0</v>
      </c>
      <c r="F17" s="61">
        <v>255</v>
      </c>
      <c r="G17" s="76" t="s">
        <v>1518</v>
      </c>
      <c r="H17" s="64" t="str">
        <f t="shared" si="1"/>
        <v>1610</v>
      </c>
      <c r="I17" s="59">
        <v>1</v>
      </c>
      <c r="J17" s="61"/>
    </row>
    <row r="18" spans="1:10" s="25" customFormat="1" ht="27" customHeight="1">
      <c r="A18" s="65">
        <f t="shared" si="0"/>
        <v>16</v>
      </c>
      <c r="B18" s="76" t="s">
        <v>2360</v>
      </c>
      <c r="C18" s="61">
        <v>0</v>
      </c>
      <c r="D18" s="129">
        <v>0</v>
      </c>
      <c r="E18" s="61">
        <v>0</v>
      </c>
      <c r="F18" s="61">
        <v>255</v>
      </c>
      <c r="G18" s="76" t="s">
        <v>1518</v>
      </c>
      <c r="H18" s="64" t="str">
        <f t="shared" si="1"/>
        <v>1611</v>
      </c>
      <c r="I18" s="59">
        <v>1</v>
      </c>
      <c r="J18" s="61"/>
    </row>
    <row r="19" spans="1:10" s="25" customFormat="1" ht="27" customHeight="1">
      <c r="A19" s="65">
        <f t="shared" si="0"/>
        <v>17</v>
      </c>
      <c r="B19" s="76" t="s">
        <v>2361</v>
      </c>
      <c r="C19" s="61">
        <v>0</v>
      </c>
      <c r="D19" s="129">
        <v>0</v>
      </c>
      <c r="E19" s="61">
        <v>0</v>
      </c>
      <c r="F19" s="61">
        <v>255</v>
      </c>
      <c r="G19" s="76" t="s">
        <v>1518</v>
      </c>
      <c r="H19" s="64" t="str">
        <f t="shared" si="1"/>
        <v>1612</v>
      </c>
      <c r="I19" s="59">
        <v>1</v>
      </c>
      <c r="J19" s="61"/>
    </row>
    <row r="20" spans="1:10" s="25" customFormat="1" ht="27" customHeight="1">
      <c r="A20" s="65">
        <f t="shared" si="0"/>
        <v>18</v>
      </c>
      <c r="B20" s="76" t="s">
        <v>2362</v>
      </c>
      <c r="C20" s="61">
        <v>0</v>
      </c>
      <c r="D20" s="129">
        <v>0</v>
      </c>
      <c r="E20" s="61">
        <v>0</v>
      </c>
      <c r="F20" s="61">
        <v>255</v>
      </c>
      <c r="G20" s="76" t="s">
        <v>1518</v>
      </c>
      <c r="H20" s="64" t="str">
        <f t="shared" si="1"/>
        <v>1613</v>
      </c>
      <c r="I20" s="59">
        <v>1</v>
      </c>
      <c r="J20" s="61"/>
    </row>
    <row r="21" spans="1:10" s="25" customFormat="1" ht="27" customHeight="1">
      <c r="A21" s="65">
        <f t="shared" si="0"/>
        <v>19</v>
      </c>
      <c r="B21" s="76" t="s">
        <v>2363</v>
      </c>
      <c r="C21" s="61">
        <v>0</v>
      </c>
      <c r="D21" s="129">
        <v>0</v>
      </c>
      <c r="E21" s="61">
        <v>0</v>
      </c>
      <c r="F21" s="61">
        <v>255</v>
      </c>
      <c r="G21" s="76" t="s">
        <v>1518</v>
      </c>
      <c r="H21" s="64" t="str">
        <f t="shared" si="1"/>
        <v>1614</v>
      </c>
      <c r="I21" s="59">
        <v>1</v>
      </c>
      <c r="J21" s="61"/>
    </row>
    <row r="22" spans="1:10" s="25" customFormat="1" ht="27" customHeight="1">
      <c r="A22" s="65">
        <f t="shared" si="0"/>
        <v>20</v>
      </c>
      <c r="B22" s="76" t="s">
        <v>2364</v>
      </c>
      <c r="C22" s="61">
        <v>0</v>
      </c>
      <c r="D22" s="129">
        <v>0</v>
      </c>
      <c r="E22" s="61">
        <v>0</v>
      </c>
      <c r="F22" s="61">
        <v>255</v>
      </c>
      <c r="G22" s="76" t="s">
        <v>1518</v>
      </c>
      <c r="H22" s="64" t="str">
        <f t="shared" si="1"/>
        <v>1615</v>
      </c>
      <c r="I22" s="59">
        <v>1</v>
      </c>
      <c r="J22" s="61"/>
    </row>
    <row r="23" spans="1:10" s="25" customFormat="1" ht="27" customHeight="1">
      <c r="A23" s="65">
        <f t="shared" si="0"/>
        <v>21</v>
      </c>
      <c r="B23" s="76" t="s">
        <v>2365</v>
      </c>
      <c r="C23" s="61">
        <v>0</v>
      </c>
      <c r="D23" s="129">
        <v>0</v>
      </c>
      <c r="E23" s="61">
        <v>0</v>
      </c>
      <c r="F23" s="61">
        <v>255</v>
      </c>
      <c r="G23" s="76" t="s">
        <v>1518</v>
      </c>
      <c r="H23" s="64" t="str">
        <f t="shared" si="1"/>
        <v>1616</v>
      </c>
      <c r="I23" s="59">
        <v>1</v>
      </c>
      <c r="J23" s="61"/>
    </row>
    <row r="24" spans="1:10" s="25" customFormat="1" ht="27" customHeight="1">
      <c r="A24" s="65">
        <f t="shared" si="0"/>
        <v>22</v>
      </c>
      <c r="B24" s="76" t="s">
        <v>2366</v>
      </c>
      <c r="C24" s="61">
        <v>0</v>
      </c>
      <c r="D24" s="129">
        <v>0</v>
      </c>
      <c r="E24" s="61">
        <v>0</v>
      </c>
      <c r="F24" s="61">
        <v>255</v>
      </c>
      <c r="G24" s="76" t="s">
        <v>1518</v>
      </c>
      <c r="H24" s="64" t="str">
        <f t="shared" si="1"/>
        <v>1617</v>
      </c>
      <c r="I24" s="59">
        <v>1</v>
      </c>
      <c r="J24" s="61"/>
    </row>
    <row r="25" spans="1:10" s="25" customFormat="1" ht="27" customHeight="1">
      <c r="A25" s="65">
        <f t="shared" si="0"/>
        <v>23</v>
      </c>
      <c r="B25" s="76" t="s">
        <v>2367</v>
      </c>
      <c r="C25" s="61">
        <v>0</v>
      </c>
      <c r="D25" s="129">
        <v>0</v>
      </c>
      <c r="E25" s="61">
        <v>0</v>
      </c>
      <c r="F25" s="61">
        <v>255</v>
      </c>
      <c r="G25" s="76" t="s">
        <v>1518</v>
      </c>
      <c r="H25" s="64" t="str">
        <f t="shared" si="1"/>
        <v>1618</v>
      </c>
      <c r="I25" s="59">
        <v>1</v>
      </c>
      <c r="J25" s="61"/>
    </row>
    <row r="26" spans="1:10" s="25" customFormat="1" ht="27" customHeight="1">
      <c r="A26" s="65">
        <f t="shared" si="0"/>
        <v>24</v>
      </c>
      <c r="B26" s="76" t="s">
        <v>2368</v>
      </c>
      <c r="C26" s="61">
        <v>0</v>
      </c>
      <c r="D26" s="129">
        <v>0</v>
      </c>
      <c r="E26" s="61">
        <v>0</v>
      </c>
      <c r="F26" s="61">
        <v>255</v>
      </c>
      <c r="G26" s="76" t="s">
        <v>1518</v>
      </c>
      <c r="H26" s="64" t="str">
        <f t="shared" si="1"/>
        <v>1619</v>
      </c>
      <c r="I26" s="59">
        <v>1</v>
      </c>
      <c r="J26" s="61"/>
    </row>
    <row r="27" spans="1:10" s="25" customFormat="1" ht="27" customHeight="1">
      <c r="A27" s="65">
        <f t="shared" si="0"/>
        <v>25</v>
      </c>
      <c r="B27" s="76" t="s">
        <v>2369</v>
      </c>
      <c r="C27" s="61">
        <v>0</v>
      </c>
      <c r="D27" s="129">
        <v>0</v>
      </c>
      <c r="E27" s="61">
        <v>0</v>
      </c>
      <c r="F27" s="61">
        <v>255</v>
      </c>
      <c r="G27" s="76" t="s">
        <v>1518</v>
      </c>
      <c r="H27" s="64" t="str">
        <f t="shared" si="1"/>
        <v>161A</v>
      </c>
      <c r="I27" s="59">
        <v>1</v>
      </c>
      <c r="J27" s="61"/>
    </row>
    <row r="28" spans="1:10" s="25" customFormat="1" ht="27" customHeight="1">
      <c r="A28" s="65">
        <f t="shared" si="0"/>
        <v>26</v>
      </c>
      <c r="B28" s="76" t="s">
        <v>2370</v>
      </c>
      <c r="C28" s="61">
        <v>0</v>
      </c>
      <c r="D28" s="129">
        <v>0</v>
      </c>
      <c r="E28" s="61">
        <v>0</v>
      </c>
      <c r="F28" s="61">
        <v>255</v>
      </c>
      <c r="G28" s="76" t="s">
        <v>1518</v>
      </c>
      <c r="H28" s="64" t="str">
        <f t="shared" si="1"/>
        <v>161B</v>
      </c>
      <c r="I28" s="59">
        <v>1</v>
      </c>
      <c r="J28" s="61"/>
    </row>
    <row r="29" spans="1:10" s="25" customFormat="1" ht="27" customHeight="1">
      <c r="A29" s="65">
        <f t="shared" si="0"/>
        <v>27</v>
      </c>
      <c r="B29" s="76" t="s">
        <v>2371</v>
      </c>
      <c r="C29" s="61">
        <v>0</v>
      </c>
      <c r="D29" s="129">
        <v>0</v>
      </c>
      <c r="E29" s="61">
        <v>0</v>
      </c>
      <c r="F29" s="61">
        <v>255</v>
      </c>
      <c r="G29" s="76" t="s">
        <v>1518</v>
      </c>
      <c r="H29" s="64" t="str">
        <f t="shared" si="1"/>
        <v>161C</v>
      </c>
      <c r="I29" s="59">
        <v>1</v>
      </c>
      <c r="J29" s="61"/>
    </row>
    <row r="30" spans="1:10" s="25" customFormat="1" ht="27" customHeight="1">
      <c r="A30" s="65">
        <f t="shared" si="0"/>
        <v>28</v>
      </c>
      <c r="B30" s="76" t="s">
        <v>2372</v>
      </c>
      <c r="C30" s="61">
        <v>0</v>
      </c>
      <c r="D30" s="129">
        <v>0</v>
      </c>
      <c r="E30" s="61">
        <v>0</v>
      </c>
      <c r="F30" s="61">
        <v>255</v>
      </c>
      <c r="G30" s="76" t="s">
        <v>1518</v>
      </c>
      <c r="H30" s="64" t="str">
        <f t="shared" si="1"/>
        <v>161D</v>
      </c>
      <c r="I30" s="59">
        <v>1</v>
      </c>
      <c r="J30" s="61"/>
    </row>
    <row r="31" spans="1:10" s="25" customFormat="1" ht="27" customHeight="1">
      <c r="A31" s="65">
        <f t="shared" si="0"/>
        <v>29</v>
      </c>
      <c r="B31" s="76" t="s">
        <v>2373</v>
      </c>
      <c r="C31" s="61">
        <v>0</v>
      </c>
      <c r="D31" s="129">
        <v>0</v>
      </c>
      <c r="E31" s="61">
        <v>0</v>
      </c>
      <c r="F31" s="61">
        <v>255</v>
      </c>
      <c r="G31" s="76" t="s">
        <v>1518</v>
      </c>
      <c r="H31" s="64" t="str">
        <f t="shared" si="1"/>
        <v>161E</v>
      </c>
      <c r="I31" s="59">
        <v>1</v>
      </c>
      <c r="J31" s="61"/>
    </row>
    <row r="32" spans="1:10" s="25" customFormat="1" ht="27" customHeight="1">
      <c r="A32" s="65">
        <f t="shared" si="0"/>
        <v>30</v>
      </c>
      <c r="B32" s="76" t="s">
        <v>2374</v>
      </c>
      <c r="C32" s="61">
        <v>0</v>
      </c>
      <c r="D32" s="129">
        <v>0</v>
      </c>
      <c r="E32" s="61">
        <v>0</v>
      </c>
      <c r="F32" s="61">
        <v>255</v>
      </c>
      <c r="G32" s="76" t="s">
        <v>1518</v>
      </c>
      <c r="H32" s="64" t="str">
        <f t="shared" si="1"/>
        <v>161F</v>
      </c>
      <c r="I32" s="59">
        <v>1</v>
      </c>
      <c r="J32" s="61"/>
    </row>
    <row r="33" spans="1:10" s="25" customFormat="1" ht="27" customHeight="1">
      <c r="A33" s="65">
        <f t="shared" si="0"/>
        <v>31</v>
      </c>
      <c r="B33" s="76" t="s">
        <v>2375</v>
      </c>
      <c r="C33" s="61">
        <v>0</v>
      </c>
      <c r="D33" s="129">
        <v>0</v>
      </c>
      <c r="E33" s="61">
        <v>0</v>
      </c>
      <c r="F33" s="61">
        <v>255</v>
      </c>
      <c r="G33" s="76" t="s">
        <v>1518</v>
      </c>
      <c r="H33" s="64" t="str">
        <f t="shared" si="1"/>
        <v>1620</v>
      </c>
      <c r="I33" s="59">
        <v>1</v>
      </c>
      <c r="J33" s="61"/>
    </row>
    <row r="34" spans="1:10" s="25" customFormat="1" ht="27" customHeight="1">
      <c r="A34" s="65">
        <f t="shared" si="0"/>
        <v>32</v>
      </c>
      <c r="B34" s="76" t="s">
        <v>2376</v>
      </c>
      <c r="C34" s="61">
        <v>0</v>
      </c>
      <c r="D34" s="129">
        <v>0</v>
      </c>
      <c r="E34" s="61">
        <v>0</v>
      </c>
      <c r="F34" s="61">
        <v>255</v>
      </c>
      <c r="G34" s="76" t="s">
        <v>1518</v>
      </c>
      <c r="H34" s="64" t="str">
        <f t="shared" si="1"/>
        <v>1621</v>
      </c>
      <c r="I34" s="59">
        <v>1</v>
      </c>
      <c r="J34" s="61"/>
    </row>
    <row r="35" spans="1:10" s="25" customFormat="1" ht="27" customHeight="1">
      <c r="A35" s="65">
        <f t="shared" ref="A35:A65" si="2">A34+1</f>
        <v>33</v>
      </c>
      <c r="B35" s="76" t="s">
        <v>2377</v>
      </c>
      <c r="C35" s="61">
        <v>0</v>
      </c>
      <c r="D35" s="129">
        <v>0</v>
      </c>
      <c r="E35" s="61">
        <v>0</v>
      </c>
      <c r="F35" s="61">
        <v>255</v>
      </c>
      <c r="G35" s="76" t="s">
        <v>1518</v>
      </c>
      <c r="H35" s="64" t="str">
        <f t="shared" ref="H35:H65" si="3">DEC2HEX((HEX2DEC(H34)+1),4)</f>
        <v>1622</v>
      </c>
      <c r="I35" s="59">
        <v>1</v>
      </c>
      <c r="J35" s="61"/>
    </row>
    <row r="36" spans="1:10" s="25" customFormat="1" ht="27" customHeight="1">
      <c r="A36" s="65">
        <f t="shared" si="2"/>
        <v>34</v>
      </c>
      <c r="B36" s="76" t="s">
        <v>2378</v>
      </c>
      <c r="C36" s="61">
        <v>0</v>
      </c>
      <c r="D36" s="129">
        <v>0</v>
      </c>
      <c r="E36" s="61">
        <v>0</v>
      </c>
      <c r="F36" s="61">
        <v>255</v>
      </c>
      <c r="G36" s="76" t="s">
        <v>1518</v>
      </c>
      <c r="H36" s="64" t="str">
        <f t="shared" si="3"/>
        <v>1623</v>
      </c>
      <c r="I36" s="59">
        <v>1</v>
      </c>
      <c r="J36" s="61"/>
    </row>
    <row r="37" spans="1:10" s="25" customFormat="1" ht="27" customHeight="1">
      <c r="A37" s="65">
        <f t="shared" si="2"/>
        <v>35</v>
      </c>
      <c r="B37" s="76" t="s">
        <v>2379</v>
      </c>
      <c r="C37" s="61">
        <v>0</v>
      </c>
      <c r="D37" s="129">
        <v>0</v>
      </c>
      <c r="E37" s="61">
        <v>0</v>
      </c>
      <c r="F37" s="61">
        <v>255</v>
      </c>
      <c r="G37" s="76" t="s">
        <v>1518</v>
      </c>
      <c r="H37" s="64" t="str">
        <f t="shared" si="3"/>
        <v>1624</v>
      </c>
      <c r="I37" s="59">
        <v>1</v>
      </c>
      <c r="J37" s="61"/>
    </row>
    <row r="38" spans="1:10" s="25" customFormat="1" ht="27" customHeight="1">
      <c r="A38" s="65">
        <f t="shared" si="2"/>
        <v>36</v>
      </c>
      <c r="B38" s="76" t="s">
        <v>2380</v>
      </c>
      <c r="C38" s="61">
        <v>0</v>
      </c>
      <c r="D38" s="129">
        <v>0</v>
      </c>
      <c r="E38" s="61">
        <v>0</v>
      </c>
      <c r="F38" s="61">
        <v>255</v>
      </c>
      <c r="G38" s="76" t="s">
        <v>1518</v>
      </c>
      <c r="H38" s="64" t="str">
        <f t="shared" si="3"/>
        <v>1625</v>
      </c>
      <c r="I38" s="59">
        <v>1</v>
      </c>
      <c r="J38" s="61"/>
    </row>
    <row r="39" spans="1:10" s="25" customFormat="1" ht="27" customHeight="1">
      <c r="A39" s="65">
        <f t="shared" si="2"/>
        <v>37</v>
      </c>
      <c r="B39" s="76" t="s">
        <v>2381</v>
      </c>
      <c r="C39" s="61">
        <v>0</v>
      </c>
      <c r="D39" s="129">
        <v>0</v>
      </c>
      <c r="E39" s="61">
        <v>0</v>
      </c>
      <c r="F39" s="61">
        <v>255</v>
      </c>
      <c r="G39" s="76" t="s">
        <v>1518</v>
      </c>
      <c r="H39" s="64" t="str">
        <f t="shared" si="3"/>
        <v>1626</v>
      </c>
      <c r="I39" s="59">
        <v>1</v>
      </c>
      <c r="J39" s="61"/>
    </row>
    <row r="40" spans="1:10" s="25" customFormat="1" ht="27" customHeight="1">
      <c r="A40" s="65">
        <f t="shared" si="2"/>
        <v>38</v>
      </c>
      <c r="B40" s="76" t="s">
        <v>2382</v>
      </c>
      <c r="C40" s="61">
        <v>0</v>
      </c>
      <c r="D40" s="129">
        <v>0</v>
      </c>
      <c r="E40" s="61">
        <v>0</v>
      </c>
      <c r="F40" s="61">
        <v>255</v>
      </c>
      <c r="G40" s="76" t="s">
        <v>1518</v>
      </c>
      <c r="H40" s="64" t="str">
        <f t="shared" si="3"/>
        <v>1627</v>
      </c>
      <c r="I40" s="59">
        <v>1</v>
      </c>
      <c r="J40" s="61"/>
    </row>
    <row r="41" spans="1:10" s="25" customFormat="1" ht="27" customHeight="1">
      <c r="A41" s="65">
        <f t="shared" si="2"/>
        <v>39</v>
      </c>
      <c r="B41" s="76" t="s">
        <v>2383</v>
      </c>
      <c r="C41" s="61">
        <v>0</v>
      </c>
      <c r="D41" s="129">
        <v>0</v>
      </c>
      <c r="E41" s="61">
        <v>0</v>
      </c>
      <c r="F41" s="61">
        <v>255</v>
      </c>
      <c r="G41" s="76" t="s">
        <v>1518</v>
      </c>
      <c r="H41" s="64" t="str">
        <f t="shared" si="3"/>
        <v>1628</v>
      </c>
      <c r="I41" s="59">
        <v>1</v>
      </c>
      <c r="J41" s="61"/>
    </row>
    <row r="42" spans="1:10" s="25" customFormat="1" ht="27" customHeight="1">
      <c r="A42" s="65">
        <f t="shared" si="2"/>
        <v>40</v>
      </c>
      <c r="B42" s="76" t="s">
        <v>2384</v>
      </c>
      <c r="C42" s="61">
        <v>0</v>
      </c>
      <c r="D42" s="129">
        <v>0</v>
      </c>
      <c r="E42" s="61">
        <v>0</v>
      </c>
      <c r="F42" s="61">
        <v>255</v>
      </c>
      <c r="G42" s="76" t="s">
        <v>1518</v>
      </c>
      <c r="H42" s="64" t="str">
        <f t="shared" si="3"/>
        <v>1629</v>
      </c>
      <c r="I42" s="59">
        <v>1</v>
      </c>
      <c r="J42" s="61"/>
    </row>
    <row r="43" spans="1:10" s="25" customFormat="1" ht="27" customHeight="1">
      <c r="A43" s="65">
        <f t="shared" si="2"/>
        <v>41</v>
      </c>
      <c r="B43" s="76" t="s">
        <v>2385</v>
      </c>
      <c r="C43" s="61">
        <v>0</v>
      </c>
      <c r="D43" s="129">
        <v>0</v>
      </c>
      <c r="E43" s="61">
        <v>0</v>
      </c>
      <c r="F43" s="61">
        <v>255</v>
      </c>
      <c r="G43" s="76" t="s">
        <v>1518</v>
      </c>
      <c r="H43" s="64" t="str">
        <f t="shared" si="3"/>
        <v>162A</v>
      </c>
      <c r="I43" s="59">
        <v>1</v>
      </c>
      <c r="J43" s="61"/>
    </row>
    <row r="44" spans="1:10" s="25" customFormat="1" ht="27" customHeight="1">
      <c r="A44" s="65">
        <f t="shared" si="2"/>
        <v>42</v>
      </c>
      <c r="B44" s="76" t="s">
        <v>2386</v>
      </c>
      <c r="C44" s="61">
        <v>0</v>
      </c>
      <c r="D44" s="129">
        <v>0</v>
      </c>
      <c r="E44" s="61">
        <v>0</v>
      </c>
      <c r="F44" s="61">
        <v>255</v>
      </c>
      <c r="G44" s="76" t="s">
        <v>1518</v>
      </c>
      <c r="H44" s="64" t="str">
        <f t="shared" si="3"/>
        <v>162B</v>
      </c>
      <c r="I44" s="59">
        <v>1</v>
      </c>
      <c r="J44" s="61"/>
    </row>
    <row r="45" spans="1:10" s="25" customFormat="1" ht="27" customHeight="1">
      <c r="A45" s="65">
        <f t="shared" si="2"/>
        <v>43</v>
      </c>
      <c r="B45" s="76" t="s">
        <v>2387</v>
      </c>
      <c r="C45" s="61">
        <v>0</v>
      </c>
      <c r="D45" s="129">
        <v>0</v>
      </c>
      <c r="E45" s="61">
        <v>0</v>
      </c>
      <c r="F45" s="61">
        <v>255</v>
      </c>
      <c r="G45" s="76" t="s">
        <v>1518</v>
      </c>
      <c r="H45" s="64" t="str">
        <f t="shared" si="3"/>
        <v>162C</v>
      </c>
      <c r="I45" s="59">
        <v>1</v>
      </c>
      <c r="J45" s="61"/>
    </row>
    <row r="46" spans="1:10" s="25" customFormat="1" ht="27" customHeight="1">
      <c r="A46" s="65">
        <f t="shared" si="2"/>
        <v>44</v>
      </c>
      <c r="B46" s="76" t="s">
        <v>2388</v>
      </c>
      <c r="C46" s="61">
        <v>0</v>
      </c>
      <c r="D46" s="129">
        <v>0</v>
      </c>
      <c r="E46" s="61">
        <v>0</v>
      </c>
      <c r="F46" s="61">
        <v>255</v>
      </c>
      <c r="G46" s="76" t="s">
        <v>1518</v>
      </c>
      <c r="H46" s="64" t="str">
        <f t="shared" si="3"/>
        <v>162D</v>
      </c>
      <c r="I46" s="59">
        <v>1</v>
      </c>
      <c r="J46" s="61"/>
    </row>
    <row r="47" spans="1:10" s="25" customFormat="1" ht="27" customHeight="1">
      <c r="A47" s="65">
        <f t="shared" si="2"/>
        <v>45</v>
      </c>
      <c r="B47" s="76" t="s">
        <v>2389</v>
      </c>
      <c r="C47" s="61">
        <v>0</v>
      </c>
      <c r="D47" s="129">
        <v>0</v>
      </c>
      <c r="E47" s="61">
        <v>0</v>
      </c>
      <c r="F47" s="61">
        <v>255</v>
      </c>
      <c r="G47" s="76" t="s">
        <v>1518</v>
      </c>
      <c r="H47" s="64" t="str">
        <f t="shared" si="3"/>
        <v>162E</v>
      </c>
      <c r="I47" s="59">
        <v>1</v>
      </c>
      <c r="J47" s="61"/>
    </row>
    <row r="48" spans="1:10" s="25" customFormat="1" ht="27" customHeight="1">
      <c r="A48" s="65">
        <f t="shared" si="2"/>
        <v>46</v>
      </c>
      <c r="B48" s="76" t="s">
        <v>2390</v>
      </c>
      <c r="C48" s="61">
        <v>0</v>
      </c>
      <c r="D48" s="129">
        <v>0</v>
      </c>
      <c r="E48" s="61">
        <v>0</v>
      </c>
      <c r="F48" s="61">
        <v>255</v>
      </c>
      <c r="G48" s="76" t="s">
        <v>1518</v>
      </c>
      <c r="H48" s="64" t="str">
        <f t="shared" si="3"/>
        <v>162F</v>
      </c>
      <c r="I48" s="59">
        <v>1</v>
      </c>
      <c r="J48" s="61"/>
    </row>
    <row r="49" spans="1:10" s="25" customFormat="1" ht="27" customHeight="1">
      <c r="A49" s="65">
        <f t="shared" si="2"/>
        <v>47</v>
      </c>
      <c r="B49" s="76" t="s">
        <v>2391</v>
      </c>
      <c r="C49" s="61">
        <v>0</v>
      </c>
      <c r="D49" s="129">
        <v>0</v>
      </c>
      <c r="E49" s="61">
        <v>0</v>
      </c>
      <c r="F49" s="61">
        <v>255</v>
      </c>
      <c r="G49" s="76" t="s">
        <v>1518</v>
      </c>
      <c r="H49" s="64" t="str">
        <f t="shared" si="3"/>
        <v>1630</v>
      </c>
      <c r="I49" s="59">
        <v>1</v>
      </c>
      <c r="J49" s="61"/>
    </row>
    <row r="50" spans="1:10" s="25" customFormat="1" ht="27" customHeight="1">
      <c r="A50" s="65">
        <f t="shared" si="2"/>
        <v>48</v>
      </c>
      <c r="B50" s="76" t="s">
        <v>2392</v>
      </c>
      <c r="C50" s="61">
        <v>0</v>
      </c>
      <c r="D50" s="129">
        <v>0</v>
      </c>
      <c r="E50" s="61">
        <v>0</v>
      </c>
      <c r="F50" s="61">
        <v>255</v>
      </c>
      <c r="G50" s="76" t="s">
        <v>1518</v>
      </c>
      <c r="H50" s="64" t="str">
        <f t="shared" si="3"/>
        <v>1631</v>
      </c>
      <c r="I50" s="59">
        <v>1</v>
      </c>
      <c r="J50" s="61"/>
    </row>
    <row r="51" spans="1:10" s="25" customFormat="1" ht="27" customHeight="1">
      <c r="A51" s="65">
        <f t="shared" si="2"/>
        <v>49</v>
      </c>
      <c r="B51" s="76" t="s">
        <v>2393</v>
      </c>
      <c r="C51" s="61">
        <v>0</v>
      </c>
      <c r="D51" s="129">
        <v>0</v>
      </c>
      <c r="E51" s="61">
        <v>0</v>
      </c>
      <c r="F51" s="61">
        <v>255</v>
      </c>
      <c r="G51" s="76" t="s">
        <v>1518</v>
      </c>
      <c r="H51" s="64" t="str">
        <f t="shared" si="3"/>
        <v>1632</v>
      </c>
      <c r="I51" s="59">
        <v>1</v>
      </c>
      <c r="J51" s="61"/>
    </row>
    <row r="52" spans="1:10" s="25" customFormat="1" ht="27" customHeight="1">
      <c r="A52" s="65">
        <f t="shared" si="2"/>
        <v>50</v>
      </c>
      <c r="B52" s="76" t="s">
        <v>2394</v>
      </c>
      <c r="C52" s="61">
        <v>0</v>
      </c>
      <c r="D52" s="129">
        <v>0</v>
      </c>
      <c r="E52" s="61">
        <v>0</v>
      </c>
      <c r="F52" s="61">
        <v>255</v>
      </c>
      <c r="G52" s="76" t="s">
        <v>1518</v>
      </c>
      <c r="H52" s="64" t="str">
        <f t="shared" si="3"/>
        <v>1633</v>
      </c>
      <c r="I52" s="59">
        <v>1</v>
      </c>
      <c r="J52" s="61"/>
    </row>
    <row r="53" spans="1:10" s="25" customFormat="1" ht="27" customHeight="1">
      <c r="A53" s="65">
        <f t="shared" si="2"/>
        <v>51</v>
      </c>
      <c r="B53" s="76" t="s">
        <v>2395</v>
      </c>
      <c r="C53" s="61">
        <v>0</v>
      </c>
      <c r="D53" s="129">
        <v>0</v>
      </c>
      <c r="E53" s="61">
        <v>0</v>
      </c>
      <c r="F53" s="61">
        <v>255</v>
      </c>
      <c r="G53" s="76" t="s">
        <v>1518</v>
      </c>
      <c r="H53" s="64" t="str">
        <f t="shared" si="3"/>
        <v>1634</v>
      </c>
      <c r="I53" s="59">
        <v>1</v>
      </c>
      <c r="J53" s="61"/>
    </row>
    <row r="54" spans="1:10" s="25" customFormat="1" ht="27" customHeight="1">
      <c r="A54" s="65">
        <f t="shared" si="2"/>
        <v>52</v>
      </c>
      <c r="B54" s="76" t="s">
        <v>2396</v>
      </c>
      <c r="C54" s="61">
        <v>0</v>
      </c>
      <c r="D54" s="129">
        <v>0</v>
      </c>
      <c r="E54" s="61">
        <v>0</v>
      </c>
      <c r="F54" s="61">
        <v>255</v>
      </c>
      <c r="G54" s="76" t="s">
        <v>1518</v>
      </c>
      <c r="H54" s="64" t="str">
        <f t="shared" si="3"/>
        <v>1635</v>
      </c>
      <c r="I54" s="59">
        <v>1</v>
      </c>
      <c r="J54" s="61"/>
    </row>
    <row r="55" spans="1:10" s="25" customFormat="1" ht="27" customHeight="1">
      <c r="A55" s="65">
        <f t="shared" si="2"/>
        <v>53</v>
      </c>
      <c r="B55" s="76" t="s">
        <v>2397</v>
      </c>
      <c r="C55" s="61">
        <v>0</v>
      </c>
      <c r="D55" s="129">
        <v>0</v>
      </c>
      <c r="E55" s="61">
        <v>0</v>
      </c>
      <c r="F55" s="61">
        <v>255</v>
      </c>
      <c r="G55" s="76" t="s">
        <v>1518</v>
      </c>
      <c r="H55" s="64" t="str">
        <f t="shared" si="3"/>
        <v>1636</v>
      </c>
      <c r="I55" s="59">
        <v>1</v>
      </c>
      <c r="J55" s="61"/>
    </row>
    <row r="56" spans="1:10" s="25" customFormat="1" ht="27" customHeight="1">
      <c r="A56" s="65">
        <f t="shared" si="2"/>
        <v>54</v>
      </c>
      <c r="B56" s="76" t="s">
        <v>2398</v>
      </c>
      <c r="C56" s="61">
        <v>0</v>
      </c>
      <c r="D56" s="129">
        <v>0</v>
      </c>
      <c r="E56" s="61">
        <v>0</v>
      </c>
      <c r="F56" s="61">
        <v>255</v>
      </c>
      <c r="G56" s="76" t="s">
        <v>1518</v>
      </c>
      <c r="H56" s="64" t="str">
        <f t="shared" si="3"/>
        <v>1637</v>
      </c>
      <c r="I56" s="59">
        <v>1</v>
      </c>
      <c r="J56" s="61"/>
    </row>
    <row r="57" spans="1:10" s="25" customFormat="1" ht="27" customHeight="1">
      <c r="A57" s="65">
        <f t="shared" si="2"/>
        <v>55</v>
      </c>
      <c r="B57" s="76" t="s">
        <v>2399</v>
      </c>
      <c r="C57" s="61">
        <v>0</v>
      </c>
      <c r="D57" s="129">
        <v>0</v>
      </c>
      <c r="E57" s="61">
        <v>0</v>
      </c>
      <c r="F57" s="61">
        <v>255</v>
      </c>
      <c r="G57" s="76" t="s">
        <v>1518</v>
      </c>
      <c r="H57" s="64" t="str">
        <f t="shared" si="3"/>
        <v>1638</v>
      </c>
      <c r="I57" s="59">
        <v>1</v>
      </c>
      <c r="J57" s="61"/>
    </row>
    <row r="58" spans="1:10" s="25" customFormat="1" ht="27" customHeight="1">
      <c r="A58" s="65">
        <f t="shared" si="2"/>
        <v>56</v>
      </c>
      <c r="B58" s="76" t="s">
        <v>2400</v>
      </c>
      <c r="C58" s="61">
        <v>0</v>
      </c>
      <c r="D58" s="129">
        <v>0</v>
      </c>
      <c r="E58" s="61">
        <v>0</v>
      </c>
      <c r="F58" s="61">
        <v>255</v>
      </c>
      <c r="G58" s="76" t="s">
        <v>1518</v>
      </c>
      <c r="H58" s="64" t="str">
        <f t="shared" si="3"/>
        <v>1639</v>
      </c>
      <c r="I58" s="59">
        <v>1</v>
      </c>
      <c r="J58" s="61"/>
    </row>
    <row r="59" spans="1:10" s="25" customFormat="1" ht="27" customHeight="1">
      <c r="A59" s="65">
        <f t="shared" si="2"/>
        <v>57</v>
      </c>
      <c r="B59" s="76" t="s">
        <v>2401</v>
      </c>
      <c r="C59" s="61">
        <v>0</v>
      </c>
      <c r="D59" s="129">
        <v>0</v>
      </c>
      <c r="E59" s="61">
        <v>0</v>
      </c>
      <c r="F59" s="61">
        <v>255</v>
      </c>
      <c r="G59" s="76" t="s">
        <v>1518</v>
      </c>
      <c r="H59" s="64" t="str">
        <f t="shared" si="3"/>
        <v>163A</v>
      </c>
      <c r="I59" s="59">
        <v>1</v>
      </c>
      <c r="J59" s="61"/>
    </row>
    <row r="60" spans="1:10" s="25" customFormat="1" ht="27" customHeight="1">
      <c r="A60" s="65">
        <f t="shared" si="2"/>
        <v>58</v>
      </c>
      <c r="B60" s="76" t="s">
        <v>2402</v>
      </c>
      <c r="C60" s="61">
        <v>0</v>
      </c>
      <c r="D60" s="129">
        <v>0</v>
      </c>
      <c r="E60" s="61">
        <v>0</v>
      </c>
      <c r="F60" s="61">
        <v>255</v>
      </c>
      <c r="G60" s="76" t="s">
        <v>1518</v>
      </c>
      <c r="H60" s="64" t="str">
        <f t="shared" si="3"/>
        <v>163B</v>
      </c>
      <c r="I60" s="59">
        <v>1</v>
      </c>
      <c r="J60" s="61"/>
    </row>
    <row r="61" spans="1:10" s="25" customFormat="1" ht="27" customHeight="1">
      <c r="A61" s="65">
        <f t="shared" si="2"/>
        <v>59</v>
      </c>
      <c r="B61" s="76" t="s">
        <v>2403</v>
      </c>
      <c r="C61" s="61">
        <v>0</v>
      </c>
      <c r="D61" s="129">
        <v>0</v>
      </c>
      <c r="E61" s="61">
        <v>0</v>
      </c>
      <c r="F61" s="61">
        <v>255</v>
      </c>
      <c r="G61" s="76" t="s">
        <v>1518</v>
      </c>
      <c r="H61" s="64" t="str">
        <f t="shared" si="3"/>
        <v>163C</v>
      </c>
      <c r="I61" s="59">
        <v>1</v>
      </c>
      <c r="J61" s="61"/>
    </row>
    <row r="62" spans="1:10" s="25" customFormat="1" ht="27" customHeight="1">
      <c r="A62" s="65">
        <f t="shared" si="2"/>
        <v>60</v>
      </c>
      <c r="B62" s="76" t="s">
        <v>2404</v>
      </c>
      <c r="C62" s="61">
        <v>0</v>
      </c>
      <c r="D62" s="129">
        <v>0</v>
      </c>
      <c r="E62" s="61">
        <v>0</v>
      </c>
      <c r="F62" s="61">
        <v>255</v>
      </c>
      <c r="G62" s="76" t="s">
        <v>1518</v>
      </c>
      <c r="H62" s="64" t="str">
        <f t="shared" si="3"/>
        <v>163D</v>
      </c>
      <c r="I62" s="59">
        <v>1</v>
      </c>
      <c r="J62" s="61"/>
    </row>
    <row r="63" spans="1:10" s="25" customFormat="1" ht="27" customHeight="1">
      <c r="A63" s="65">
        <f t="shared" si="2"/>
        <v>61</v>
      </c>
      <c r="B63" s="76" t="s">
        <v>2405</v>
      </c>
      <c r="C63" s="61">
        <v>0</v>
      </c>
      <c r="D63" s="129">
        <v>0</v>
      </c>
      <c r="E63" s="61">
        <v>0</v>
      </c>
      <c r="F63" s="61">
        <v>255</v>
      </c>
      <c r="G63" s="76" t="s">
        <v>1518</v>
      </c>
      <c r="H63" s="64" t="str">
        <f t="shared" si="3"/>
        <v>163E</v>
      </c>
      <c r="I63" s="59">
        <v>1</v>
      </c>
      <c r="J63" s="61"/>
    </row>
    <row r="64" spans="1:10" s="25" customFormat="1" ht="27" customHeight="1">
      <c r="A64" s="65">
        <f t="shared" si="2"/>
        <v>62</v>
      </c>
      <c r="B64" s="76" t="s">
        <v>2406</v>
      </c>
      <c r="C64" s="61">
        <v>0</v>
      </c>
      <c r="D64" s="129">
        <v>0</v>
      </c>
      <c r="E64" s="61">
        <v>0</v>
      </c>
      <c r="F64" s="61">
        <v>255</v>
      </c>
      <c r="G64" s="76" t="s">
        <v>1518</v>
      </c>
      <c r="H64" s="64" t="str">
        <f t="shared" si="3"/>
        <v>163F</v>
      </c>
      <c r="I64" s="59">
        <v>1</v>
      </c>
      <c r="J64" s="61"/>
    </row>
    <row r="65" spans="1:10" s="25" customFormat="1" ht="27" customHeight="1">
      <c r="A65" s="65">
        <f t="shared" si="2"/>
        <v>63</v>
      </c>
      <c r="B65" s="76" t="s">
        <v>2407</v>
      </c>
      <c r="C65" s="61">
        <v>0</v>
      </c>
      <c r="D65" s="129">
        <v>0</v>
      </c>
      <c r="E65" s="61">
        <v>0</v>
      </c>
      <c r="F65" s="61">
        <v>255</v>
      </c>
      <c r="G65" s="76" t="s">
        <v>1518</v>
      </c>
      <c r="H65" s="64" t="str">
        <f t="shared" si="3"/>
        <v>1640</v>
      </c>
      <c r="I65" s="59">
        <v>1</v>
      </c>
      <c r="J65" s="61"/>
    </row>
  </sheetData>
  <dataValidations count="3">
    <dataValidation type="decimal" operator="lessThanOrEqual" allowBlank="1" showInputMessage="1" showErrorMessage="1" sqref="F2:F65">
      <formula1>255</formula1>
    </dataValidation>
    <dataValidation type="decimal" allowBlank="1" showInputMessage="1" showErrorMessage="1" sqref="D2:D65">
      <formula1>E2</formula1>
      <formula2>F2</formula2>
    </dataValidation>
    <dataValidation type="decimal" allowBlank="1" showInputMessage="1" showErrorMessage="1" sqref="C2:C1048576">
      <formula1>E2</formula1>
      <formula2>F2</formula2>
    </dataValidation>
  </dataValidations>
  <pageMargins left="0.59055118110236227" right="0.59055118110236227" top="0.59055118110236227" bottom="0.98425196850393704" header="0.51181102362204722" footer="0.51181102362204722"/>
  <pageSetup paperSize="9" scale="52" fitToHeight="0" orientation="landscape" r:id="rId1"/>
  <headerFooter alignWithMargins="0">
    <oddFooter>&amp;L&amp;"Arial,Fett"Hella KG Hueck &amp;&amp; Co. Vertraulich&amp;C&amp;F - &amp;A
&amp;D&amp;RSeite &amp;P von &amp;N Seiten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69</vt:i4>
      </vt:variant>
    </vt:vector>
  </HeadingPairs>
  <TitlesOfParts>
    <vt:vector size="108" baseType="lpstr">
      <vt:lpstr>Cover Sheet</vt:lpstr>
      <vt:lpstr>Changes</vt:lpstr>
      <vt:lpstr>Data Map</vt:lpstr>
      <vt:lpstr>Generation</vt:lpstr>
      <vt:lpstr>HPM_byte</vt:lpstr>
      <vt:lpstr>HPM_bit</vt:lpstr>
      <vt:lpstr>ECU_State</vt:lpstr>
      <vt:lpstr>KDTCCalibrationByte0</vt:lpstr>
      <vt:lpstr>UIDSYNCCounter</vt:lpstr>
      <vt:lpstr>CodingHella</vt:lpstr>
      <vt:lpstr>CodingGeely</vt:lpstr>
      <vt:lpstr>CodingUser</vt:lpstr>
      <vt:lpstr>ASILAParameter</vt:lpstr>
      <vt:lpstr>ASILBParameter</vt:lpstr>
      <vt:lpstr>NonASILParameter</vt:lpstr>
      <vt:lpstr>HWConfig</vt:lpstr>
      <vt:lpstr>UIDTransmitterID</vt:lpstr>
      <vt:lpstr>SKC</vt:lpstr>
      <vt:lpstr>SC</vt:lpstr>
      <vt:lpstr>DynamicDataGroup1</vt:lpstr>
      <vt:lpstr>HWParameter</vt:lpstr>
      <vt:lpstr>DTMS_SystemState</vt:lpstr>
      <vt:lpstr>DTMS_WuState</vt:lpstr>
      <vt:lpstr>DTMS_SystemDiagnostic</vt:lpstr>
      <vt:lpstr>DTMS_WuDiagnostic</vt:lpstr>
      <vt:lpstr>DTMS_WarnEvent</vt:lpstr>
      <vt:lpstr>FBLData1</vt:lpstr>
      <vt:lpstr>FBLData2</vt:lpstr>
      <vt:lpstr>HellaProductionData</vt:lpstr>
      <vt:lpstr>EOLData</vt:lpstr>
      <vt:lpstr>ICTData</vt:lpstr>
      <vt:lpstr>CustomerEOLData</vt:lpstr>
      <vt:lpstr>DTMS_Configuration</vt:lpstr>
      <vt:lpstr>BitMapTemp</vt:lpstr>
      <vt:lpstr>ByteMapTemp</vt:lpstr>
      <vt:lpstr>Odometer</vt:lpstr>
      <vt:lpstr>DiagBackupInfo2</vt:lpstr>
      <vt:lpstr>DiagBackupInfo3</vt:lpstr>
      <vt:lpstr>DiagBackupInfo4</vt:lpstr>
      <vt:lpstr>ASILAParameter!Print_Area</vt:lpstr>
      <vt:lpstr>ASILBParameter!Print_Area</vt:lpstr>
      <vt:lpstr>BitMapTemp!Print_Area</vt:lpstr>
      <vt:lpstr>ByteMapTemp!Print_Area</vt:lpstr>
      <vt:lpstr>Changes!Print_Area</vt:lpstr>
      <vt:lpstr>CodingGeely!Print_Area</vt:lpstr>
      <vt:lpstr>CodingHella!Print_Area</vt:lpstr>
      <vt:lpstr>CodingUser!Print_Area</vt:lpstr>
      <vt:lpstr>'Cover Sheet'!Print_Area</vt:lpstr>
      <vt:lpstr>CustomerEOLData!Print_Area</vt:lpstr>
      <vt:lpstr>DiagBackupInfo2!Print_Area</vt:lpstr>
      <vt:lpstr>DiagBackupInfo3!Print_Area</vt:lpstr>
      <vt:lpstr>DiagBackupInfo4!Print_Area</vt:lpstr>
      <vt:lpstr>DTMS_Configuration!Print_Area</vt:lpstr>
      <vt:lpstr>DTMS_SystemDiagnostic!Print_Area</vt:lpstr>
      <vt:lpstr>DTMS_SystemState!Print_Area</vt:lpstr>
      <vt:lpstr>DTMS_WarnEvent!Print_Area</vt:lpstr>
      <vt:lpstr>DTMS_WuDiagnostic!Print_Area</vt:lpstr>
      <vt:lpstr>DTMS_WuState!Print_Area</vt:lpstr>
      <vt:lpstr>DynamicDataGroup1!Print_Area</vt:lpstr>
      <vt:lpstr>ECU_State!Print_Area</vt:lpstr>
      <vt:lpstr>EOLData!Print_Area</vt:lpstr>
      <vt:lpstr>FBLData1!Print_Area</vt:lpstr>
      <vt:lpstr>FBLData2!Print_Area</vt:lpstr>
      <vt:lpstr>HellaProductionData!Print_Area</vt:lpstr>
      <vt:lpstr>HWConfig!Print_Area</vt:lpstr>
      <vt:lpstr>HWParameter!Print_Area</vt:lpstr>
      <vt:lpstr>ICTData!Print_Area</vt:lpstr>
      <vt:lpstr>KDTCCalibrationByte0!Print_Area</vt:lpstr>
      <vt:lpstr>NonASILParameter!Print_Area</vt:lpstr>
      <vt:lpstr>Odometer!Print_Area</vt:lpstr>
      <vt:lpstr>SC!Print_Area</vt:lpstr>
      <vt:lpstr>SKC!Print_Area</vt:lpstr>
      <vt:lpstr>UIDSYNCCounter!Print_Area</vt:lpstr>
      <vt:lpstr>UIDTransmitterID!Print_Area</vt:lpstr>
      <vt:lpstr>ASILAParameter!Print_Titles</vt:lpstr>
      <vt:lpstr>ASILBParameter!Print_Titles</vt:lpstr>
      <vt:lpstr>BitMapTemp!Print_Titles</vt:lpstr>
      <vt:lpstr>ByteMapTemp!Print_Titles</vt:lpstr>
      <vt:lpstr>Changes!Print_Titles</vt:lpstr>
      <vt:lpstr>CodingGeely!Print_Titles</vt:lpstr>
      <vt:lpstr>CodingHella!Print_Titles</vt:lpstr>
      <vt:lpstr>CodingUser!Print_Titles</vt:lpstr>
      <vt:lpstr>CustomerEOLData!Print_Titles</vt:lpstr>
      <vt:lpstr>DiagBackupInfo2!Print_Titles</vt:lpstr>
      <vt:lpstr>DiagBackupInfo3!Print_Titles</vt:lpstr>
      <vt:lpstr>DiagBackupInfo4!Print_Titles</vt:lpstr>
      <vt:lpstr>DTMS_Configuration!Print_Titles</vt:lpstr>
      <vt:lpstr>DTMS_SystemDiagnostic!Print_Titles</vt:lpstr>
      <vt:lpstr>DTMS_SystemState!Print_Titles</vt:lpstr>
      <vt:lpstr>DTMS_WarnEvent!Print_Titles</vt:lpstr>
      <vt:lpstr>DTMS_WuDiagnostic!Print_Titles</vt:lpstr>
      <vt:lpstr>DTMS_WuState!Print_Titles</vt:lpstr>
      <vt:lpstr>DynamicDataGroup1!Print_Titles</vt:lpstr>
      <vt:lpstr>ECU_State!Print_Titles</vt:lpstr>
      <vt:lpstr>EOLData!Print_Titles</vt:lpstr>
      <vt:lpstr>FBLData1!Print_Titles</vt:lpstr>
      <vt:lpstr>FBLData2!Print_Titles</vt:lpstr>
      <vt:lpstr>HellaProductionData!Print_Titles</vt:lpstr>
      <vt:lpstr>HWConfig!Print_Titles</vt:lpstr>
      <vt:lpstr>HWParameter!Print_Titles</vt:lpstr>
      <vt:lpstr>ICTData!Print_Titles</vt:lpstr>
      <vt:lpstr>KDTCCalibrationByte0!Print_Titles</vt:lpstr>
      <vt:lpstr>NonASILParameter!Print_Titles</vt:lpstr>
      <vt:lpstr>Odometer!Print_Titles</vt:lpstr>
      <vt:lpstr>SC!Print_Titles</vt:lpstr>
      <vt:lpstr>SKC!Print_Titles</vt:lpstr>
      <vt:lpstr>UIDSYNCCounter!Print_Titles</vt:lpstr>
      <vt:lpstr>UIDTransmitterID!Print_Titles</vt:lpstr>
    </vt:vector>
  </TitlesOfParts>
  <Company>Hella KG Hueck &amp;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knauma1</dc:creator>
  <cp:lastModifiedBy>Kien Tran</cp:lastModifiedBy>
  <cp:lastPrinted>2011-04-15T07:08:48Z</cp:lastPrinted>
  <dcterms:created xsi:type="dcterms:W3CDTF">2006-06-13T12:19:38Z</dcterms:created>
  <dcterms:modified xsi:type="dcterms:W3CDTF">2019-09-25T16:39:57Z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Hoang.Tran@hella.com</vt:lpwstr>
  </property>
  <property fmtid="{D5CDD505-2E9C-101B-9397-08002B2CF9AE}" pid="5" name="MSIP_Label_5a4f3930-35a4-43d2-be4a-3a5160255453_SetDate">
    <vt:lpwstr>2019-08-15T10:29:15.0588104Z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d23ee498-0fc5-4fb5-abed-ce9c6d94057f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Hoang.Tran@hella.com</vt:lpwstr>
  </property>
  <property fmtid="{D5CDD505-2E9C-101B-9397-08002B2CF9AE}" pid="13" name="MSIP_Label_f731df75-0a72-42d5-9cc1-0c4dcec1599e_SetDate">
    <vt:lpwstr>2019-08-15T10:29:15.0588104Z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d23ee498-0fc5-4fb5-abed-ce9c6d94057f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